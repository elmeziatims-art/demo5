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8_{6B954799-9D52-4D2E-A735-D2DD69563F50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Allocation" sheetId="14" r:id="rId1"/>
    <sheet name="_CALC_ALLOC" sheetId="17" state="hidden" r:id="rId2"/>
  </sheets>
  <definedNames>
    <definedName name="ALLOC_BRAND_CAMP">Allocation!$C$8</definedName>
    <definedName name="ALLOC_CAMP_CLASS">Allocation!$C$9</definedName>
    <definedName name="ALLOC_GRP_BRAND">Allocation!$C$6</definedName>
    <definedName name="ALLOC_GRP_MARQUE">Allocation!$C$7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7" l="1"/>
  <c r="AS2" i="17" s="1"/>
  <c r="B2" i="17"/>
  <c r="C2" i="17"/>
  <c r="D2" i="17"/>
  <c r="E2" i="17"/>
  <c r="F2" i="17"/>
  <c r="G2" i="17"/>
  <c r="H2" i="17"/>
  <c r="I2" i="17"/>
  <c r="J2" i="17"/>
  <c r="A3" i="17"/>
  <c r="AS3" i="17" s="1"/>
  <c r="B3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A4" i="17"/>
  <c r="AS4" i="17" s="1"/>
  <c r="A5" i="17"/>
  <c r="AS5" i="17"/>
  <c r="A6" i="17"/>
  <c r="AS6" i="17"/>
  <c r="A7" i="17"/>
  <c r="A8" i="17"/>
  <c r="AS8" i="17" s="1"/>
  <c r="A9" i="17"/>
  <c r="AS9" i="17"/>
  <c r="A10" i="17"/>
  <c r="AS10" i="17" s="1"/>
  <c r="A11" i="17"/>
  <c r="A12" i="17"/>
  <c r="AS12" i="17" s="1"/>
  <c r="A13" i="17"/>
  <c r="AS13" i="17"/>
  <c r="A14" i="17"/>
  <c r="AS14" i="17" s="1"/>
  <c r="A15" i="17"/>
  <c r="A16" i="17"/>
  <c r="AS16" i="17" s="1"/>
  <c r="A17" i="17"/>
  <c r="AS17" i="17"/>
  <c r="A18" i="17"/>
  <c r="AS18" i="17"/>
  <c r="A19" i="17"/>
  <c r="A20" i="17"/>
  <c r="AS20" i="17" s="1"/>
  <c r="A21" i="17"/>
  <c r="AS21" i="17"/>
  <c r="A22" i="17"/>
  <c r="AS22" i="17"/>
  <c r="A23" i="17"/>
  <c r="A24" i="17"/>
  <c r="AS24" i="17" s="1"/>
  <c r="A25" i="17"/>
  <c r="AS25" i="17"/>
  <c r="A26" i="17"/>
  <c r="AS26" i="17" s="1"/>
  <c r="A27" i="17"/>
  <c r="A28" i="17"/>
  <c r="AS28" i="17" s="1"/>
  <c r="A29" i="17"/>
  <c r="AS29" i="17"/>
  <c r="A30" i="17"/>
  <c r="AS30" i="17" s="1"/>
  <c r="A31" i="17"/>
  <c r="A32" i="17"/>
  <c r="AS32" i="17" s="1"/>
  <c r="A33" i="17"/>
  <c r="AS33" i="17"/>
  <c r="A34" i="17"/>
  <c r="AS34" i="17"/>
  <c r="A35" i="17"/>
  <c r="A36" i="17"/>
  <c r="AS36" i="17" s="1"/>
  <c r="A37" i="17"/>
  <c r="AS37" i="17"/>
  <c r="A38" i="17"/>
  <c r="AS38" i="17"/>
  <c r="A39" i="17"/>
  <c r="A40" i="17"/>
  <c r="AS40" i="17" s="1"/>
  <c r="A41" i="17"/>
  <c r="AS41" i="17"/>
  <c r="A42" i="17"/>
  <c r="AS42" i="17" s="1"/>
  <c r="A43" i="17"/>
  <c r="A44" i="17"/>
  <c r="AS44" i="17" s="1"/>
  <c r="A45" i="17"/>
  <c r="AS45" i="17"/>
  <c r="A46" i="17"/>
  <c r="AS46" i="17" s="1"/>
  <c r="A47" i="17"/>
  <c r="A48" i="17"/>
  <c r="AS48" i="17" s="1"/>
  <c r="A49" i="17"/>
  <c r="AS49" i="17"/>
  <c r="A50" i="17"/>
  <c r="AS50" i="17"/>
  <c r="A51" i="17"/>
  <c r="A52" i="17"/>
  <c r="AS52" i="17"/>
  <c r="A53" i="17"/>
  <c r="AS53" i="17"/>
  <c r="A54" i="17"/>
  <c r="AS54" i="17" s="1"/>
  <c r="A55" i="17"/>
  <c r="A56" i="17"/>
  <c r="AS56" i="17"/>
  <c r="A57" i="17"/>
  <c r="AS57" i="17"/>
  <c r="A58" i="17"/>
  <c r="AS58" i="17"/>
  <c r="A59" i="17"/>
  <c r="A60" i="17"/>
  <c r="AS60" i="17"/>
  <c r="A61" i="17"/>
  <c r="AS61" i="17"/>
  <c r="A62" i="17"/>
  <c r="AS62" i="17" s="1"/>
  <c r="A63" i="17"/>
  <c r="A64" i="17"/>
  <c r="AS64" i="17"/>
  <c r="A65" i="17"/>
  <c r="AS65" i="17"/>
  <c r="A66" i="17"/>
  <c r="AS66" i="17" s="1"/>
  <c r="A67" i="17"/>
  <c r="A68" i="17"/>
  <c r="AS68" i="17"/>
  <c r="A69" i="17"/>
  <c r="AS69" i="17"/>
  <c r="A70" i="17"/>
  <c r="AS70" i="17"/>
  <c r="A71" i="17"/>
  <c r="A72" i="17"/>
  <c r="AS72" i="17"/>
  <c r="A73" i="17"/>
  <c r="AS73" i="17"/>
  <c r="A74" i="17"/>
  <c r="AS74" i="17" s="1"/>
  <c r="A75" i="17"/>
  <c r="A76" i="17"/>
  <c r="AS76" i="17"/>
  <c r="A77" i="17"/>
  <c r="AS77" i="17"/>
  <c r="A78" i="17"/>
  <c r="AS78" i="17" s="1"/>
  <c r="A79" i="17"/>
  <c r="A80" i="17"/>
  <c r="AS80" i="17"/>
  <c r="A81" i="17"/>
  <c r="AS81" i="17"/>
  <c r="A82" i="17"/>
  <c r="AS82" i="17"/>
  <c r="A83" i="17"/>
  <c r="A84" i="17"/>
  <c r="AS84" i="17"/>
  <c r="A85" i="17"/>
  <c r="AS85" i="17"/>
  <c r="A86" i="17"/>
  <c r="AS86" i="17" s="1"/>
  <c r="A87" i="17"/>
  <c r="A88" i="17"/>
  <c r="AS88" i="17"/>
  <c r="A89" i="17"/>
  <c r="AS89" i="17"/>
  <c r="A90" i="17"/>
  <c r="AS90" i="17"/>
  <c r="A91" i="17"/>
  <c r="A92" i="17"/>
  <c r="AS92" i="17"/>
  <c r="A93" i="17"/>
  <c r="AS93" i="17"/>
  <c r="A94" i="17"/>
  <c r="AS94" i="17"/>
  <c r="A95" i="17"/>
  <c r="A96" i="17"/>
  <c r="AS96" i="17" s="1"/>
  <c r="A97" i="17"/>
  <c r="AS97" i="17"/>
  <c r="A98" i="17"/>
  <c r="AS98" i="17"/>
  <c r="A99" i="17"/>
  <c r="A100" i="17"/>
  <c r="AS100" i="17" s="1"/>
  <c r="A101" i="17"/>
  <c r="AS101" i="17"/>
  <c r="A102" i="17"/>
  <c r="AS102" i="17" s="1"/>
  <c r="A103" i="17"/>
  <c r="A104" i="17"/>
  <c r="AS104" i="17" s="1"/>
  <c r="A105" i="17"/>
  <c r="AS105" i="17"/>
  <c r="A106" i="17"/>
  <c r="AS106" i="17" s="1"/>
  <c r="A107" i="17"/>
  <c r="A108" i="17"/>
  <c r="AS108" i="17" s="1"/>
  <c r="A109" i="17"/>
  <c r="AS109" i="17"/>
  <c r="A110" i="17"/>
  <c r="AS110" i="17"/>
  <c r="A111" i="17"/>
  <c r="A112" i="17"/>
  <c r="AS112" i="17" s="1"/>
  <c r="A113" i="17"/>
  <c r="AS113" i="17"/>
  <c r="A114" i="17"/>
  <c r="AS114" i="17"/>
  <c r="A115" i="17"/>
  <c r="AS115" i="17" s="1"/>
  <c r="A116" i="17"/>
  <c r="AS116" i="17" s="1"/>
  <c r="A117" i="17"/>
  <c r="AS117" i="17"/>
  <c r="A118" i="17"/>
  <c r="AS118" i="17" s="1"/>
  <c r="A119" i="17"/>
  <c r="AS119" i="17" s="1"/>
  <c r="A120" i="17"/>
  <c r="AS120" i="17" s="1"/>
  <c r="A121" i="17"/>
  <c r="AS121" i="17"/>
  <c r="A122" i="17"/>
  <c r="AS122" i="17" s="1"/>
  <c r="A123" i="17"/>
  <c r="AS123" i="17" s="1"/>
  <c r="A124" i="17"/>
  <c r="AS124" i="17" s="1"/>
  <c r="A125" i="17"/>
  <c r="AS125" i="17"/>
  <c r="A126" i="17"/>
  <c r="AS126" i="17" s="1"/>
  <c r="A127" i="17"/>
  <c r="AS127" i="17" s="1"/>
  <c r="A128" i="17"/>
  <c r="AS128" i="17" s="1"/>
  <c r="A129" i="17"/>
  <c r="AS129" i="17"/>
  <c r="A130" i="17"/>
  <c r="AS130" i="17"/>
  <c r="A131" i="17"/>
  <c r="AS131" i="17" s="1"/>
  <c r="A132" i="17"/>
  <c r="AS132" i="17" s="1"/>
  <c r="A133" i="17"/>
  <c r="AS133" i="17"/>
  <c r="A134" i="17"/>
  <c r="AS134" i="17" s="1"/>
  <c r="A135" i="17"/>
  <c r="AS135" i="17" s="1"/>
  <c r="A136" i="17"/>
  <c r="AS136" i="17" s="1"/>
  <c r="A137" i="17"/>
  <c r="AS137" i="17"/>
  <c r="A138" i="17"/>
  <c r="AS138" i="17" s="1"/>
  <c r="A139" i="17"/>
  <c r="AS139" i="17" s="1"/>
  <c r="A140" i="17"/>
  <c r="AS140" i="17" s="1"/>
  <c r="A141" i="17"/>
  <c r="AS141" i="17"/>
  <c r="A142" i="17"/>
  <c r="AS142" i="17" s="1"/>
  <c r="A143" i="17"/>
  <c r="AS143" i="17" s="1"/>
  <c r="A144" i="17"/>
  <c r="AS144" i="17" s="1"/>
  <c r="A145" i="17"/>
  <c r="AS145" i="17"/>
  <c r="A146" i="17"/>
  <c r="AS146" i="17"/>
  <c r="A147" i="17"/>
  <c r="AS147" i="17" s="1"/>
  <c r="A148" i="17"/>
  <c r="AS148" i="17" s="1"/>
  <c r="A149" i="17"/>
  <c r="AS149" i="17"/>
  <c r="A150" i="17"/>
  <c r="AS150" i="17" s="1"/>
  <c r="A151" i="17"/>
  <c r="AS151" i="17" s="1"/>
  <c r="A152" i="17"/>
  <c r="AS152" i="17" s="1"/>
  <c r="A153" i="17"/>
  <c r="AS153" i="17"/>
  <c r="A154" i="17"/>
  <c r="AS154" i="17" s="1"/>
  <c r="A155" i="17"/>
  <c r="AS155" i="17" s="1"/>
  <c r="A156" i="17"/>
  <c r="AS156" i="17" s="1"/>
  <c r="A157" i="17"/>
  <c r="AS157" i="17"/>
  <c r="A158" i="17"/>
  <c r="AS158" i="17" s="1"/>
  <c r="A159" i="17"/>
  <c r="AS159" i="17" s="1"/>
  <c r="A160" i="17"/>
  <c r="AS160" i="17" s="1"/>
  <c r="A161" i="17"/>
  <c r="AS161" i="17"/>
  <c r="A162" i="17"/>
  <c r="AS162" i="17"/>
  <c r="A163" i="17"/>
  <c r="AS163" i="17" s="1"/>
  <c r="A164" i="17"/>
  <c r="AS164" i="17"/>
  <c r="A165" i="17"/>
  <c r="AS165" i="17"/>
  <c r="A166" i="17"/>
  <c r="AS166" i="17" s="1"/>
  <c r="A167" i="17"/>
  <c r="AS167" i="17" s="1"/>
  <c r="A168" i="17"/>
  <c r="AS168" i="17"/>
  <c r="A169" i="17"/>
  <c r="AS169" i="17"/>
  <c r="A170" i="17"/>
  <c r="AS170" i="17" s="1"/>
  <c r="A171" i="17"/>
  <c r="AS171" i="17" s="1"/>
  <c r="A172" i="17"/>
  <c r="AS172" i="17"/>
  <c r="A173" i="17"/>
  <c r="AS173" i="17" s="1"/>
  <c r="A174" i="17"/>
  <c r="AS174" i="17"/>
  <c r="A175" i="17"/>
  <c r="AS175" i="17" s="1"/>
  <c r="A176" i="17"/>
  <c r="AS176" i="17"/>
  <c r="A177" i="17"/>
  <c r="AS177" i="17" s="1"/>
  <c r="A178" i="17"/>
  <c r="AS178" i="17"/>
  <c r="A179" i="17"/>
  <c r="AS179" i="17" s="1"/>
  <c r="A180" i="17"/>
  <c r="AS180" i="17"/>
  <c r="A181" i="17"/>
  <c r="AS181" i="17" s="1"/>
  <c r="A182" i="17"/>
  <c r="AS182" i="17"/>
  <c r="A183" i="17"/>
  <c r="AS183" i="17"/>
  <c r="A184" i="17"/>
  <c r="AS184" i="17"/>
  <c r="A185" i="17"/>
  <c r="AS185" i="17" s="1"/>
  <c r="A186" i="17"/>
  <c r="AS186" i="17"/>
  <c r="A187" i="17"/>
  <c r="AS187" i="17" s="1"/>
  <c r="A188" i="17"/>
  <c r="AS188" i="17" s="1"/>
  <c r="A189" i="17"/>
  <c r="AS189" i="17" s="1"/>
  <c r="A190" i="17"/>
  <c r="AS190" i="17"/>
  <c r="A191" i="17"/>
  <c r="AS191" i="17" s="1"/>
  <c r="A192" i="17"/>
  <c r="AS192" i="17" s="1"/>
  <c r="A193" i="17"/>
  <c r="AS193" i="17"/>
  <c r="A194" i="17"/>
  <c r="AS194" i="17" s="1"/>
  <c r="A195" i="17"/>
  <c r="AS195" i="17" s="1"/>
  <c r="A196" i="17"/>
  <c r="AS196" i="17" s="1"/>
  <c r="A197" i="17"/>
  <c r="A198" i="17"/>
  <c r="AS198" i="17"/>
  <c r="A199" i="17"/>
  <c r="AS199" i="17" s="1"/>
  <c r="A200" i="17"/>
  <c r="AS200" i="17"/>
  <c r="A201" i="17"/>
  <c r="AS201" i="17" s="1"/>
  <c r="A202" i="17"/>
  <c r="AS202" i="17" s="1"/>
  <c r="A203" i="17"/>
  <c r="AS203" i="17" s="1"/>
  <c r="A204" i="17"/>
  <c r="AS204" i="17" s="1"/>
  <c r="A205" i="17"/>
  <c r="AS205" i="17"/>
  <c r="A206" i="17"/>
  <c r="A207" i="17"/>
  <c r="AS207" i="17" s="1"/>
  <c r="A208" i="17"/>
  <c r="AS208" i="17"/>
  <c r="A209" i="17"/>
  <c r="AS209" i="17" s="1"/>
  <c r="A210" i="17"/>
  <c r="AS210" i="17"/>
  <c r="A211" i="17"/>
  <c r="AS211" i="17" s="1"/>
  <c r="A212" i="17"/>
  <c r="AS212" i="17" s="1"/>
  <c r="A213" i="17"/>
  <c r="AS213" i="17" s="1"/>
  <c r="A214" i="17"/>
  <c r="AS214" i="17"/>
  <c r="A215" i="17"/>
  <c r="AS215" i="17" s="1"/>
  <c r="A216" i="17"/>
  <c r="AS216" i="17"/>
  <c r="A217" i="17"/>
  <c r="AS217" i="17"/>
  <c r="A218" i="17"/>
  <c r="AS218" i="17" s="1"/>
  <c r="A219" i="17"/>
  <c r="AS219" i="17" s="1"/>
  <c r="A220" i="17"/>
  <c r="AS220" i="17" s="1"/>
  <c r="A221" i="17"/>
  <c r="AS221" i="17" s="1"/>
  <c r="A222" i="17"/>
  <c r="AS222" i="17" s="1"/>
  <c r="A223" i="17"/>
  <c r="AS223" i="17" s="1"/>
  <c r="A224" i="17"/>
  <c r="AS224" i="17"/>
  <c r="A225" i="17"/>
  <c r="AS225" i="17"/>
  <c r="A226" i="17"/>
  <c r="AS226" i="17"/>
  <c r="A227" i="17"/>
  <c r="AS227" i="17" s="1"/>
  <c r="A228" i="17"/>
  <c r="AS228" i="17" s="1"/>
  <c r="A229" i="17"/>
  <c r="A230" i="17"/>
  <c r="AS230" i="17" s="1"/>
  <c r="A231" i="17"/>
  <c r="AS231" i="17" s="1"/>
  <c r="A232" i="17"/>
  <c r="AS232" i="17" s="1"/>
  <c r="A233" i="17"/>
  <c r="AS233" i="17" s="1"/>
  <c r="A234" i="17"/>
  <c r="AS234" i="17"/>
  <c r="A235" i="17"/>
  <c r="AS235" i="17" s="1"/>
  <c r="A236" i="17"/>
  <c r="AS236" i="17"/>
  <c r="A237" i="17"/>
  <c r="AS237" i="17" s="1"/>
  <c r="A238" i="17"/>
  <c r="AS238" i="17" s="1"/>
  <c r="A239" i="17"/>
  <c r="AS239" i="17" s="1"/>
  <c r="A240" i="17"/>
  <c r="AS240" i="17"/>
  <c r="A241" i="17"/>
  <c r="AS241" i="17"/>
  <c r="A242" i="17"/>
  <c r="AS242" i="17" s="1"/>
  <c r="A243" i="17"/>
  <c r="AS243" i="17" s="1"/>
  <c r="A244" i="17"/>
  <c r="AS244" i="17"/>
  <c r="A245" i="17"/>
  <c r="A246" i="17"/>
  <c r="AS246" i="17"/>
  <c r="A247" i="17"/>
  <c r="AS247" i="17" s="1"/>
  <c r="A248" i="17"/>
  <c r="AS248" i="17"/>
  <c r="A249" i="17"/>
  <c r="AS249" i="17"/>
  <c r="A250" i="17"/>
  <c r="AS250" i="17" s="1"/>
  <c r="A251" i="17"/>
  <c r="AS251" i="17" s="1"/>
  <c r="A252" i="17"/>
  <c r="AS252" i="17" s="1"/>
  <c r="A253" i="17"/>
  <c r="AS253" i="17"/>
  <c r="A254" i="17"/>
  <c r="A255" i="17"/>
  <c r="AS255" i="17" s="1"/>
  <c r="A256" i="17"/>
  <c r="AS256" i="17"/>
  <c r="A257" i="17"/>
  <c r="AS257" i="17" s="1"/>
  <c r="A258" i="17"/>
  <c r="AS258" i="17"/>
  <c r="A259" i="17"/>
  <c r="AS259" i="17"/>
  <c r="A260" i="17"/>
  <c r="AS260" i="17"/>
  <c r="A261" i="17"/>
  <c r="AS261" i="17" s="1"/>
  <c r="A262" i="17"/>
  <c r="AS262" i="17"/>
  <c r="A263" i="17"/>
  <c r="AS263" i="17" s="1"/>
  <c r="A264" i="17"/>
  <c r="AS264" i="17" s="1"/>
  <c r="A265" i="17"/>
  <c r="AS265" i="17" s="1"/>
  <c r="A266" i="17"/>
  <c r="AS266" i="17" s="1"/>
  <c r="A267" i="17"/>
  <c r="AS267" i="17" s="1"/>
  <c r="A268" i="17"/>
  <c r="AS268" i="17" s="1"/>
  <c r="A269" i="17"/>
  <c r="AS269" i="17" s="1"/>
  <c r="A270" i="17"/>
  <c r="AS270" i="17" s="1"/>
  <c r="A271" i="17"/>
  <c r="AS271" i="17" s="1"/>
  <c r="A272" i="17"/>
  <c r="AS272" i="17"/>
  <c r="A273" i="17"/>
  <c r="AS273" i="17"/>
  <c r="A274" i="17"/>
  <c r="AS274" i="17" s="1"/>
  <c r="A275" i="17"/>
  <c r="AS275" i="17" s="1"/>
  <c r="A276" i="17"/>
  <c r="AS276" i="17"/>
  <c r="A277" i="17"/>
  <c r="AS277" i="17"/>
  <c r="A278" i="17"/>
  <c r="AS278" i="17"/>
  <c r="A279" i="17"/>
  <c r="AS279" i="17" s="1"/>
  <c r="A280" i="17"/>
  <c r="AS280" i="17" s="1"/>
  <c r="A281" i="17"/>
  <c r="AS281" i="17"/>
  <c r="A282" i="17"/>
  <c r="A283" i="17"/>
  <c r="AS283" i="17" s="1"/>
  <c r="A284" i="17"/>
  <c r="AS284" i="17" s="1"/>
  <c r="A285" i="17"/>
  <c r="AS285" i="17" s="1"/>
  <c r="A286" i="17"/>
  <c r="AS286" i="17" s="1"/>
  <c r="A287" i="17"/>
  <c r="AS287" i="17" s="1"/>
  <c r="A288" i="17"/>
  <c r="AS288" i="17" s="1"/>
  <c r="A289" i="17"/>
  <c r="AS289" i="17" s="1"/>
  <c r="A290" i="17"/>
  <c r="AS290" i="17" s="1"/>
  <c r="A291" i="17"/>
  <c r="AS291" i="17" s="1"/>
  <c r="A292" i="17"/>
  <c r="AS292" i="17"/>
  <c r="A293" i="17"/>
  <c r="AS293" i="17" s="1"/>
  <c r="A294" i="17"/>
  <c r="AS294" i="17" s="1"/>
  <c r="A295" i="17"/>
  <c r="AS295" i="17" s="1"/>
  <c r="A296" i="17"/>
  <c r="AS296" i="17" s="1"/>
  <c r="A297" i="17"/>
  <c r="AS297" i="17" s="1"/>
  <c r="A298" i="17"/>
  <c r="AS298" i="17" s="1"/>
  <c r="A299" i="17"/>
  <c r="AS299" i="17" s="1"/>
  <c r="A300" i="17"/>
  <c r="AS300" i="17"/>
  <c r="A301" i="17"/>
  <c r="AS301" i="17" s="1"/>
  <c r="A302" i="17"/>
  <c r="AS302" i="17"/>
  <c r="A303" i="17"/>
  <c r="AS303" i="17" s="1"/>
  <c r="A304" i="17"/>
  <c r="AS304" i="17"/>
  <c r="A305" i="17"/>
  <c r="AS305" i="17"/>
  <c r="A306" i="17"/>
  <c r="AS306" i="17" s="1"/>
  <c r="A307" i="17"/>
  <c r="AS307" i="17"/>
  <c r="A308" i="17"/>
  <c r="AS308" i="17" s="1"/>
  <c r="A309" i="17"/>
  <c r="AS309" i="17" s="1"/>
  <c r="A310" i="17"/>
  <c r="AS310" i="17" s="1"/>
  <c r="A311" i="17"/>
  <c r="AS311" i="17" s="1"/>
  <c r="A312" i="17"/>
  <c r="AS312" i="17" s="1"/>
  <c r="A313" i="17"/>
  <c r="AS313" i="17" s="1"/>
  <c r="A314" i="17"/>
  <c r="AS314" i="17" s="1"/>
  <c r="A315" i="17"/>
  <c r="AS315" i="17" s="1"/>
  <c r="A316" i="17"/>
  <c r="AS316" i="17" s="1"/>
  <c r="A317" i="17"/>
  <c r="AS317" i="17" s="1"/>
  <c r="A318" i="17"/>
  <c r="AS318" i="17" s="1"/>
  <c r="A319" i="17"/>
  <c r="AS319" i="17" s="1"/>
  <c r="A320" i="17"/>
  <c r="AS320" i="17"/>
  <c r="A321" i="17"/>
  <c r="AS321" i="17" s="1"/>
  <c r="A322" i="17"/>
  <c r="AS322" i="17" s="1"/>
  <c r="A323" i="17"/>
  <c r="AS323" i="17" s="1"/>
  <c r="A324" i="17"/>
  <c r="AS324" i="17"/>
  <c r="A325" i="17"/>
  <c r="AS325" i="17"/>
  <c r="A326" i="17"/>
  <c r="AS326" i="17" s="1"/>
  <c r="A327" i="17"/>
  <c r="AS327" i="17" s="1"/>
  <c r="A328" i="17"/>
  <c r="AS328" i="17" s="1"/>
  <c r="A329" i="17"/>
  <c r="AS329" i="17"/>
  <c r="A330" i="17"/>
  <c r="A331" i="17"/>
  <c r="AS331" i="17" s="1"/>
  <c r="A332" i="17"/>
  <c r="AS332" i="17"/>
  <c r="A333" i="17"/>
  <c r="AS333" i="17" s="1"/>
  <c r="A334" i="17"/>
  <c r="AS334" i="17"/>
  <c r="A335" i="17"/>
  <c r="AS335" i="17" s="1"/>
  <c r="A336" i="17"/>
  <c r="AS336" i="17" s="1"/>
  <c r="A337" i="17"/>
  <c r="AS337" i="17" s="1"/>
  <c r="A338" i="17"/>
  <c r="AS338" i="17"/>
  <c r="A339" i="17"/>
  <c r="AS339" i="17"/>
  <c r="A340" i="17"/>
  <c r="AS340" i="17" s="1"/>
  <c r="A341" i="17"/>
  <c r="AS341" i="17" s="1"/>
  <c r="A342" i="17"/>
  <c r="AS342" i="17"/>
  <c r="A343" i="17"/>
  <c r="AS343" i="17" s="1"/>
  <c r="A344" i="17"/>
  <c r="AS344" i="17"/>
  <c r="A345" i="17"/>
  <c r="AS345" i="17" s="1"/>
  <c r="A346" i="17"/>
  <c r="AS346" i="17" s="1"/>
  <c r="A347" i="17"/>
  <c r="AS347" i="17" s="1"/>
  <c r="A348" i="17"/>
  <c r="AS348" i="17"/>
  <c r="A349" i="17"/>
  <c r="AS349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H3" i="17"/>
  <c r="H4" i="17"/>
  <c r="I3" i="17"/>
  <c r="I4" i="17"/>
  <c r="D3" i="17"/>
  <c r="F3" i="17"/>
  <c r="D4" i="17"/>
  <c r="K4" i="17" s="1"/>
  <c r="F4" i="17"/>
  <c r="J3" i="17"/>
  <c r="J4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H5" i="17"/>
  <c r="H6" i="17"/>
  <c r="H7" i="17"/>
  <c r="H8" i="17"/>
  <c r="H9" i="17"/>
  <c r="H10" i="17"/>
  <c r="H11" i="17"/>
  <c r="H12" i="17"/>
  <c r="H13" i="17"/>
  <c r="K13" i="17" s="1"/>
  <c r="H14" i="17"/>
  <c r="H15" i="17"/>
  <c r="H16" i="17"/>
  <c r="H17" i="17"/>
  <c r="H18" i="17"/>
  <c r="H19" i="17"/>
  <c r="H20" i="17"/>
  <c r="H21" i="17"/>
  <c r="K21" i="17" s="1"/>
  <c r="H22" i="17"/>
  <c r="H23" i="17"/>
  <c r="H24" i="17"/>
  <c r="H25" i="17"/>
  <c r="H26" i="17"/>
  <c r="H27" i="17"/>
  <c r="H28" i="17"/>
  <c r="H29" i="17"/>
  <c r="H30" i="17"/>
  <c r="H31" i="17"/>
  <c r="K31" i="17" s="1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K109" i="17" s="1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K174" i="17" s="1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W2" i="17"/>
  <c r="X2" i="17"/>
  <c r="Y2" i="17"/>
  <c r="Z2" i="17"/>
  <c r="AA2" i="17"/>
  <c r="AB2" i="17"/>
  <c r="AO2" i="17"/>
  <c r="E3" i="17"/>
  <c r="X3" i="17"/>
  <c r="Z3" i="17"/>
  <c r="AA3" i="17"/>
  <c r="AB3" i="17"/>
  <c r="E4" i="17"/>
  <c r="W4" i="17"/>
  <c r="X4" i="17"/>
  <c r="Y4" i="17"/>
  <c r="Z4" i="17"/>
  <c r="AA4" i="17"/>
  <c r="AB4" i="17"/>
  <c r="AO4" i="17"/>
  <c r="D5" i="17"/>
  <c r="E5" i="17"/>
  <c r="F5" i="17"/>
  <c r="J5" i="17"/>
  <c r="D6" i="17"/>
  <c r="F6" i="17"/>
  <c r="D7" i="17"/>
  <c r="F7" i="17"/>
  <c r="J6" i="17"/>
  <c r="J7" i="17"/>
  <c r="X5" i="17"/>
  <c r="Z5" i="17"/>
  <c r="AA5" i="17"/>
  <c r="AB5" i="17"/>
  <c r="E6" i="17"/>
  <c r="E7" i="17"/>
  <c r="Y7" i="17"/>
  <c r="Z7" i="17"/>
  <c r="AA7" i="17"/>
  <c r="D8" i="17"/>
  <c r="E8" i="17"/>
  <c r="F8" i="17"/>
  <c r="J8" i="17"/>
  <c r="K8" i="17"/>
  <c r="D9" i="17"/>
  <c r="K9" i="17" s="1"/>
  <c r="F9" i="17"/>
  <c r="D10" i="17"/>
  <c r="F10" i="17"/>
  <c r="J9" i="17"/>
  <c r="J10" i="17"/>
  <c r="W8" i="17"/>
  <c r="X8" i="17"/>
  <c r="Y8" i="17"/>
  <c r="Z8" i="17"/>
  <c r="AA8" i="17"/>
  <c r="AB8" i="17"/>
  <c r="AO8" i="17"/>
  <c r="E9" i="17"/>
  <c r="X9" i="17"/>
  <c r="AA9" i="17"/>
  <c r="AB9" i="17"/>
  <c r="AO9" i="17"/>
  <c r="E10" i="17"/>
  <c r="D11" i="17"/>
  <c r="E11" i="17"/>
  <c r="F11" i="17"/>
  <c r="J11" i="17"/>
  <c r="K11" i="17"/>
  <c r="D12" i="17"/>
  <c r="F12" i="17"/>
  <c r="D13" i="17"/>
  <c r="F13" i="17"/>
  <c r="D14" i="17"/>
  <c r="F14" i="17"/>
  <c r="D15" i="17"/>
  <c r="F15" i="17"/>
  <c r="J12" i="17"/>
  <c r="J13" i="17"/>
  <c r="J14" i="17"/>
  <c r="J15" i="17"/>
  <c r="W11" i="17"/>
  <c r="X11" i="17"/>
  <c r="E12" i="17"/>
  <c r="W12" i="17"/>
  <c r="X12" i="17"/>
  <c r="Y12" i="17"/>
  <c r="Z12" i="17"/>
  <c r="AA12" i="17"/>
  <c r="AB12" i="17"/>
  <c r="AO12" i="17"/>
  <c r="E13" i="17"/>
  <c r="W13" i="17"/>
  <c r="X13" i="17"/>
  <c r="Z13" i="17"/>
  <c r="AA13" i="17"/>
  <c r="AO13" i="17"/>
  <c r="E14" i="17"/>
  <c r="E15" i="17"/>
  <c r="W15" i="17"/>
  <c r="X15" i="17"/>
  <c r="Y15" i="17"/>
  <c r="D16" i="17"/>
  <c r="E16" i="17"/>
  <c r="F16" i="17"/>
  <c r="K16" i="17" s="1"/>
  <c r="J16" i="17"/>
  <c r="D17" i="17"/>
  <c r="F17" i="17"/>
  <c r="K17" i="17"/>
  <c r="D18" i="17"/>
  <c r="F18" i="17"/>
  <c r="D19" i="17"/>
  <c r="F19" i="17"/>
  <c r="D20" i="17"/>
  <c r="F20" i="17"/>
  <c r="J17" i="17"/>
  <c r="J18" i="17"/>
  <c r="J19" i="17"/>
  <c r="J20" i="17"/>
  <c r="W16" i="17"/>
  <c r="X16" i="17"/>
  <c r="Y16" i="17"/>
  <c r="Z16" i="17"/>
  <c r="AA16" i="17"/>
  <c r="AB16" i="17"/>
  <c r="AO16" i="17"/>
  <c r="E17" i="17"/>
  <c r="Y17" i="17"/>
  <c r="Z17" i="17"/>
  <c r="AA17" i="17"/>
  <c r="AB17" i="17"/>
  <c r="AO17" i="17"/>
  <c r="E18" i="17"/>
  <c r="E19" i="17"/>
  <c r="X19" i="17"/>
  <c r="Y19" i="17"/>
  <c r="Z19" i="17"/>
  <c r="E20" i="17"/>
  <c r="W20" i="17"/>
  <c r="X20" i="17"/>
  <c r="Y20" i="17"/>
  <c r="Z20" i="17"/>
  <c r="AA20" i="17"/>
  <c r="AB20" i="17"/>
  <c r="AO20" i="17"/>
  <c r="D21" i="17"/>
  <c r="E21" i="17"/>
  <c r="F21" i="17"/>
  <c r="J21" i="17"/>
  <c r="D22" i="17"/>
  <c r="F22" i="17"/>
  <c r="D23" i="17"/>
  <c r="F23" i="17"/>
  <c r="D24" i="17"/>
  <c r="F24" i="17"/>
  <c r="K24" i="17" s="1"/>
  <c r="D25" i="17"/>
  <c r="K25" i="17" s="1"/>
  <c r="F25" i="17"/>
  <c r="J22" i="17"/>
  <c r="J23" i="17"/>
  <c r="J24" i="17"/>
  <c r="J25" i="17"/>
  <c r="W21" i="17"/>
  <c r="X21" i="17"/>
  <c r="AB21" i="17"/>
  <c r="AO21" i="17"/>
  <c r="E22" i="17"/>
  <c r="E23" i="17"/>
  <c r="X23" i="17"/>
  <c r="Y23" i="17"/>
  <c r="Z23" i="17"/>
  <c r="E24" i="17"/>
  <c r="W24" i="17"/>
  <c r="X24" i="17"/>
  <c r="Y24" i="17"/>
  <c r="Z24" i="17"/>
  <c r="AA24" i="17"/>
  <c r="AB24" i="17"/>
  <c r="AO24" i="17"/>
  <c r="E25" i="17"/>
  <c r="W25" i="17"/>
  <c r="X25" i="17"/>
  <c r="Y25" i="17"/>
  <c r="Z25" i="17"/>
  <c r="AA25" i="17"/>
  <c r="D26" i="17"/>
  <c r="E26" i="17"/>
  <c r="F26" i="17"/>
  <c r="J26" i="17"/>
  <c r="D27" i="17"/>
  <c r="F27" i="17"/>
  <c r="K27" i="17"/>
  <c r="D28" i="17"/>
  <c r="F28" i="17"/>
  <c r="K28" i="17" s="1"/>
  <c r="D29" i="17"/>
  <c r="F29" i="17"/>
  <c r="D30" i="17"/>
  <c r="F30" i="17"/>
  <c r="J27" i="17"/>
  <c r="J28" i="17"/>
  <c r="J29" i="17"/>
  <c r="J30" i="17"/>
  <c r="E27" i="17"/>
  <c r="Y27" i="17"/>
  <c r="Z27" i="17"/>
  <c r="AA27" i="17"/>
  <c r="E28" i="17"/>
  <c r="W28" i="17"/>
  <c r="X28" i="17"/>
  <c r="Y28" i="17"/>
  <c r="Z28" i="17"/>
  <c r="AA28" i="17"/>
  <c r="AB28" i="17"/>
  <c r="AO28" i="17"/>
  <c r="E29" i="17"/>
  <c r="X29" i="17"/>
  <c r="Y29" i="17"/>
  <c r="Z29" i="17"/>
  <c r="AA29" i="17"/>
  <c r="AB29" i="17"/>
  <c r="AO29" i="17"/>
  <c r="E30" i="17"/>
  <c r="D31" i="17"/>
  <c r="E31" i="17"/>
  <c r="F31" i="17"/>
  <c r="J31" i="17"/>
  <c r="D32" i="17"/>
  <c r="K32" i="17" s="1"/>
  <c r="F32" i="17"/>
  <c r="D33" i="17"/>
  <c r="F33" i="17"/>
  <c r="D34" i="17"/>
  <c r="F34" i="17"/>
  <c r="D35" i="17"/>
  <c r="F35" i="17"/>
  <c r="J32" i="17"/>
  <c r="J33" i="17"/>
  <c r="J34" i="17"/>
  <c r="J35" i="17"/>
  <c r="W31" i="17"/>
  <c r="X31" i="17"/>
  <c r="Y31" i="17"/>
  <c r="AB31" i="17"/>
  <c r="E32" i="17"/>
  <c r="W32" i="17"/>
  <c r="X32" i="17"/>
  <c r="Y32" i="17"/>
  <c r="Z32" i="17"/>
  <c r="AA32" i="17"/>
  <c r="AB32" i="17"/>
  <c r="AO32" i="17"/>
  <c r="E33" i="17"/>
  <c r="W33" i="17"/>
  <c r="X33" i="17"/>
  <c r="Y33" i="17"/>
  <c r="Z33" i="17"/>
  <c r="AB33" i="17"/>
  <c r="AO33" i="17"/>
  <c r="E34" i="17"/>
  <c r="E35" i="17"/>
  <c r="W35" i="17"/>
  <c r="X35" i="17"/>
  <c r="Y35" i="17"/>
  <c r="AB35" i="17"/>
  <c r="D36" i="17"/>
  <c r="K36" i="17" s="1"/>
  <c r="E36" i="17"/>
  <c r="F36" i="17"/>
  <c r="J36" i="17"/>
  <c r="D37" i="17"/>
  <c r="F37" i="17"/>
  <c r="D38" i="17"/>
  <c r="F38" i="17"/>
  <c r="D39" i="17"/>
  <c r="F39" i="17"/>
  <c r="D40" i="17"/>
  <c r="F40" i="17"/>
  <c r="J37" i="17"/>
  <c r="J38" i="17"/>
  <c r="J39" i="17"/>
  <c r="J40" i="17"/>
  <c r="W36" i="17"/>
  <c r="X36" i="17"/>
  <c r="Y36" i="17"/>
  <c r="Z36" i="17"/>
  <c r="AA36" i="17"/>
  <c r="AB36" i="17"/>
  <c r="AO36" i="17"/>
  <c r="E37" i="17"/>
  <c r="X37" i="17"/>
  <c r="Y37" i="17"/>
  <c r="Z37" i="17"/>
  <c r="AA37" i="17"/>
  <c r="AB37" i="17"/>
  <c r="AO37" i="17"/>
  <c r="E38" i="17"/>
  <c r="E39" i="17"/>
  <c r="W39" i="17"/>
  <c r="X39" i="17"/>
  <c r="Y39" i="17"/>
  <c r="AA39" i="17"/>
  <c r="AB39" i="17"/>
  <c r="E40" i="17"/>
  <c r="W40" i="17"/>
  <c r="X40" i="17"/>
  <c r="Y40" i="17"/>
  <c r="Z40" i="17"/>
  <c r="AA40" i="17"/>
  <c r="AB40" i="17"/>
  <c r="AO40" i="17"/>
  <c r="D41" i="17"/>
  <c r="E41" i="17"/>
  <c r="F41" i="17"/>
  <c r="J41" i="17"/>
  <c r="D42" i="17"/>
  <c r="F42" i="17"/>
  <c r="D43" i="17"/>
  <c r="F43" i="17"/>
  <c r="K43" i="17"/>
  <c r="D44" i="17"/>
  <c r="F44" i="17"/>
  <c r="D45" i="17"/>
  <c r="K45" i="17" s="1"/>
  <c r="F45" i="17"/>
  <c r="J42" i="17"/>
  <c r="J43" i="17"/>
  <c r="J44" i="17"/>
  <c r="J45" i="17"/>
  <c r="W41" i="17"/>
  <c r="X41" i="17"/>
  <c r="Y41" i="17"/>
  <c r="Z41" i="17"/>
  <c r="AB41" i="17"/>
  <c r="AO41" i="17"/>
  <c r="E42" i="17"/>
  <c r="E43" i="17"/>
  <c r="W43" i="17"/>
  <c r="X43" i="17"/>
  <c r="Y43" i="17"/>
  <c r="AA43" i="17"/>
  <c r="AB43" i="17"/>
  <c r="AO43" i="17"/>
  <c r="E44" i="17"/>
  <c r="W44" i="17"/>
  <c r="X44" i="17"/>
  <c r="Y44" i="17"/>
  <c r="Z44" i="17"/>
  <c r="AA44" i="17"/>
  <c r="AB44" i="17"/>
  <c r="AO44" i="17"/>
  <c r="E45" i="17"/>
  <c r="W45" i="17"/>
  <c r="X45" i="17"/>
  <c r="Y45" i="17"/>
  <c r="Z45" i="17"/>
  <c r="AB45" i="17"/>
  <c r="AO45" i="17"/>
  <c r="D46" i="17"/>
  <c r="E46" i="17"/>
  <c r="F46" i="17"/>
  <c r="J46" i="17"/>
  <c r="D47" i="17"/>
  <c r="K47" i="17" s="1"/>
  <c r="F47" i="17"/>
  <c r="D48" i="17"/>
  <c r="K48" i="17" s="1"/>
  <c r="F48" i="17"/>
  <c r="D49" i="17"/>
  <c r="F49" i="17"/>
  <c r="K49" i="17" s="1"/>
  <c r="D50" i="17"/>
  <c r="F50" i="17"/>
  <c r="J47" i="17"/>
  <c r="J48" i="17"/>
  <c r="J49" i="17"/>
  <c r="J50" i="17"/>
  <c r="E47" i="17"/>
  <c r="W47" i="17"/>
  <c r="X47" i="17"/>
  <c r="Z47" i="17"/>
  <c r="AA47" i="17"/>
  <c r="AB47" i="17"/>
  <c r="AO47" i="17"/>
  <c r="E48" i="17"/>
  <c r="W48" i="17"/>
  <c r="X48" i="17"/>
  <c r="Y48" i="17"/>
  <c r="Z48" i="17"/>
  <c r="AA48" i="17"/>
  <c r="AB48" i="17"/>
  <c r="AO48" i="17"/>
  <c r="E49" i="17"/>
  <c r="X49" i="17"/>
  <c r="Y49" i="17"/>
  <c r="Z49" i="17"/>
  <c r="AA49" i="17"/>
  <c r="AB49" i="17"/>
  <c r="AO49" i="17"/>
  <c r="E50" i="17"/>
  <c r="D51" i="17"/>
  <c r="E51" i="17"/>
  <c r="F51" i="17"/>
  <c r="K51" i="17" s="1"/>
  <c r="J51" i="17"/>
  <c r="D52" i="17"/>
  <c r="K52" i="17" s="1"/>
  <c r="F52" i="17"/>
  <c r="D53" i="17"/>
  <c r="F53" i="17"/>
  <c r="D54" i="17"/>
  <c r="F54" i="17"/>
  <c r="D55" i="17"/>
  <c r="F55" i="17"/>
  <c r="J52" i="17"/>
  <c r="J53" i="17"/>
  <c r="J54" i="17"/>
  <c r="J55" i="17"/>
  <c r="W51" i="17"/>
  <c r="X51" i="17"/>
  <c r="Z51" i="17"/>
  <c r="AA51" i="17"/>
  <c r="AB51" i="17"/>
  <c r="AO51" i="17"/>
  <c r="E52" i="17"/>
  <c r="W52" i="17"/>
  <c r="X52" i="17"/>
  <c r="Y52" i="17"/>
  <c r="Z52" i="17"/>
  <c r="AA52" i="17"/>
  <c r="AB52" i="17"/>
  <c r="AO52" i="17"/>
  <c r="E53" i="17"/>
  <c r="W53" i="17"/>
  <c r="X53" i="17"/>
  <c r="Y53" i="17"/>
  <c r="Z53" i="17"/>
  <c r="AB53" i="17"/>
  <c r="AO53" i="17"/>
  <c r="E54" i="17"/>
  <c r="E55" i="17"/>
  <c r="W55" i="17"/>
  <c r="X55" i="17"/>
  <c r="Z55" i="17"/>
  <c r="AA55" i="17"/>
  <c r="AB55" i="17"/>
  <c r="AO55" i="17"/>
  <c r="D56" i="17"/>
  <c r="E56" i="17"/>
  <c r="F56" i="17"/>
  <c r="K56" i="17" s="1"/>
  <c r="J56" i="17"/>
  <c r="D57" i="17"/>
  <c r="F57" i="17"/>
  <c r="K57" i="17"/>
  <c r="D58" i="17"/>
  <c r="F58" i="17"/>
  <c r="J57" i="17"/>
  <c r="J58" i="17"/>
  <c r="W56" i="17"/>
  <c r="X56" i="17"/>
  <c r="Y56" i="17"/>
  <c r="Z56" i="17"/>
  <c r="AA56" i="17"/>
  <c r="AB56" i="17"/>
  <c r="AO56" i="17"/>
  <c r="E57" i="17"/>
  <c r="W57" i="17"/>
  <c r="X57" i="17"/>
  <c r="Y57" i="17"/>
  <c r="Z57" i="17"/>
  <c r="AA57" i="17"/>
  <c r="AB57" i="17"/>
  <c r="AO57" i="17"/>
  <c r="E58" i="17"/>
  <c r="D59" i="17"/>
  <c r="E59" i="17"/>
  <c r="F59" i="17"/>
  <c r="K59" i="17" s="1"/>
  <c r="J59" i="17"/>
  <c r="D60" i="17"/>
  <c r="F60" i="17"/>
  <c r="K60" i="17" s="1"/>
  <c r="D61" i="17"/>
  <c r="F61" i="17"/>
  <c r="K61" i="17"/>
  <c r="J60" i="17"/>
  <c r="J61" i="17"/>
  <c r="W59" i="17"/>
  <c r="X59" i="17"/>
  <c r="Y59" i="17"/>
  <c r="AA59" i="17"/>
  <c r="AB59" i="17"/>
  <c r="AO59" i="17"/>
  <c r="E60" i="17"/>
  <c r="W60" i="17"/>
  <c r="X60" i="17"/>
  <c r="Y60" i="17"/>
  <c r="Z60" i="17"/>
  <c r="AA60" i="17"/>
  <c r="AB60" i="17"/>
  <c r="AO60" i="17"/>
  <c r="E61" i="17"/>
  <c r="W61" i="17"/>
  <c r="X61" i="17"/>
  <c r="Y61" i="17"/>
  <c r="Z61" i="17"/>
  <c r="AA61" i="17"/>
  <c r="AB61" i="17"/>
  <c r="AO61" i="17"/>
  <c r="D62" i="17"/>
  <c r="E62" i="17"/>
  <c r="F62" i="17"/>
  <c r="J62" i="17"/>
  <c r="D63" i="17"/>
  <c r="F63" i="17"/>
  <c r="D64" i="17"/>
  <c r="F64" i="17"/>
  <c r="J63" i="17"/>
  <c r="J64" i="17"/>
  <c r="E63" i="17"/>
  <c r="W63" i="17"/>
  <c r="Y63" i="17"/>
  <c r="Z63" i="17"/>
  <c r="AA63" i="17"/>
  <c r="AB63" i="17"/>
  <c r="AO63" i="17"/>
  <c r="E64" i="17"/>
  <c r="W64" i="17"/>
  <c r="X64" i="17"/>
  <c r="Y64" i="17"/>
  <c r="Z64" i="17"/>
  <c r="AA64" i="17"/>
  <c r="AB64" i="17"/>
  <c r="AO64" i="17"/>
  <c r="D65" i="17"/>
  <c r="K65" i="17" s="1"/>
  <c r="E65" i="17"/>
  <c r="F65" i="17"/>
  <c r="J65" i="17"/>
  <c r="D66" i="17"/>
  <c r="F66" i="17"/>
  <c r="D67" i="17"/>
  <c r="K67" i="17" s="1"/>
  <c r="F67" i="17"/>
  <c r="J66" i="17"/>
  <c r="J67" i="17"/>
  <c r="W65" i="17"/>
  <c r="X65" i="17"/>
  <c r="Y65" i="17"/>
  <c r="Z65" i="17"/>
  <c r="AA65" i="17"/>
  <c r="AB65" i="17"/>
  <c r="AO65" i="17"/>
  <c r="E66" i="17"/>
  <c r="E67" i="17"/>
  <c r="W67" i="17"/>
  <c r="X67" i="17"/>
  <c r="Y67" i="17"/>
  <c r="Z67" i="17"/>
  <c r="AA67" i="17"/>
  <c r="AB67" i="17"/>
  <c r="D68" i="17"/>
  <c r="E68" i="17"/>
  <c r="F68" i="17"/>
  <c r="J68" i="17"/>
  <c r="K68" i="17"/>
  <c r="D69" i="17"/>
  <c r="F69" i="17"/>
  <c r="D70" i="17"/>
  <c r="F70" i="17"/>
  <c r="J69" i="17"/>
  <c r="J70" i="17"/>
  <c r="W68" i="17"/>
  <c r="X68" i="17"/>
  <c r="Y68" i="17"/>
  <c r="Z68" i="17"/>
  <c r="AA68" i="17"/>
  <c r="AB68" i="17"/>
  <c r="AO68" i="17"/>
  <c r="E69" i="17"/>
  <c r="W69" i="17"/>
  <c r="X69" i="17"/>
  <c r="Y69" i="17"/>
  <c r="Z69" i="17"/>
  <c r="AA69" i="17"/>
  <c r="AB69" i="17"/>
  <c r="AO69" i="17"/>
  <c r="E70" i="17"/>
  <c r="D71" i="17"/>
  <c r="E71" i="17"/>
  <c r="F71" i="17"/>
  <c r="K71" i="17" s="1"/>
  <c r="J71" i="17"/>
  <c r="D72" i="17"/>
  <c r="F72" i="17"/>
  <c r="K72" i="17" s="1"/>
  <c r="D73" i="17"/>
  <c r="K73" i="17" s="1"/>
  <c r="F73" i="17"/>
  <c r="D74" i="17"/>
  <c r="F74" i="17"/>
  <c r="D75" i="17"/>
  <c r="F75" i="17"/>
  <c r="K75" i="17"/>
  <c r="J72" i="17"/>
  <c r="J73" i="17"/>
  <c r="J74" i="17"/>
  <c r="J75" i="17"/>
  <c r="W71" i="17"/>
  <c r="Y71" i="17"/>
  <c r="Z71" i="17"/>
  <c r="AA71" i="17"/>
  <c r="AB71" i="17"/>
  <c r="AO71" i="17"/>
  <c r="E72" i="17"/>
  <c r="W72" i="17"/>
  <c r="X72" i="17"/>
  <c r="Y72" i="17"/>
  <c r="Z72" i="17"/>
  <c r="AA72" i="17"/>
  <c r="AB72" i="17"/>
  <c r="AO72" i="17"/>
  <c r="E73" i="17"/>
  <c r="W73" i="17"/>
  <c r="X73" i="17"/>
  <c r="Y73" i="17"/>
  <c r="Z73" i="17"/>
  <c r="AA73" i="17"/>
  <c r="AB73" i="17"/>
  <c r="AO73" i="17"/>
  <c r="E74" i="17"/>
  <c r="E75" i="17"/>
  <c r="X75" i="17"/>
  <c r="Y75" i="17"/>
  <c r="Z75" i="17"/>
  <c r="AA75" i="17"/>
  <c r="AB75" i="17"/>
  <c r="AO75" i="17"/>
  <c r="D76" i="17"/>
  <c r="K76" i="17" s="1"/>
  <c r="E76" i="17"/>
  <c r="F76" i="17"/>
  <c r="J76" i="17"/>
  <c r="D77" i="17"/>
  <c r="F77" i="17"/>
  <c r="K77" i="17"/>
  <c r="D78" i="17"/>
  <c r="F78" i="17"/>
  <c r="D79" i="17"/>
  <c r="K79" i="17" s="1"/>
  <c r="F79" i="17"/>
  <c r="D80" i="17"/>
  <c r="F80" i="17"/>
  <c r="K80" i="17" s="1"/>
  <c r="J77" i="17"/>
  <c r="J78" i="17"/>
  <c r="J79" i="17"/>
  <c r="J80" i="17"/>
  <c r="W76" i="17"/>
  <c r="X76" i="17"/>
  <c r="Y76" i="17"/>
  <c r="Z76" i="17"/>
  <c r="AA76" i="17"/>
  <c r="AB76" i="17"/>
  <c r="AO76" i="17"/>
  <c r="E77" i="17"/>
  <c r="W77" i="17"/>
  <c r="X77" i="17"/>
  <c r="Y77" i="17"/>
  <c r="Z77" i="17"/>
  <c r="AA77" i="17"/>
  <c r="AB77" i="17"/>
  <c r="AO77" i="17"/>
  <c r="E78" i="17"/>
  <c r="E79" i="17"/>
  <c r="W79" i="17"/>
  <c r="X79" i="17"/>
  <c r="Y79" i="17"/>
  <c r="Z79" i="17"/>
  <c r="AA79" i="17"/>
  <c r="AO79" i="17"/>
  <c r="E80" i="17"/>
  <c r="W80" i="17"/>
  <c r="X80" i="17"/>
  <c r="Y80" i="17"/>
  <c r="Z80" i="17"/>
  <c r="AA80" i="17"/>
  <c r="AB80" i="17"/>
  <c r="AO80" i="17"/>
  <c r="D81" i="17"/>
  <c r="K81" i="17" s="1"/>
  <c r="E81" i="17"/>
  <c r="F81" i="17"/>
  <c r="J81" i="17"/>
  <c r="D82" i="17"/>
  <c r="F82" i="17"/>
  <c r="D83" i="17"/>
  <c r="K83" i="17" s="1"/>
  <c r="F83" i="17"/>
  <c r="D84" i="17"/>
  <c r="F84" i="17"/>
  <c r="K84" i="17" s="1"/>
  <c r="D85" i="17"/>
  <c r="K85" i="17" s="1"/>
  <c r="F85" i="17"/>
  <c r="J82" i="17"/>
  <c r="J83" i="17"/>
  <c r="J84" i="17"/>
  <c r="J85" i="17"/>
  <c r="W81" i="17"/>
  <c r="X81" i="17"/>
  <c r="Y81" i="17"/>
  <c r="Z81" i="17"/>
  <c r="AA81" i="17"/>
  <c r="AB81" i="17"/>
  <c r="AO81" i="17"/>
  <c r="E82" i="17"/>
  <c r="E83" i="17"/>
  <c r="W83" i="17"/>
  <c r="X83" i="17"/>
  <c r="Z83" i="17"/>
  <c r="AA83" i="17"/>
  <c r="AB83" i="17"/>
  <c r="AO83" i="17"/>
  <c r="E84" i="17"/>
  <c r="W84" i="17"/>
  <c r="X84" i="17"/>
  <c r="Y84" i="17"/>
  <c r="Z84" i="17"/>
  <c r="AA84" i="17"/>
  <c r="AB84" i="17"/>
  <c r="AO84" i="17"/>
  <c r="E85" i="17"/>
  <c r="W85" i="17"/>
  <c r="X85" i="17"/>
  <c r="Y85" i="17"/>
  <c r="Z85" i="17"/>
  <c r="AA85" i="17"/>
  <c r="AB85" i="17"/>
  <c r="AO85" i="17"/>
  <c r="D86" i="17"/>
  <c r="E86" i="17"/>
  <c r="F86" i="17"/>
  <c r="J86" i="17"/>
  <c r="D87" i="17"/>
  <c r="F87" i="17"/>
  <c r="D88" i="17"/>
  <c r="F88" i="17"/>
  <c r="D89" i="17"/>
  <c r="F89" i="17"/>
  <c r="K89" i="17" s="1"/>
  <c r="D90" i="17"/>
  <c r="F90" i="17"/>
  <c r="J87" i="17"/>
  <c r="J88" i="17"/>
  <c r="J89" i="17"/>
  <c r="J90" i="17"/>
  <c r="E87" i="17"/>
  <c r="W87" i="17"/>
  <c r="Y87" i="17"/>
  <c r="Z87" i="17"/>
  <c r="AA87" i="17"/>
  <c r="AB87" i="17"/>
  <c r="AO87" i="17"/>
  <c r="E88" i="17"/>
  <c r="W88" i="17"/>
  <c r="X88" i="17"/>
  <c r="Y88" i="17"/>
  <c r="Z88" i="17"/>
  <c r="AA88" i="17"/>
  <c r="AB88" i="17"/>
  <c r="AO88" i="17"/>
  <c r="E89" i="17"/>
  <c r="W89" i="17"/>
  <c r="X89" i="17"/>
  <c r="Y89" i="17"/>
  <c r="Z89" i="17"/>
  <c r="AA89" i="17"/>
  <c r="AB89" i="17"/>
  <c r="AO89" i="17"/>
  <c r="E90" i="17"/>
  <c r="D91" i="17"/>
  <c r="E91" i="17"/>
  <c r="F91" i="17"/>
  <c r="J91" i="17"/>
  <c r="D92" i="17"/>
  <c r="F92" i="17"/>
  <c r="D93" i="17"/>
  <c r="F93" i="17"/>
  <c r="D94" i="17"/>
  <c r="F94" i="17"/>
  <c r="D95" i="17"/>
  <c r="K95" i="17" s="1"/>
  <c r="F95" i="17"/>
  <c r="J92" i="17"/>
  <c r="J93" i="17"/>
  <c r="J94" i="17"/>
  <c r="J95" i="17"/>
  <c r="W91" i="17"/>
  <c r="Y91" i="17"/>
  <c r="Z91" i="17"/>
  <c r="AA91" i="17"/>
  <c r="AB91" i="17"/>
  <c r="AO91" i="17"/>
  <c r="E92" i="17"/>
  <c r="W92" i="17"/>
  <c r="X92" i="17"/>
  <c r="Y92" i="17"/>
  <c r="Z92" i="17"/>
  <c r="AA92" i="17"/>
  <c r="AB92" i="17"/>
  <c r="AO92" i="17"/>
  <c r="E93" i="17"/>
  <c r="W93" i="17"/>
  <c r="X93" i="17"/>
  <c r="Y93" i="17"/>
  <c r="Z93" i="17"/>
  <c r="AA93" i="17"/>
  <c r="AB93" i="17"/>
  <c r="AO93" i="17"/>
  <c r="E94" i="17"/>
  <c r="E95" i="17"/>
  <c r="X95" i="17"/>
  <c r="Y95" i="17"/>
  <c r="Z95" i="17"/>
  <c r="AA95" i="17"/>
  <c r="AB95" i="17"/>
  <c r="AO95" i="17"/>
  <c r="D96" i="17"/>
  <c r="E96" i="17"/>
  <c r="F96" i="17"/>
  <c r="J96" i="17"/>
  <c r="D97" i="17"/>
  <c r="F97" i="17"/>
  <c r="K97" i="17"/>
  <c r="D98" i="17"/>
  <c r="F98" i="17"/>
  <c r="D99" i="17"/>
  <c r="F99" i="17"/>
  <c r="K99" i="17" s="1"/>
  <c r="D100" i="17"/>
  <c r="F100" i="17"/>
  <c r="K100" i="17" s="1"/>
  <c r="J97" i="17"/>
  <c r="J98" i="17"/>
  <c r="J99" i="17"/>
  <c r="J100" i="17"/>
  <c r="W96" i="17"/>
  <c r="X96" i="17"/>
  <c r="Y96" i="17"/>
  <c r="Z96" i="17"/>
  <c r="AA96" i="17"/>
  <c r="AB96" i="17"/>
  <c r="AO96" i="17"/>
  <c r="E97" i="17"/>
  <c r="W97" i="17"/>
  <c r="X97" i="17"/>
  <c r="Y97" i="17"/>
  <c r="Z97" i="17"/>
  <c r="AA97" i="17"/>
  <c r="AB97" i="17"/>
  <c r="AO97" i="17"/>
  <c r="E98" i="17"/>
  <c r="E99" i="17"/>
  <c r="W99" i="17"/>
  <c r="X99" i="17"/>
  <c r="Y99" i="17"/>
  <c r="Z99" i="17"/>
  <c r="AA99" i="17"/>
  <c r="AB99" i="17"/>
  <c r="E100" i="17"/>
  <c r="W100" i="17"/>
  <c r="X100" i="17"/>
  <c r="Y100" i="17"/>
  <c r="Z100" i="17"/>
  <c r="AA100" i="17"/>
  <c r="AB100" i="17"/>
  <c r="AO100" i="17"/>
  <c r="D101" i="17"/>
  <c r="E101" i="17"/>
  <c r="F101" i="17"/>
  <c r="J101" i="17"/>
  <c r="D102" i="17"/>
  <c r="F102" i="17"/>
  <c r="D103" i="17"/>
  <c r="K103" i="17" s="1"/>
  <c r="F103" i="17"/>
  <c r="D104" i="17"/>
  <c r="F104" i="17"/>
  <c r="D105" i="17"/>
  <c r="F105" i="17"/>
  <c r="K105" i="17"/>
  <c r="J102" i="17"/>
  <c r="J103" i="17"/>
  <c r="J104" i="17"/>
  <c r="J105" i="17"/>
  <c r="W101" i="17"/>
  <c r="X101" i="17"/>
  <c r="Y101" i="17"/>
  <c r="Z101" i="17"/>
  <c r="AA101" i="17"/>
  <c r="AB101" i="17"/>
  <c r="AO101" i="17"/>
  <c r="E102" i="17"/>
  <c r="E103" i="17"/>
  <c r="W103" i="17"/>
  <c r="X103" i="17"/>
  <c r="Y103" i="17"/>
  <c r="Z103" i="17"/>
  <c r="AA103" i="17"/>
  <c r="AO103" i="17"/>
  <c r="E104" i="17"/>
  <c r="W104" i="17"/>
  <c r="X104" i="17"/>
  <c r="Y104" i="17"/>
  <c r="Z104" i="17"/>
  <c r="AA104" i="17"/>
  <c r="AB104" i="17"/>
  <c r="AO104" i="17"/>
  <c r="E105" i="17"/>
  <c r="W105" i="17"/>
  <c r="X105" i="17"/>
  <c r="Y105" i="17"/>
  <c r="Z105" i="17"/>
  <c r="AA105" i="17"/>
  <c r="AB105" i="17"/>
  <c r="AO105" i="17"/>
  <c r="D106" i="17"/>
  <c r="E106" i="17"/>
  <c r="F106" i="17"/>
  <c r="J106" i="17"/>
  <c r="D107" i="17"/>
  <c r="F107" i="17"/>
  <c r="D108" i="17"/>
  <c r="K108" i="17" s="1"/>
  <c r="F108" i="17"/>
  <c r="D109" i="17"/>
  <c r="F109" i="17"/>
  <c r="D110" i="17"/>
  <c r="F110" i="17"/>
  <c r="J107" i="17"/>
  <c r="J108" i="17"/>
  <c r="J109" i="17"/>
  <c r="J110" i="17"/>
  <c r="E107" i="17"/>
  <c r="W107" i="17"/>
  <c r="X107" i="17"/>
  <c r="Y107" i="17"/>
  <c r="AA107" i="17"/>
  <c r="AB107" i="17"/>
  <c r="AO107" i="17"/>
  <c r="E108" i="17"/>
  <c r="W108" i="17"/>
  <c r="X108" i="17"/>
  <c r="Y108" i="17"/>
  <c r="Z108" i="17"/>
  <c r="AA108" i="17"/>
  <c r="AB108" i="17"/>
  <c r="AO108" i="17"/>
  <c r="E109" i="17"/>
  <c r="W109" i="17"/>
  <c r="X109" i="17"/>
  <c r="Y109" i="17"/>
  <c r="Z109" i="17"/>
  <c r="AA109" i="17"/>
  <c r="AB109" i="17"/>
  <c r="AO109" i="17"/>
  <c r="E110" i="17"/>
  <c r="D111" i="17"/>
  <c r="E111" i="17"/>
  <c r="F111" i="17"/>
  <c r="J111" i="17"/>
  <c r="D112" i="17"/>
  <c r="F112" i="17"/>
  <c r="D113" i="17"/>
  <c r="F113" i="17"/>
  <c r="D114" i="17"/>
  <c r="F114" i="17"/>
  <c r="D115" i="17"/>
  <c r="K115" i="17" s="1"/>
  <c r="F115" i="17"/>
  <c r="J112" i="17"/>
  <c r="J113" i="17"/>
  <c r="J114" i="17"/>
  <c r="J115" i="17"/>
  <c r="W111" i="17"/>
  <c r="X111" i="17"/>
  <c r="Y111" i="17"/>
  <c r="AA111" i="17"/>
  <c r="AB111" i="17"/>
  <c r="AO111" i="17"/>
  <c r="E112" i="17"/>
  <c r="W112" i="17"/>
  <c r="X112" i="17"/>
  <c r="Y112" i="17"/>
  <c r="Z112" i="17"/>
  <c r="AA112" i="17"/>
  <c r="AB112" i="17"/>
  <c r="AO112" i="17"/>
  <c r="E113" i="17"/>
  <c r="W113" i="17"/>
  <c r="X113" i="17"/>
  <c r="Y113" i="17"/>
  <c r="Z113" i="17"/>
  <c r="AA113" i="17"/>
  <c r="AB113" i="17"/>
  <c r="AO113" i="17"/>
  <c r="E114" i="17"/>
  <c r="E115" i="17"/>
  <c r="W115" i="17"/>
  <c r="X115" i="17"/>
  <c r="Y115" i="17"/>
  <c r="Z115" i="17"/>
  <c r="AA115" i="17"/>
  <c r="AB115" i="17"/>
  <c r="AO115" i="17"/>
  <c r="D116" i="17"/>
  <c r="E116" i="17"/>
  <c r="F116" i="17"/>
  <c r="J116" i="17"/>
  <c r="K116" i="17"/>
  <c r="D117" i="17"/>
  <c r="K117" i="17" s="1"/>
  <c r="F117" i="17"/>
  <c r="D118" i="17"/>
  <c r="F118" i="17"/>
  <c r="J117" i="17"/>
  <c r="J118" i="17"/>
  <c r="W116" i="17"/>
  <c r="X116" i="17"/>
  <c r="Y116" i="17"/>
  <c r="Z116" i="17"/>
  <c r="AA116" i="17"/>
  <c r="AB116" i="17"/>
  <c r="AO116" i="17"/>
  <c r="E117" i="17"/>
  <c r="W117" i="17"/>
  <c r="X117" i="17"/>
  <c r="Y117" i="17"/>
  <c r="Z117" i="17"/>
  <c r="AA117" i="17"/>
  <c r="AB117" i="17"/>
  <c r="AO117" i="17"/>
  <c r="E118" i="17"/>
  <c r="D119" i="17"/>
  <c r="E119" i="17"/>
  <c r="F119" i="17"/>
  <c r="J119" i="17"/>
  <c r="D120" i="17"/>
  <c r="K120" i="17" s="1"/>
  <c r="F120" i="17"/>
  <c r="D121" i="17"/>
  <c r="F121" i="17"/>
  <c r="K121" i="17" s="1"/>
  <c r="J120" i="17"/>
  <c r="J121" i="17"/>
  <c r="W119" i="17"/>
  <c r="X119" i="17"/>
  <c r="Y119" i="17"/>
  <c r="Z119" i="17"/>
  <c r="AA119" i="17"/>
  <c r="AB119" i="17"/>
  <c r="AO119" i="17"/>
  <c r="E120" i="17"/>
  <c r="W120" i="17"/>
  <c r="X120" i="17"/>
  <c r="Y120" i="17"/>
  <c r="Z120" i="17"/>
  <c r="AA120" i="17"/>
  <c r="AB120" i="17"/>
  <c r="AO120" i="17"/>
  <c r="E121" i="17"/>
  <c r="W121" i="17"/>
  <c r="X121" i="17"/>
  <c r="Y121" i="17"/>
  <c r="Z121" i="17"/>
  <c r="AA121" i="17"/>
  <c r="AB121" i="17"/>
  <c r="AO121" i="17"/>
  <c r="D122" i="17"/>
  <c r="E122" i="17"/>
  <c r="F122" i="17"/>
  <c r="J122" i="17"/>
  <c r="D123" i="17"/>
  <c r="F123" i="17"/>
  <c r="D124" i="17"/>
  <c r="F124" i="17"/>
  <c r="K124" i="17"/>
  <c r="J123" i="17"/>
  <c r="J124" i="17"/>
  <c r="E123" i="17"/>
  <c r="W123" i="17"/>
  <c r="X123" i="17"/>
  <c r="Y123" i="17"/>
  <c r="Z123" i="17"/>
  <c r="AA123" i="17"/>
  <c r="AB123" i="17"/>
  <c r="AO123" i="17"/>
  <c r="E124" i="17"/>
  <c r="W124" i="17"/>
  <c r="X124" i="17"/>
  <c r="Y124" i="17"/>
  <c r="Z124" i="17"/>
  <c r="AA124" i="17"/>
  <c r="AB124" i="17"/>
  <c r="AO124" i="17"/>
  <c r="D125" i="17"/>
  <c r="E125" i="17"/>
  <c r="F125" i="17"/>
  <c r="J125" i="17"/>
  <c r="D126" i="17"/>
  <c r="F126" i="17"/>
  <c r="D127" i="17"/>
  <c r="K127" i="17" s="1"/>
  <c r="F127" i="17"/>
  <c r="J126" i="17"/>
  <c r="J127" i="17"/>
  <c r="W125" i="17"/>
  <c r="X125" i="17"/>
  <c r="Y125" i="17"/>
  <c r="Z125" i="17"/>
  <c r="AA125" i="17"/>
  <c r="AB125" i="17"/>
  <c r="AO125" i="17"/>
  <c r="E126" i="17"/>
  <c r="AB126" i="17"/>
  <c r="E127" i="17"/>
  <c r="W127" i="17"/>
  <c r="X127" i="17"/>
  <c r="Y127" i="17"/>
  <c r="Z127" i="17"/>
  <c r="AA127" i="17"/>
  <c r="AB127" i="17"/>
  <c r="AO127" i="17"/>
  <c r="D128" i="17"/>
  <c r="E128" i="17"/>
  <c r="F128" i="17"/>
  <c r="K128" i="17" s="1"/>
  <c r="J128" i="17"/>
  <c r="D129" i="17"/>
  <c r="K129" i="17" s="1"/>
  <c r="F129" i="17"/>
  <c r="D130" i="17"/>
  <c r="F130" i="17"/>
  <c r="J129" i="17"/>
  <c r="J130" i="17"/>
  <c r="W128" i="17"/>
  <c r="X128" i="17"/>
  <c r="Y128" i="17"/>
  <c r="Z128" i="17"/>
  <c r="AA128" i="17"/>
  <c r="AB128" i="17"/>
  <c r="AO128" i="17"/>
  <c r="E129" i="17"/>
  <c r="W129" i="17"/>
  <c r="X129" i="17"/>
  <c r="Y129" i="17"/>
  <c r="Z129" i="17"/>
  <c r="AA129" i="17"/>
  <c r="AB129" i="17"/>
  <c r="AO129" i="17"/>
  <c r="E130" i="17"/>
  <c r="D131" i="17"/>
  <c r="K131" i="17" s="1"/>
  <c r="E131" i="17"/>
  <c r="F131" i="17"/>
  <c r="J131" i="17"/>
  <c r="D132" i="17"/>
  <c r="K132" i="17" s="1"/>
  <c r="F132" i="17"/>
  <c r="D133" i="17"/>
  <c r="F133" i="17"/>
  <c r="D134" i="17"/>
  <c r="F134" i="17"/>
  <c r="D135" i="17"/>
  <c r="F135" i="17"/>
  <c r="K135" i="17"/>
  <c r="J132" i="17"/>
  <c r="J133" i="17"/>
  <c r="J134" i="17"/>
  <c r="J135" i="17"/>
  <c r="W131" i="17"/>
  <c r="X131" i="17"/>
  <c r="Y131" i="17"/>
  <c r="Z131" i="17"/>
  <c r="AA131" i="17"/>
  <c r="AB131" i="17"/>
  <c r="AO131" i="17"/>
  <c r="E132" i="17"/>
  <c r="W132" i="17"/>
  <c r="X132" i="17"/>
  <c r="Y132" i="17"/>
  <c r="Z132" i="17"/>
  <c r="AA132" i="17"/>
  <c r="AB132" i="17"/>
  <c r="AO132" i="17"/>
  <c r="E133" i="17"/>
  <c r="W133" i="17"/>
  <c r="X133" i="17"/>
  <c r="Y133" i="17"/>
  <c r="Z133" i="17"/>
  <c r="AA133" i="17"/>
  <c r="AB133" i="17"/>
  <c r="AO133" i="17"/>
  <c r="E134" i="17"/>
  <c r="E135" i="17"/>
  <c r="W135" i="17"/>
  <c r="X135" i="17"/>
  <c r="Y135" i="17"/>
  <c r="Z135" i="17"/>
  <c r="AA135" i="17"/>
  <c r="AB135" i="17"/>
  <c r="AO135" i="17"/>
  <c r="D136" i="17"/>
  <c r="E136" i="17"/>
  <c r="F136" i="17"/>
  <c r="J136" i="17"/>
  <c r="D137" i="17"/>
  <c r="F137" i="17"/>
  <c r="K137" i="17" s="1"/>
  <c r="D138" i="17"/>
  <c r="K138" i="17" s="1"/>
  <c r="F138" i="17"/>
  <c r="D139" i="17"/>
  <c r="K139" i="17" s="1"/>
  <c r="F139" i="17"/>
  <c r="D140" i="17"/>
  <c r="K140" i="17" s="1"/>
  <c r="F140" i="17"/>
  <c r="J137" i="17"/>
  <c r="J138" i="17"/>
  <c r="J139" i="17"/>
  <c r="J140" i="17"/>
  <c r="W136" i="17"/>
  <c r="X136" i="17"/>
  <c r="Y136" i="17"/>
  <c r="Z136" i="17"/>
  <c r="AA136" i="17"/>
  <c r="AB136" i="17"/>
  <c r="AO136" i="17"/>
  <c r="E137" i="17"/>
  <c r="W137" i="17"/>
  <c r="X137" i="17"/>
  <c r="Y137" i="17"/>
  <c r="Z137" i="17"/>
  <c r="AA137" i="17"/>
  <c r="AB137" i="17"/>
  <c r="AO137" i="17"/>
  <c r="E138" i="17"/>
  <c r="E139" i="17"/>
  <c r="W139" i="17"/>
  <c r="X139" i="17"/>
  <c r="Y139" i="17"/>
  <c r="Z139" i="17"/>
  <c r="AA139" i="17"/>
  <c r="AB139" i="17"/>
  <c r="AO139" i="17"/>
  <c r="E140" i="17"/>
  <c r="W140" i="17"/>
  <c r="X140" i="17"/>
  <c r="Y140" i="17"/>
  <c r="Z140" i="17"/>
  <c r="AA140" i="17"/>
  <c r="AB140" i="17"/>
  <c r="AO140" i="17"/>
  <c r="D141" i="17"/>
  <c r="E141" i="17"/>
  <c r="F141" i="17"/>
  <c r="J141" i="17"/>
  <c r="K141" i="17"/>
  <c r="D142" i="17"/>
  <c r="F142" i="17"/>
  <c r="D143" i="17"/>
  <c r="K143" i="17" s="1"/>
  <c r="F143" i="17"/>
  <c r="D144" i="17"/>
  <c r="F144" i="17"/>
  <c r="K144" i="17"/>
  <c r="D145" i="17"/>
  <c r="K145" i="17" s="1"/>
  <c r="F145" i="17"/>
  <c r="J142" i="17"/>
  <c r="J143" i="17"/>
  <c r="J144" i="17"/>
  <c r="J145" i="17"/>
  <c r="W141" i="17"/>
  <c r="X141" i="17"/>
  <c r="Y141" i="17"/>
  <c r="Z141" i="17"/>
  <c r="AA141" i="17"/>
  <c r="AB141" i="17"/>
  <c r="AO141" i="17"/>
  <c r="E142" i="17"/>
  <c r="E143" i="17"/>
  <c r="W143" i="17"/>
  <c r="X143" i="17"/>
  <c r="Y143" i="17"/>
  <c r="Z143" i="17"/>
  <c r="AA143" i="17"/>
  <c r="AB143" i="17"/>
  <c r="AO143" i="17"/>
  <c r="E144" i="17"/>
  <c r="W144" i="17"/>
  <c r="X144" i="17"/>
  <c r="Y144" i="17"/>
  <c r="Z144" i="17"/>
  <c r="AA144" i="17"/>
  <c r="AB144" i="17"/>
  <c r="AO144" i="17"/>
  <c r="E145" i="17"/>
  <c r="W145" i="17"/>
  <c r="X145" i="17"/>
  <c r="Y145" i="17"/>
  <c r="Z145" i="17"/>
  <c r="AA145" i="17"/>
  <c r="AB145" i="17"/>
  <c r="AO145" i="17"/>
  <c r="D146" i="17"/>
  <c r="E146" i="17"/>
  <c r="F146" i="17"/>
  <c r="J146" i="17"/>
  <c r="D147" i="17"/>
  <c r="F147" i="17"/>
  <c r="D148" i="17"/>
  <c r="F148" i="17"/>
  <c r="K148" i="17"/>
  <c r="D149" i="17"/>
  <c r="K149" i="17" s="1"/>
  <c r="F149" i="17"/>
  <c r="D150" i="17"/>
  <c r="F150" i="17"/>
  <c r="J147" i="17"/>
  <c r="J148" i="17"/>
  <c r="J149" i="17"/>
  <c r="J150" i="17"/>
  <c r="E147" i="17"/>
  <c r="W147" i="17"/>
  <c r="X147" i="17"/>
  <c r="Y147" i="17"/>
  <c r="Z147" i="17"/>
  <c r="AA147" i="17"/>
  <c r="AB147" i="17"/>
  <c r="AO147" i="17"/>
  <c r="E148" i="17"/>
  <c r="W148" i="17"/>
  <c r="X148" i="17"/>
  <c r="Y148" i="17"/>
  <c r="Z148" i="17"/>
  <c r="AA148" i="17"/>
  <c r="AB148" i="17"/>
  <c r="AO148" i="17"/>
  <c r="E149" i="17"/>
  <c r="W149" i="17"/>
  <c r="X149" i="17"/>
  <c r="Y149" i="17"/>
  <c r="Z149" i="17"/>
  <c r="AA149" i="17"/>
  <c r="AB149" i="17"/>
  <c r="AO149" i="17"/>
  <c r="E150" i="17"/>
  <c r="D151" i="17"/>
  <c r="K151" i="17" s="1"/>
  <c r="E151" i="17"/>
  <c r="F151" i="17"/>
  <c r="J151" i="17"/>
  <c r="D152" i="17"/>
  <c r="K152" i="17" s="1"/>
  <c r="F152" i="17"/>
  <c r="D153" i="17"/>
  <c r="F153" i="17"/>
  <c r="D154" i="17"/>
  <c r="F154" i="17"/>
  <c r="D155" i="17"/>
  <c r="K155" i="17" s="1"/>
  <c r="F155" i="17"/>
  <c r="J152" i="17"/>
  <c r="J153" i="17"/>
  <c r="J154" i="17"/>
  <c r="J155" i="17"/>
  <c r="W151" i="17"/>
  <c r="X151" i="17"/>
  <c r="Y151" i="17"/>
  <c r="Z151" i="17"/>
  <c r="AA151" i="17"/>
  <c r="AB151" i="17"/>
  <c r="AO151" i="17"/>
  <c r="E152" i="17"/>
  <c r="W152" i="17"/>
  <c r="X152" i="17"/>
  <c r="Y152" i="17"/>
  <c r="Z152" i="17"/>
  <c r="AA152" i="17"/>
  <c r="AB152" i="17"/>
  <c r="AO152" i="17"/>
  <c r="E153" i="17"/>
  <c r="W153" i="17"/>
  <c r="X153" i="17"/>
  <c r="Y153" i="17"/>
  <c r="Z153" i="17"/>
  <c r="AA153" i="17"/>
  <c r="AB153" i="17"/>
  <c r="AO153" i="17"/>
  <c r="E154" i="17"/>
  <c r="E155" i="17"/>
  <c r="W155" i="17"/>
  <c r="X155" i="17"/>
  <c r="Y155" i="17"/>
  <c r="Z155" i="17"/>
  <c r="AA155" i="17"/>
  <c r="AB155" i="17"/>
  <c r="AO155" i="17"/>
  <c r="D156" i="17"/>
  <c r="E156" i="17"/>
  <c r="F156" i="17"/>
  <c r="J156" i="17"/>
  <c r="D157" i="17"/>
  <c r="F157" i="17"/>
  <c r="K157" i="17" s="1"/>
  <c r="D158" i="17"/>
  <c r="F158" i="17"/>
  <c r="D159" i="17"/>
  <c r="K159" i="17" s="1"/>
  <c r="F159" i="17"/>
  <c r="D160" i="17"/>
  <c r="F160" i="17"/>
  <c r="K160" i="17"/>
  <c r="J157" i="17"/>
  <c r="J158" i="17"/>
  <c r="J159" i="17"/>
  <c r="J160" i="17"/>
  <c r="W156" i="17"/>
  <c r="X156" i="17"/>
  <c r="Y156" i="17"/>
  <c r="Z156" i="17"/>
  <c r="AA156" i="17"/>
  <c r="AB156" i="17"/>
  <c r="AO156" i="17"/>
  <c r="E157" i="17"/>
  <c r="W157" i="17"/>
  <c r="X157" i="17"/>
  <c r="Y157" i="17"/>
  <c r="Z157" i="17"/>
  <c r="AA157" i="17"/>
  <c r="AB157" i="17"/>
  <c r="AO157" i="17"/>
  <c r="E158" i="17"/>
  <c r="AB158" i="17"/>
  <c r="E159" i="17"/>
  <c r="W159" i="17"/>
  <c r="X159" i="17"/>
  <c r="Y159" i="17"/>
  <c r="Z159" i="17"/>
  <c r="AA159" i="17"/>
  <c r="AB159" i="17"/>
  <c r="AO159" i="17"/>
  <c r="E160" i="17"/>
  <c r="W160" i="17"/>
  <c r="X160" i="17"/>
  <c r="Y160" i="17"/>
  <c r="Z160" i="17"/>
  <c r="AA160" i="17"/>
  <c r="AB160" i="17"/>
  <c r="AO160" i="17"/>
  <c r="D161" i="17"/>
  <c r="E161" i="17"/>
  <c r="F161" i="17"/>
  <c r="J161" i="17"/>
  <c r="K161" i="17"/>
  <c r="D162" i="17"/>
  <c r="F162" i="17"/>
  <c r="D163" i="17"/>
  <c r="F163" i="17"/>
  <c r="D164" i="17"/>
  <c r="F164" i="17"/>
  <c r="K164" i="17"/>
  <c r="D165" i="17"/>
  <c r="K165" i="17" s="1"/>
  <c r="F165" i="17"/>
  <c r="J162" i="17"/>
  <c r="J163" i="17"/>
  <c r="J164" i="17"/>
  <c r="J165" i="17"/>
  <c r="W161" i="17"/>
  <c r="X161" i="17"/>
  <c r="Y161" i="17"/>
  <c r="Z161" i="17"/>
  <c r="AA161" i="17"/>
  <c r="AB161" i="17"/>
  <c r="AO161" i="17"/>
  <c r="E162" i="17"/>
  <c r="Y162" i="17"/>
  <c r="Z162" i="17"/>
  <c r="E163" i="17"/>
  <c r="W163" i="17"/>
  <c r="X163" i="17"/>
  <c r="Y163" i="17"/>
  <c r="Z163" i="17"/>
  <c r="AA163" i="17"/>
  <c r="AB163" i="17"/>
  <c r="AO163" i="17"/>
  <c r="E164" i="17"/>
  <c r="W164" i="17"/>
  <c r="X164" i="17"/>
  <c r="Y164" i="17"/>
  <c r="Z164" i="17"/>
  <c r="AA164" i="17"/>
  <c r="AB164" i="17"/>
  <c r="AO164" i="17"/>
  <c r="E165" i="17"/>
  <c r="W165" i="17"/>
  <c r="X165" i="17"/>
  <c r="Y165" i="17"/>
  <c r="Z165" i="17"/>
  <c r="AA165" i="17"/>
  <c r="AB165" i="17"/>
  <c r="AO165" i="17"/>
  <c r="D166" i="17"/>
  <c r="E166" i="17"/>
  <c r="F166" i="17"/>
  <c r="J166" i="17"/>
  <c r="D167" i="17"/>
  <c r="F167" i="17"/>
  <c r="K167" i="17"/>
  <c r="D168" i="17"/>
  <c r="K168" i="17" s="1"/>
  <c r="F168" i="17"/>
  <c r="D169" i="17"/>
  <c r="F169" i="17"/>
  <c r="D170" i="17"/>
  <c r="F170" i="17"/>
  <c r="J167" i="17"/>
  <c r="J168" i="17"/>
  <c r="J169" i="17"/>
  <c r="J170" i="17"/>
  <c r="W166" i="17"/>
  <c r="AB166" i="17"/>
  <c r="AO166" i="17"/>
  <c r="E167" i="17"/>
  <c r="W167" i="17"/>
  <c r="X167" i="17"/>
  <c r="Y167" i="17"/>
  <c r="Z167" i="17"/>
  <c r="AA167" i="17"/>
  <c r="AB167" i="17"/>
  <c r="AO167" i="17"/>
  <c r="E168" i="17"/>
  <c r="W168" i="17"/>
  <c r="X168" i="17"/>
  <c r="Y168" i="17"/>
  <c r="Z168" i="17"/>
  <c r="AA168" i="17"/>
  <c r="AB168" i="17"/>
  <c r="AO168" i="17"/>
  <c r="E169" i="17"/>
  <c r="W169" i="17"/>
  <c r="X169" i="17"/>
  <c r="Y169" i="17"/>
  <c r="Z169" i="17"/>
  <c r="AA169" i="17"/>
  <c r="AB169" i="17"/>
  <c r="AO169" i="17"/>
  <c r="E170" i="17"/>
  <c r="Y170" i="17"/>
  <c r="AB170" i="17"/>
  <c r="D171" i="17"/>
  <c r="E171" i="17"/>
  <c r="F171" i="17"/>
  <c r="J171" i="17"/>
  <c r="D172" i="17"/>
  <c r="F172" i="17"/>
  <c r="K172" i="17"/>
  <c r="D173" i="17"/>
  <c r="F173" i="17"/>
  <c r="D174" i="17"/>
  <c r="F174" i="17"/>
  <c r="D175" i="17"/>
  <c r="F175" i="17"/>
  <c r="K175" i="17" s="1"/>
  <c r="J172" i="17"/>
  <c r="J173" i="17"/>
  <c r="J174" i="17"/>
  <c r="J175" i="17"/>
  <c r="W171" i="17"/>
  <c r="X171" i="17"/>
  <c r="Y171" i="17"/>
  <c r="Z171" i="17"/>
  <c r="AA171" i="17"/>
  <c r="AB171" i="17"/>
  <c r="AO171" i="17"/>
  <c r="E172" i="17"/>
  <c r="W172" i="17"/>
  <c r="X172" i="17"/>
  <c r="Y172" i="17"/>
  <c r="Z172" i="17"/>
  <c r="AA172" i="17"/>
  <c r="AB172" i="17"/>
  <c r="AO172" i="17"/>
  <c r="E173" i="17"/>
  <c r="W173" i="17"/>
  <c r="X173" i="17"/>
  <c r="Y173" i="17"/>
  <c r="Z173" i="17"/>
  <c r="AA173" i="17"/>
  <c r="AB173" i="17"/>
  <c r="AO173" i="17"/>
  <c r="E174" i="17"/>
  <c r="W174" i="17"/>
  <c r="X174" i="17"/>
  <c r="Y174" i="17"/>
  <c r="Z174" i="17"/>
  <c r="AA174" i="17"/>
  <c r="AB174" i="17"/>
  <c r="AO174" i="17"/>
  <c r="E175" i="17"/>
  <c r="W175" i="17"/>
  <c r="X175" i="17"/>
  <c r="Y175" i="17"/>
  <c r="Z175" i="17"/>
  <c r="AA175" i="17"/>
  <c r="AB175" i="17"/>
  <c r="AO175" i="17"/>
  <c r="D176" i="17"/>
  <c r="E176" i="17"/>
  <c r="F176" i="17"/>
  <c r="J176" i="17"/>
  <c r="D177" i="17"/>
  <c r="F177" i="17"/>
  <c r="K177" i="17"/>
  <c r="D178" i="17"/>
  <c r="K178" i="17" s="1"/>
  <c r="F178" i="17"/>
  <c r="J177" i="17"/>
  <c r="J178" i="17"/>
  <c r="W176" i="17"/>
  <c r="X176" i="17"/>
  <c r="Y176" i="17"/>
  <c r="Z176" i="17"/>
  <c r="AA176" i="17"/>
  <c r="AB176" i="17"/>
  <c r="AO176" i="17"/>
  <c r="E177" i="17"/>
  <c r="W177" i="17"/>
  <c r="X177" i="17"/>
  <c r="Y177" i="17"/>
  <c r="Z177" i="17"/>
  <c r="AA177" i="17"/>
  <c r="AB177" i="17"/>
  <c r="AO177" i="17"/>
  <c r="E178" i="17"/>
  <c r="W178" i="17"/>
  <c r="X178" i="17"/>
  <c r="Y178" i="17"/>
  <c r="Z178" i="17"/>
  <c r="AA178" i="17"/>
  <c r="AB178" i="17"/>
  <c r="AO178" i="17"/>
  <c r="D179" i="17"/>
  <c r="E179" i="17"/>
  <c r="F179" i="17"/>
  <c r="J179" i="17"/>
  <c r="D180" i="17"/>
  <c r="K180" i="17" s="1"/>
  <c r="F180" i="17"/>
  <c r="D181" i="17"/>
  <c r="F181" i="17"/>
  <c r="J180" i="17"/>
  <c r="J181" i="17"/>
  <c r="W179" i="17"/>
  <c r="X179" i="17"/>
  <c r="Y179" i="17"/>
  <c r="Z179" i="17"/>
  <c r="AA179" i="17"/>
  <c r="AB179" i="17"/>
  <c r="AO179" i="17"/>
  <c r="E180" i="17"/>
  <c r="W180" i="17"/>
  <c r="X180" i="17"/>
  <c r="Y180" i="17"/>
  <c r="Z180" i="17"/>
  <c r="AA180" i="17"/>
  <c r="AB180" i="17"/>
  <c r="AO180" i="17"/>
  <c r="E181" i="17"/>
  <c r="W181" i="17"/>
  <c r="X181" i="17"/>
  <c r="Y181" i="17"/>
  <c r="Z181" i="17"/>
  <c r="AA181" i="17"/>
  <c r="AB181" i="17"/>
  <c r="AO181" i="17"/>
  <c r="D182" i="17"/>
  <c r="E182" i="17"/>
  <c r="F182" i="17"/>
  <c r="J182" i="17"/>
  <c r="D183" i="17"/>
  <c r="F183" i="17"/>
  <c r="K183" i="17" s="1"/>
  <c r="D184" i="17"/>
  <c r="F184" i="17"/>
  <c r="K184" i="17"/>
  <c r="J183" i="17"/>
  <c r="J184" i="17"/>
  <c r="W182" i="17"/>
  <c r="X182" i="17"/>
  <c r="Y182" i="17"/>
  <c r="Z182" i="17"/>
  <c r="AA182" i="17"/>
  <c r="AB182" i="17"/>
  <c r="AO182" i="17"/>
  <c r="E183" i="17"/>
  <c r="W183" i="17"/>
  <c r="X183" i="17"/>
  <c r="Y183" i="17"/>
  <c r="Z183" i="17"/>
  <c r="AA183" i="17"/>
  <c r="AB183" i="17"/>
  <c r="AO183" i="17"/>
  <c r="E184" i="17"/>
  <c r="W184" i="17"/>
  <c r="X184" i="17"/>
  <c r="Y184" i="17"/>
  <c r="Z184" i="17"/>
  <c r="AA184" i="17"/>
  <c r="AB184" i="17"/>
  <c r="AO184" i="17"/>
  <c r="D185" i="17"/>
  <c r="K185" i="17" s="1"/>
  <c r="E185" i="17"/>
  <c r="F185" i="17"/>
  <c r="J185" i="17"/>
  <c r="D186" i="17"/>
  <c r="K186" i="17" s="1"/>
  <c r="F186" i="17"/>
  <c r="D187" i="17"/>
  <c r="F187" i="17"/>
  <c r="J186" i="17"/>
  <c r="J187" i="17"/>
  <c r="W185" i="17"/>
  <c r="X185" i="17"/>
  <c r="Y185" i="17"/>
  <c r="Z185" i="17"/>
  <c r="AA185" i="17"/>
  <c r="AB185" i="17"/>
  <c r="AO185" i="17"/>
  <c r="E186" i="17"/>
  <c r="W186" i="17"/>
  <c r="X186" i="17"/>
  <c r="Y186" i="17"/>
  <c r="Z186" i="17"/>
  <c r="AA186" i="17"/>
  <c r="AB186" i="17"/>
  <c r="AO186" i="17"/>
  <c r="E187" i="17"/>
  <c r="W187" i="17"/>
  <c r="X187" i="17"/>
  <c r="Y187" i="17"/>
  <c r="Z187" i="17"/>
  <c r="AA187" i="17"/>
  <c r="AB187" i="17"/>
  <c r="AO187" i="17"/>
  <c r="D188" i="17"/>
  <c r="E188" i="17"/>
  <c r="F188" i="17"/>
  <c r="J188" i="17"/>
  <c r="K188" i="17"/>
  <c r="D189" i="17"/>
  <c r="K189" i="17" s="1"/>
  <c r="F189" i="17"/>
  <c r="D190" i="17"/>
  <c r="F190" i="17"/>
  <c r="K190" i="17" s="1"/>
  <c r="J189" i="17"/>
  <c r="J190" i="17"/>
  <c r="W188" i="17"/>
  <c r="X188" i="17"/>
  <c r="Y188" i="17"/>
  <c r="Z188" i="17"/>
  <c r="AA188" i="17"/>
  <c r="AB188" i="17"/>
  <c r="AO188" i="17"/>
  <c r="E189" i="17"/>
  <c r="W189" i="17"/>
  <c r="X189" i="17"/>
  <c r="Y189" i="17"/>
  <c r="Z189" i="17"/>
  <c r="AA189" i="17"/>
  <c r="AB189" i="17"/>
  <c r="AO189" i="17"/>
  <c r="E190" i="17"/>
  <c r="W190" i="17"/>
  <c r="X190" i="17"/>
  <c r="Y190" i="17"/>
  <c r="Z190" i="17"/>
  <c r="AA190" i="17"/>
  <c r="AB190" i="17"/>
  <c r="AO190" i="17"/>
  <c r="D191" i="17"/>
  <c r="E191" i="17"/>
  <c r="F191" i="17"/>
  <c r="J191" i="17"/>
  <c r="D192" i="17"/>
  <c r="K192" i="17" s="1"/>
  <c r="F192" i="17"/>
  <c r="D193" i="17"/>
  <c r="F193" i="17"/>
  <c r="D194" i="17"/>
  <c r="F194" i="17"/>
  <c r="K194" i="17"/>
  <c r="D195" i="17"/>
  <c r="F195" i="17"/>
  <c r="J192" i="17"/>
  <c r="J193" i="17"/>
  <c r="J194" i="17"/>
  <c r="J195" i="17"/>
  <c r="W191" i="17"/>
  <c r="X191" i="17"/>
  <c r="Y191" i="17"/>
  <c r="Z191" i="17"/>
  <c r="AA191" i="17"/>
  <c r="AB191" i="17"/>
  <c r="AO191" i="17"/>
  <c r="E192" i="17"/>
  <c r="W192" i="17"/>
  <c r="X192" i="17"/>
  <c r="Y192" i="17"/>
  <c r="Z192" i="17"/>
  <c r="AA192" i="17"/>
  <c r="AB192" i="17"/>
  <c r="AO192" i="17"/>
  <c r="E193" i="17"/>
  <c r="W193" i="17"/>
  <c r="X193" i="17"/>
  <c r="Y193" i="17"/>
  <c r="Z193" i="17"/>
  <c r="AA193" i="17"/>
  <c r="AB193" i="17"/>
  <c r="AO193" i="17"/>
  <c r="E194" i="17"/>
  <c r="W194" i="17"/>
  <c r="X194" i="17"/>
  <c r="Y194" i="17"/>
  <c r="Z194" i="17"/>
  <c r="AA194" i="17"/>
  <c r="AB194" i="17"/>
  <c r="AO194" i="17"/>
  <c r="E195" i="17"/>
  <c r="W195" i="17"/>
  <c r="X195" i="17"/>
  <c r="Y195" i="17"/>
  <c r="Z195" i="17"/>
  <c r="AA195" i="17"/>
  <c r="AB195" i="17"/>
  <c r="AO195" i="17"/>
  <c r="D196" i="17"/>
  <c r="K196" i="17" s="1"/>
  <c r="E196" i="17"/>
  <c r="F196" i="17"/>
  <c r="J196" i="17"/>
  <c r="D197" i="17"/>
  <c r="F197" i="17"/>
  <c r="D198" i="17"/>
  <c r="F198" i="17"/>
  <c r="K198" i="17" s="1"/>
  <c r="D199" i="17"/>
  <c r="F199" i="17"/>
  <c r="D200" i="17"/>
  <c r="K200" i="17" s="1"/>
  <c r="F200" i="17"/>
  <c r="J197" i="17"/>
  <c r="J198" i="17"/>
  <c r="J199" i="17"/>
  <c r="J200" i="17"/>
  <c r="W196" i="17"/>
  <c r="X196" i="17"/>
  <c r="Y196" i="17"/>
  <c r="Z196" i="17"/>
  <c r="AA196" i="17"/>
  <c r="AB196" i="17"/>
  <c r="AO196" i="17"/>
  <c r="E197" i="17"/>
  <c r="E198" i="17"/>
  <c r="W198" i="17"/>
  <c r="X198" i="17"/>
  <c r="Y198" i="17"/>
  <c r="Z198" i="17"/>
  <c r="AA198" i="17"/>
  <c r="AB198" i="17"/>
  <c r="AO198" i="17"/>
  <c r="E199" i="17"/>
  <c r="W199" i="17"/>
  <c r="X199" i="17"/>
  <c r="Y199" i="17"/>
  <c r="Z199" i="17"/>
  <c r="AA199" i="17"/>
  <c r="AB199" i="17"/>
  <c r="AO199" i="17"/>
  <c r="E200" i="17"/>
  <c r="W200" i="17"/>
  <c r="X200" i="17"/>
  <c r="Y200" i="17"/>
  <c r="Z200" i="17"/>
  <c r="AA200" i="17"/>
  <c r="AB200" i="17"/>
  <c r="AO200" i="17"/>
  <c r="D201" i="17"/>
  <c r="K201" i="17" s="1"/>
  <c r="E201" i="17"/>
  <c r="F201" i="17"/>
  <c r="J201" i="17"/>
  <c r="D202" i="17"/>
  <c r="F202" i="17"/>
  <c r="D203" i="17"/>
  <c r="F203" i="17"/>
  <c r="D204" i="17"/>
  <c r="F204" i="17"/>
  <c r="D205" i="17"/>
  <c r="K205" i="17" s="1"/>
  <c r="F205" i="17"/>
  <c r="J202" i="17"/>
  <c r="J203" i="17"/>
  <c r="J204" i="17"/>
  <c r="J205" i="17"/>
  <c r="W201" i="17"/>
  <c r="AA201" i="17"/>
  <c r="E202" i="17"/>
  <c r="W202" i="17"/>
  <c r="X202" i="17"/>
  <c r="Y202" i="17"/>
  <c r="Z202" i="17"/>
  <c r="AA202" i="17"/>
  <c r="AB202" i="17"/>
  <c r="AO202" i="17"/>
  <c r="E203" i="17"/>
  <c r="W203" i="17"/>
  <c r="X203" i="17"/>
  <c r="Y203" i="17"/>
  <c r="Z203" i="17"/>
  <c r="AA203" i="17"/>
  <c r="AB203" i="17"/>
  <c r="AO203" i="17"/>
  <c r="E204" i="17"/>
  <c r="W204" i="17"/>
  <c r="X204" i="17"/>
  <c r="Y204" i="17"/>
  <c r="Z204" i="17"/>
  <c r="AA204" i="17"/>
  <c r="AB204" i="17"/>
  <c r="AO204" i="17"/>
  <c r="E205" i="17"/>
  <c r="W205" i="17"/>
  <c r="X205" i="17"/>
  <c r="Y205" i="17"/>
  <c r="Z205" i="17"/>
  <c r="AA205" i="17"/>
  <c r="AB205" i="17"/>
  <c r="AO205" i="17"/>
  <c r="D206" i="17"/>
  <c r="E206" i="17"/>
  <c r="F206" i="17"/>
  <c r="J206" i="17"/>
  <c r="D207" i="17"/>
  <c r="F207" i="17"/>
  <c r="D208" i="17"/>
  <c r="K208" i="17" s="1"/>
  <c r="F208" i="17"/>
  <c r="D209" i="17"/>
  <c r="F209" i="17"/>
  <c r="K209" i="17"/>
  <c r="D210" i="17"/>
  <c r="F210" i="17"/>
  <c r="J207" i="17"/>
  <c r="J208" i="17"/>
  <c r="J209" i="17"/>
  <c r="J210" i="17"/>
  <c r="E207" i="17"/>
  <c r="W207" i="17"/>
  <c r="X207" i="17"/>
  <c r="Y207" i="17"/>
  <c r="Z207" i="17"/>
  <c r="AA207" i="17"/>
  <c r="AB207" i="17"/>
  <c r="AO207" i="17"/>
  <c r="E208" i="17"/>
  <c r="W208" i="17"/>
  <c r="X208" i="17"/>
  <c r="Y208" i="17"/>
  <c r="Z208" i="17"/>
  <c r="AA208" i="17"/>
  <c r="AB208" i="17"/>
  <c r="AO208" i="17"/>
  <c r="E209" i="17"/>
  <c r="W209" i="17"/>
  <c r="X209" i="17"/>
  <c r="Y209" i="17"/>
  <c r="Z209" i="17"/>
  <c r="AA209" i="17"/>
  <c r="AB209" i="17"/>
  <c r="AO209" i="17"/>
  <c r="E210" i="17"/>
  <c r="W210" i="17"/>
  <c r="X210" i="17"/>
  <c r="Y210" i="17"/>
  <c r="Z210" i="17"/>
  <c r="AA210" i="17"/>
  <c r="AB210" i="17"/>
  <c r="AO210" i="17"/>
  <c r="D211" i="17"/>
  <c r="K211" i="17" s="1"/>
  <c r="E211" i="17"/>
  <c r="F211" i="17"/>
  <c r="J211" i="17"/>
  <c r="D212" i="17"/>
  <c r="F212" i="17"/>
  <c r="D213" i="17"/>
  <c r="F213" i="17"/>
  <c r="D214" i="17"/>
  <c r="F214" i="17"/>
  <c r="K214" i="17"/>
  <c r="D215" i="17"/>
  <c r="F215" i="17"/>
  <c r="J212" i="17"/>
  <c r="J213" i="17"/>
  <c r="J214" i="17"/>
  <c r="J215" i="17"/>
  <c r="W211" i="17"/>
  <c r="X211" i="17"/>
  <c r="Y211" i="17"/>
  <c r="Z211" i="17"/>
  <c r="AA211" i="17"/>
  <c r="AB211" i="17"/>
  <c r="AO211" i="17"/>
  <c r="E212" i="17"/>
  <c r="W212" i="17"/>
  <c r="X212" i="17"/>
  <c r="Y212" i="17"/>
  <c r="Z212" i="17"/>
  <c r="AA212" i="17"/>
  <c r="AB212" i="17"/>
  <c r="AO212" i="17"/>
  <c r="E213" i="17"/>
  <c r="W213" i="17"/>
  <c r="X213" i="17"/>
  <c r="Y213" i="17"/>
  <c r="Z213" i="17"/>
  <c r="AA213" i="17"/>
  <c r="AB213" i="17"/>
  <c r="AO213" i="17"/>
  <c r="E214" i="17"/>
  <c r="W214" i="17"/>
  <c r="X214" i="17"/>
  <c r="Y214" i="17"/>
  <c r="Z214" i="17"/>
  <c r="AA214" i="17"/>
  <c r="AB214" i="17"/>
  <c r="AO214" i="17"/>
  <c r="E215" i="17"/>
  <c r="W215" i="17"/>
  <c r="X215" i="17"/>
  <c r="Y215" i="17"/>
  <c r="Z215" i="17"/>
  <c r="AA215" i="17"/>
  <c r="AB215" i="17"/>
  <c r="AO215" i="17"/>
  <c r="D216" i="17"/>
  <c r="E216" i="17"/>
  <c r="F216" i="17"/>
  <c r="K216" i="17" s="1"/>
  <c r="J216" i="17"/>
  <c r="D217" i="17"/>
  <c r="K217" i="17" s="1"/>
  <c r="F217" i="17"/>
  <c r="D218" i="17"/>
  <c r="F218" i="17"/>
  <c r="K218" i="17" s="1"/>
  <c r="D219" i="17"/>
  <c r="F219" i="17"/>
  <c r="D220" i="17"/>
  <c r="K220" i="17" s="1"/>
  <c r="F220" i="17"/>
  <c r="J217" i="17"/>
  <c r="J218" i="17"/>
  <c r="J219" i="17"/>
  <c r="J220" i="17"/>
  <c r="W216" i="17"/>
  <c r="X216" i="17"/>
  <c r="Y216" i="17"/>
  <c r="Z216" i="17"/>
  <c r="AA216" i="17"/>
  <c r="AB216" i="17"/>
  <c r="AO216" i="17"/>
  <c r="E217" i="17"/>
  <c r="W217" i="17"/>
  <c r="X217" i="17"/>
  <c r="Y217" i="17"/>
  <c r="Z217" i="17"/>
  <c r="AA217" i="17"/>
  <c r="AB217" i="17"/>
  <c r="AO217" i="17"/>
  <c r="E218" i="17"/>
  <c r="W218" i="17"/>
  <c r="X218" i="17"/>
  <c r="Y218" i="17"/>
  <c r="Z218" i="17"/>
  <c r="AA218" i="17"/>
  <c r="AB218" i="17"/>
  <c r="AC218" i="17"/>
  <c r="AO218" i="17"/>
  <c r="E219" i="17"/>
  <c r="W219" i="17"/>
  <c r="X219" i="17"/>
  <c r="Y219" i="17"/>
  <c r="Z219" i="17"/>
  <c r="AA219" i="17"/>
  <c r="AB219" i="17"/>
  <c r="AO219" i="17"/>
  <c r="E220" i="17"/>
  <c r="W220" i="17"/>
  <c r="X220" i="17"/>
  <c r="Y220" i="17"/>
  <c r="Z220" i="17"/>
  <c r="AA220" i="17"/>
  <c r="AB220" i="17"/>
  <c r="AO220" i="17"/>
  <c r="D221" i="17"/>
  <c r="K221" i="17" s="1"/>
  <c r="E221" i="17"/>
  <c r="F221" i="17"/>
  <c r="J221" i="17"/>
  <c r="D222" i="17"/>
  <c r="F222" i="17"/>
  <c r="D223" i="17"/>
  <c r="F223" i="17"/>
  <c r="D224" i="17"/>
  <c r="F224" i="17"/>
  <c r="D225" i="17"/>
  <c r="K225" i="17" s="1"/>
  <c r="F225" i="17"/>
  <c r="J222" i="17"/>
  <c r="J223" i="17"/>
  <c r="J224" i="17"/>
  <c r="J225" i="17"/>
  <c r="W221" i="17"/>
  <c r="X221" i="17"/>
  <c r="Y221" i="17"/>
  <c r="Z221" i="17"/>
  <c r="AA221" i="17"/>
  <c r="AB221" i="17"/>
  <c r="AO221" i="17"/>
  <c r="E222" i="17"/>
  <c r="W222" i="17"/>
  <c r="X222" i="17"/>
  <c r="Y222" i="17"/>
  <c r="Z222" i="17"/>
  <c r="AA222" i="17"/>
  <c r="AB222" i="17"/>
  <c r="AO222" i="17"/>
  <c r="E223" i="17"/>
  <c r="W223" i="17"/>
  <c r="X223" i="17"/>
  <c r="Y223" i="17"/>
  <c r="Z223" i="17"/>
  <c r="AA223" i="17"/>
  <c r="AB223" i="17"/>
  <c r="AO223" i="17"/>
  <c r="E224" i="17"/>
  <c r="W224" i="17"/>
  <c r="X224" i="17"/>
  <c r="Y224" i="17"/>
  <c r="Z224" i="17"/>
  <c r="AA224" i="17"/>
  <c r="AB224" i="17"/>
  <c r="AO224" i="17"/>
  <c r="E225" i="17"/>
  <c r="W225" i="17"/>
  <c r="X225" i="17"/>
  <c r="Y225" i="17"/>
  <c r="Z225" i="17"/>
  <c r="AA225" i="17"/>
  <c r="AB225" i="17"/>
  <c r="AO225" i="17"/>
  <c r="D226" i="17"/>
  <c r="E226" i="17"/>
  <c r="F226" i="17"/>
  <c r="J226" i="17"/>
  <c r="D227" i="17"/>
  <c r="F227" i="17"/>
  <c r="D228" i="17"/>
  <c r="F228" i="17"/>
  <c r="K228" i="17"/>
  <c r="D229" i="17"/>
  <c r="F229" i="17"/>
  <c r="D230" i="17"/>
  <c r="K230" i="17" s="1"/>
  <c r="F230" i="17"/>
  <c r="J227" i="17"/>
  <c r="J228" i="17"/>
  <c r="J229" i="17"/>
  <c r="J230" i="17"/>
  <c r="W226" i="17"/>
  <c r="X226" i="17"/>
  <c r="Y226" i="17"/>
  <c r="Z226" i="17"/>
  <c r="AA226" i="17"/>
  <c r="AB226" i="17"/>
  <c r="AO226" i="17"/>
  <c r="E227" i="17"/>
  <c r="W227" i="17"/>
  <c r="X227" i="17"/>
  <c r="Y227" i="17"/>
  <c r="Z227" i="17"/>
  <c r="AA227" i="17"/>
  <c r="AB227" i="17"/>
  <c r="AO227" i="17"/>
  <c r="E228" i="17"/>
  <c r="W228" i="17"/>
  <c r="X228" i="17"/>
  <c r="Y228" i="17"/>
  <c r="Z228" i="17"/>
  <c r="AA228" i="17"/>
  <c r="AB228" i="17"/>
  <c r="AO228" i="17"/>
  <c r="E229" i="17"/>
  <c r="AA229" i="17"/>
  <c r="E230" i="17"/>
  <c r="W230" i="17"/>
  <c r="X230" i="17"/>
  <c r="Y230" i="17"/>
  <c r="Z230" i="17"/>
  <c r="AA230" i="17"/>
  <c r="AB230" i="17"/>
  <c r="AO230" i="17"/>
  <c r="D231" i="17"/>
  <c r="E231" i="17"/>
  <c r="F231" i="17"/>
  <c r="J231" i="17"/>
  <c r="K231" i="17"/>
  <c r="D232" i="17"/>
  <c r="F232" i="17"/>
  <c r="D233" i="17"/>
  <c r="K233" i="17" s="1"/>
  <c r="F233" i="17"/>
  <c r="D234" i="17"/>
  <c r="F234" i="17"/>
  <c r="D235" i="17"/>
  <c r="F235" i="17"/>
  <c r="K235" i="17" s="1"/>
  <c r="J232" i="17"/>
  <c r="J233" i="17"/>
  <c r="J234" i="17"/>
  <c r="J235" i="17"/>
  <c r="W231" i="17"/>
  <c r="X231" i="17"/>
  <c r="Y231" i="17"/>
  <c r="Z231" i="17"/>
  <c r="AA231" i="17"/>
  <c r="AB231" i="17"/>
  <c r="AO231" i="17"/>
  <c r="E232" i="17"/>
  <c r="W232" i="17"/>
  <c r="X232" i="17"/>
  <c r="Y232" i="17"/>
  <c r="Z232" i="17"/>
  <c r="AA232" i="17"/>
  <c r="AB232" i="17"/>
  <c r="AO232" i="17"/>
  <c r="E233" i="17"/>
  <c r="W233" i="17"/>
  <c r="X233" i="17"/>
  <c r="Y233" i="17"/>
  <c r="Z233" i="17"/>
  <c r="AA233" i="17"/>
  <c r="AB233" i="17"/>
  <c r="AO233" i="17"/>
  <c r="E234" i="17"/>
  <c r="W234" i="17"/>
  <c r="X234" i="17"/>
  <c r="Y234" i="17"/>
  <c r="Z234" i="17"/>
  <c r="AA234" i="17"/>
  <c r="AB234" i="17"/>
  <c r="AO234" i="17"/>
  <c r="E235" i="17"/>
  <c r="W235" i="17"/>
  <c r="X235" i="17"/>
  <c r="Y235" i="17"/>
  <c r="Z235" i="17"/>
  <c r="AA235" i="17"/>
  <c r="AB235" i="17"/>
  <c r="AO235" i="17"/>
  <c r="D236" i="17"/>
  <c r="K236" i="17" s="1"/>
  <c r="E236" i="17"/>
  <c r="F236" i="17"/>
  <c r="J236" i="17"/>
  <c r="D237" i="17"/>
  <c r="K237" i="17" s="1"/>
  <c r="F237" i="17"/>
  <c r="D238" i="17"/>
  <c r="K238" i="17" s="1"/>
  <c r="F238" i="17"/>
  <c r="J237" i="17"/>
  <c r="J238" i="17"/>
  <c r="W236" i="17"/>
  <c r="X236" i="17"/>
  <c r="Y236" i="17"/>
  <c r="Z236" i="17"/>
  <c r="AA236" i="17"/>
  <c r="AB236" i="17"/>
  <c r="AO236" i="17"/>
  <c r="E237" i="17"/>
  <c r="W237" i="17"/>
  <c r="X237" i="17"/>
  <c r="Y237" i="17"/>
  <c r="Z237" i="17"/>
  <c r="AA237" i="17"/>
  <c r="AB237" i="17"/>
  <c r="AO237" i="17"/>
  <c r="E238" i="17"/>
  <c r="W238" i="17"/>
  <c r="X238" i="17"/>
  <c r="Y238" i="17"/>
  <c r="Z238" i="17"/>
  <c r="AA238" i="17"/>
  <c r="AB238" i="17"/>
  <c r="AO238" i="17"/>
  <c r="D239" i="17"/>
  <c r="E239" i="17"/>
  <c r="F239" i="17"/>
  <c r="J239" i="17"/>
  <c r="K239" i="17"/>
  <c r="D240" i="17"/>
  <c r="K240" i="17" s="1"/>
  <c r="F240" i="17"/>
  <c r="D241" i="17"/>
  <c r="F241" i="17"/>
  <c r="K241" i="17"/>
  <c r="J240" i="17"/>
  <c r="J241" i="17"/>
  <c r="W239" i="17"/>
  <c r="X239" i="17"/>
  <c r="Y239" i="17"/>
  <c r="Z239" i="17"/>
  <c r="AA239" i="17"/>
  <c r="AB239" i="17"/>
  <c r="AO239" i="17"/>
  <c r="E240" i="17"/>
  <c r="W240" i="17"/>
  <c r="X240" i="17"/>
  <c r="Y240" i="17"/>
  <c r="Z240" i="17"/>
  <c r="AA240" i="17"/>
  <c r="AB240" i="17"/>
  <c r="AO240" i="17"/>
  <c r="E241" i="17"/>
  <c r="W241" i="17"/>
  <c r="X241" i="17"/>
  <c r="Y241" i="17"/>
  <c r="Z241" i="17"/>
  <c r="AA241" i="17"/>
  <c r="AB241" i="17"/>
  <c r="AO241" i="17"/>
  <c r="D242" i="17"/>
  <c r="K242" i="17" s="1"/>
  <c r="E242" i="17"/>
  <c r="F242" i="17"/>
  <c r="J242" i="17"/>
  <c r="D243" i="17"/>
  <c r="F243" i="17"/>
  <c r="K243" i="17"/>
  <c r="D244" i="17"/>
  <c r="K244" i="17" s="1"/>
  <c r="F244" i="17"/>
  <c r="J243" i="17"/>
  <c r="J244" i="17"/>
  <c r="W242" i="17"/>
  <c r="X242" i="17"/>
  <c r="Y242" i="17"/>
  <c r="Z242" i="17"/>
  <c r="AA242" i="17"/>
  <c r="AB242" i="17"/>
  <c r="AO242" i="17"/>
  <c r="E243" i="17"/>
  <c r="W243" i="17"/>
  <c r="X243" i="17"/>
  <c r="Y243" i="17"/>
  <c r="Z243" i="17"/>
  <c r="AA243" i="17"/>
  <c r="AB243" i="17"/>
  <c r="AO243" i="17"/>
  <c r="E244" i="17"/>
  <c r="W244" i="17"/>
  <c r="X244" i="17"/>
  <c r="Y244" i="17"/>
  <c r="Z244" i="17"/>
  <c r="AA244" i="17"/>
  <c r="AB244" i="17"/>
  <c r="AO244" i="17"/>
  <c r="D245" i="17"/>
  <c r="E245" i="17"/>
  <c r="F245" i="17"/>
  <c r="J245" i="17"/>
  <c r="D246" i="17"/>
  <c r="F246" i="17"/>
  <c r="D247" i="17"/>
  <c r="K247" i="17" s="1"/>
  <c r="F247" i="17"/>
  <c r="J246" i="17"/>
  <c r="J247" i="17"/>
  <c r="E246" i="17"/>
  <c r="W246" i="17"/>
  <c r="X246" i="17"/>
  <c r="Y246" i="17"/>
  <c r="Z246" i="17"/>
  <c r="AA246" i="17"/>
  <c r="AB246" i="17"/>
  <c r="AO246" i="17"/>
  <c r="E247" i="17"/>
  <c r="W247" i="17"/>
  <c r="X247" i="17"/>
  <c r="Y247" i="17"/>
  <c r="Z247" i="17"/>
  <c r="AA247" i="17"/>
  <c r="AB247" i="17"/>
  <c r="AO247" i="17"/>
  <c r="D248" i="17"/>
  <c r="E248" i="17"/>
  <c r="F248" i="17"/>
  <c r="J248" i="17"/>
  <c r="D249" i="17"/>
  <c r="F249" i="17"/>
  <c r="D250" i="17"/>
  <c r="K250" i="17" s="1"/>
  <c r="F250" i="17"/>
  <c r="J249" i="17"/>
  <c r="J250" i="17"/>
  <c r="W248" i="17"/>
  <c r="X248" i="17"/>
  <c r="Y248" i="17"/>
  <c r="Z248" i="17"/>
  <c r="AA248" i="17"/>
  <c r="AB248" i="17"/>
  <c r="AO248" i="17"/>
  <c r="E249" i="17"/>
  <c r="AA249" i="17"/>
  <c r="AB249" i="17"/>
  <c r="E250" i="17"/>
  <c r="W250" i="17"/>
  <c r="X250" i="17"/>
  <c r="Y250" i="17"/>
  <c r="Z250" i="17"/>
  <c r="AA250" i="17"/>
  <c r="AB250" i="17"/>
  <c r="AO250" i="17"/>
  <c r="D251" i="17"/>
  <c r="E251" i="17"/>
  <c r="F251" i="17"/>
  <c r="J251" i="17"/>
  <c r="K251" i="17"/>
  <c r="D252" i="17"/>
  <c r="F252" i="17"/>
  <c r="D253" i="17"/>
  <c r="K253" i="17" s="1"/>
  <c r="F253" i="17"/>
  <c r="D254" i="17"/>
  <c r="F254" i="17"/>
  <c r="D255" i="17"/>
  <c r="F255" i="17"/>
  <c r="J252" i="17"/>
  <c r="J253" i="17"/>
  <c r="J254" i="17"/>
  <c r="J255" i="17"/>
  <c r="W251" i="17"/>
  <c r="X251" i="17"/>
  <c r="Y251" i="17"/>
  <c r="Z251" i="17"/>
  <c r="AA251" i="17"/>
  <c r="AB251" i="17"/>
  <c r="AO251" i="17"/>
  <c r="E252" i="17"/>
  <c r="W252" i="17"/>
  <c r="X252" i="17"/>
  <c r="Y252" i="17"/>
  <c r="Z252" i="17"/>
  <c r="AA252" i="17"/>
  <c r="AB252" i="17"/>
  <c r="AO252" i="17"/>
  <c r="E253" i="17"/>
  <c r="W253" i="17"/>
  <c r="X253" i="17"/>
  <c r="Y253" i="17"/>
  <c r="Z253" i="17"/>
  <c r="AA253" i="17"/>
  <c r="AB253" i="17"/>
  <c r="AO253" i="17"/>
  <c r="E254" i="17"/>
  <c r="E255" i="17"/>
  <c r="W255" i="17"/>
  <c r="X255" i="17"/>
  <c r="Y255" i="17"/>
  <c r="Z255" i="17"/>
  <c r="AA255" i="17"/>
  <c r="AB255" i="17"/>
  <c r="AO255" i="17"/>
  <c r="D256" i="17"/>
  <c r="E256" i="17"/>
  <c r="F256" i="17"/>
  <c r="J256" i="17"/>
  <c r="D257" i="17"/>
  <c r="F257" i="17"/>
  <c r="D258" i="17"/>
  <c r="K258" i="17" s="1"/>
  <c r="F258" i="17"/>
  <c r="D259" i="17"/>
  <c r="F259" i="17"/>
  <c r="K259" i="17"/>
  <c r="D260" i="17"/>
  <c r="F260" i="17"/>
  <c r="J257" i="17"/>
  <c r="J258" i="17"/>
  <c r="J259" i="17"/>
  <c r="J260" i="17"/>
  <c r="W256" i="17"/>
  <c r="X256" i="17"/>
  <c r="Y256" i="17"/>
  <c r="Z256" i="17"/>
  <c r="AA256" i="17"/>
  <c r="AB256" i="17"/>
  <c r="AO256" i="17"/>
  <c r="E257" i="17"/>
  <c r="W257" i="17"/>
  <c r="X257" i="17"/>
  <c r="Y257" i="17"/>
  <c r="Z257" i="17"/>
  <c r="AA257" i="17"/>
  <c r="AB257" i="17"/>
  <c r="AO257" i="17"/>
  <c r="E258" i="17"/>
  <c r="W258" i="17"/>
  <c r="X258" i="17"/>
  <c r="Y258" i="17"/>
  <c r="Z258" i="17"/>
  <c r="AA258" i="17"/>
  <c r="AB258" i="17"/>
  <c r="AO258" i="17"/>
  <c r="E259" i="17"/>
  <c r="W259" i="17"/>
  <c r="X259" i="17"/>
  <c r="Y259" i="17"/>
  <c r="Z259" i="17"/>
  <c r="AA259" i="17"/>
  <c r="AB259" i="17"/>
  <c r="AO259" i="17"/>
  <c r="E260" i="17"/>
  <c r="W260" i="17"/>
  <c r="X260" i="17"/>
  <c r="Y260" i="17"/>
  <c r="Z260" i="17"/>
  <c r="AA260" i="17"/>
  <c r="AB260" i="17"/>
  <c r="AO260" i="17"/>
  <c r="D261" i="17"/>
  <c r="E261" i="17"/>
  <c r="F261" i="17"/>
  <c r="J261" i="17"/>
  <c r="D262" i="17"/>
  <c r="K262" i="17" s="1"/>
  <c r="F262" i="17"/>
  <c r="D263" i="17"/>
  <c r="F263" i="17"/>
  <c r="D264" i="17"/>
  <c r="F264" i="17"/>
  <c r="K264" i="17"/>
  <c r="D265" i="17"/>
  <c r="K265" i="17" s="1"/>
  <c r="F265" i="17"/>
  <c r="J262" i="17"/>
  <c r="J263" i="17"/>
  <c r="J264" i="17"/>
  <c r="J265" i="17"/>
  <c r="W261" i="17"/>
  <c r="X261" i="17"/>
  <c r="Y261" i="17"/>
  <c r="Z261" i="17"/>
  <c r="AA261" i="17"/>
  <c r="AB261" i="17"/>
  <c r="AO261" i="17"/>
  <c r="E262" i="17"/>
  <c r="W262" i="17"/>
  <c r="X262" i="17"/>
  <c r="Y262" i="17"/>
  <c r="Z262" i="17"/>
  <c r="AA262" i="17"/>
  <c r="AB262" i="17"/>
  <c r="AO262" i="17"/>
  <c r="E263" i="17"/>
  <c r="W263" i="17"/>
  <c r="X263" i="17"/>
  <c r="Y263" i="17"/>
  <c r="Z263" i="17"/>
  <c r="AA263" i="17"/>
  <c r="AB263" i="17"/>
  <c r="AC263" i="17"/>
  <c r="AO263" i="17"/>
  <c r="E264" i="17"/>
  <c r="W264" i="17"/>
  <c r="X264" i="17"/>
  <c r="Y264" i="17"/>
  <c r="Z264" i="17"/>
  <c r="AA264" i="17"/>
  <c r="AB264" i="17"/>
  <c r="AO264" i="17"/>
  <c r="E265" i="17"/>
  <c r="W265" i="17"/>
  <c r="X265" i="17"/>
  <c r="Y265" i="17"/>
  <c r="Z265" i="17"/>
  <c r="AA265" i="17"/>
  <c r="AB265" i="17"/>
  <c r="AO265" i="17"/>
  <c r="D266" i="17"/>
  <c r="E266" i="17"/>
  <c r="F266" i="17"/>
  <c r="K266" i="17" s="1"/>
  <c r="J266" i="17"/>
  <c r="D267" i="17"/>
  <c r="K267" i="17" s="1"/>
  <c r="F267" i="17"/>
  <c r="D268" i="17"/>
  <c r="F268" i="17"/>
  <c r="D269" i="17"/>
  <c r="F269" i="17"/>
  <c r="D270" i="17"/>
  <c r="K270" i="17" s="1"/>
  <c r="F270" i="17"/>
  <c r="J267" i="17"/>
  <c r="J268" i="17"/>
  <c r="J269" i="17"/>
  <c r="J270" i="17"/>
  <c r="W266" i="17"/>
  <c r="X266" i="17"/>
  <c r="Y266" i="17"/>
  <c r="Z266" i="17"/>
  <c r="AA266" i="17"/>
  <c r="AB266" i="17"/>
  <c r="AO266" i="17"/>
  <c r="E267" i="17"/>
  <c r="W267" i="17"/>
  <c r="X267" i="17"/>
  <c r="Y267" i="17"/>
  <c r="Z267" i="17"/>
  <c r="AA267" i="17"/>
  <c r="AB267" i="17"/>
  <c r="AO267" i="17"/>
  <c r="E268" i="17"/>
  <c r="W268" i="17"/>
  <c r="X268" i="17"/>
  <c r="Y268" i="17"/>
  <c r="Z268" i="17"/>
  <c r="AA268" i="17"/>
  <c r="AB268" i="17"/>
  <c r="AO268" i="17"/>
  <c r="E269" i="17"/>
  <c r="W269" i="17"/>
  <c r="X269" i="17"/>
  <c r="Y269" i="17"/>
  <c r="Z269" i="17"/>
  <c r="AA269" i="17"/>
  <c r="AB269" i="17"/>
  <c r="AC269" i="17"/>
  <c r="AO269" i="17"/>
  <c r="E270" i="17"/>
  <c r="W270" i="17"/>
  <c r="X270" i="17"/>
  <c r="Y270" i="17"/>
  <c r="Z270" i="17"/>
  <c r="AA270" i="17"/>
  <c r="AB270" i="17"/>
  <c r="AO270" i="17"/>
  <c r="D271" i="17"/>
  <c r="K271" i="17" s="1"/>
  <c r="E271" i="17"/>
  <c r="F271" i="17"/>
  <c r="J271" i="17"/>
  <c r="D272" i="17"/>
  <c r="F272" i="17"/>
  <c r="D273" i="17"/>
  <c r="K273" i="17" s="1"/>
  <c r="F273" i="17"/>
  <c r="D274" i="17"/>
  <c r="K274" i="17" s="1"/>
  <c r="F274" i="17"/>
  <c r="D275" i="17"/>
  <c r="F275" i="17"/>
  <c r="J272" i="17"/>
  <c r="J273" i="17"/>
  <c r="J274" i="17"/>
  <c r="J275" i="17"/>
  <c r="W271" i="17"/>
  <c r="X271" i="17"/>
  <c r="Y271" i="17"/>
  <c r="Z271" i="17"/>
  <c r="AA271" i="17"/>
  <c r="AB271" i="17"/>
  <c r="AO271" i="17"/>
  <c r="E272" i="17"/>
  <c r="W272" i="17"/>
  <c r="X272" i="17"/>
  <c r="Y272" i="17"/>
  <c r="Z272" i="17"/>
  <c r="AA272" i="17"/>
  <c r="AB272" i="17"/>
  <c r="AO272" i="17"/>
  <c r="E273" i="17"/>
  <c r="W273" i="17"/>
  <c r="X273" i="17"/>
  <c r="Y273" i="17"/>
  <c r="Z273" i="17"/>
  <c r="AA273" i="17"/>
  <c r="AB273" i="17"/>
  <c r="AO273" i="17"/>
  <c r="E274" i="17"/>
  <c r="W274" i="17"/>
  <c r="X274" i="17"/>
  <c r="Y274" i="17"/>
  <c r="Z274" i="17"/>
  <c r="AA274" i="17"/>
  <c r="AB274" i="17"/>
  <c r="AO274" i="17"/>
  <c r="E275" i="17"/>
  <c r="W275" i="17"/>
  <c r="X275" i="17"/>
  <c r="Y275" i="17"/>
  <c r="Z275" i="17"/>
  <c r="AA275" i="17"/>
  <c r="AB275" i="17"/>
  <c r="AC275" i="17"/>
  <c r="AO275" i="17"/>
  <c r="D276" i="17"/>
  <c r="E276" i="17"/>
  <c r="F276" i="17"/>
  <c r="J276" i="17"/>
  <c r="D277" i="17"/>
  <c r="F277" i="17"/>
  <c r="D278" i="17"/>
  <c r="F278" i="17"/>
  <c r="D279" i="17"/>
  <c r="K279" i="17" s="1"/>
  <c r="F279" i="17"/>
  <c r="D280" i="17"/>
  <c r="F280" i="17"/>
  <c r="J277" i="17"/>
  <c r="J278" i="17"/>
  <c r="J279" i="17"/>
  <c r="J280" i="17"/>
  <c r="W276" i="17"/>
  <c r="X276" i="17"/>
  <c r="Y276" i="17"/>
  <c r="Z276" i="17"/>
  <c r="AA276" i="17"/>
  <c r="AB276" i="17"/>
  <c r="AO276" i="17"/>
  <c r="E277" i="17"/>
  <c r="W277" i="17"/>
  <c r="X277" i="17"/>
  <c r="Y277" i="17"/>
  <c r="Z277" i="17"/>
  <c r="AA277" i="17"/>
  <c r="AB277" i="17"/>
  <c r="AO277" i="17"/>
  <c r="E278" i="17"/>
  <c r="W278" i="17"/>
  <c r="X278" i="17"/>
  <c r="Y278" i="17"/>
  <c r="Z278" i="17"/>
  <c r="AA278" i="17"/>
  <c r="AB278" i="17"/>
  <c r="AO278" i="17"/>
  <c r="E279" i="17"/>
  <c r="W279" i="17"/>
  <c r="X279" i="17"/>
  <c r="Y279" i="17"/>
  <c r="Z279" i="17"/>
  <c r="AA279" i="17"/>
  <c r="AB279" i="17"/>
  <c r="AO279" i="17"/>
  <c r="E280" i="17"/>
  <c r="W280" i="17"/>
  <c r="X280" i="17"/>
  <c r="Y280" i="17"/>
  <c r="Z280" i="17"/>
  <c r="AA280" i="17"/>
  <c r="AB280" i="17"/>
  <c r="AO280" i="17"/>
  <c r="D281" i="17"/>
  <c r="K281" i="17" s="1"/>
  <c r="E281" i="17"/>
  <c r="F281" i="17"/>
  <c r="J281" i="17"/>
  <c r="D282" i="17"/>
  <c r="F282" i="17"/>
  <c r="D283" i="17"/>
  <c r="K283" i="17" s="1"/>
  <c r="F283" i="17"/>
  <c r="D284" i="17"/>
  <c r="K284" i="17" s="1"/>
  <c r="F284" i="17"/>
  <c r="D285" i="17"/>
  <c r="F285" i="17"/>
  <c r="J282" i="17"/>
  <c r="J283" i="17"/>
  <c r="J284" i="17"/>
  <c r="J285" i="17"/>
  <c r="W281" i="17"/>
  <c r="X281" i="17"/>
  <c r="Y281" i="17"/>
  <c r="Z281" i="17"/>
  <c r="AA281" i="17"/>
  <c r="AB281" i="17"/>
  <c r="AO281" i="17"/>
  <c r="E282" i="17"/>
  <c r="Y282" i="17"/>
  <c r="Z282" i="17"/>
  <c r="AA282" i="17"/>
  <c r="E283" i="17"/>
  <c r="W283" i="17"/>
  <c r="X283" i="17"/>
  <c r="Y283" i="17"/>
  <c r="Z283" i="17"/>
  <c r="AA283" i="17"/>
  <c r="AB283" i="17"/>
  <c r="AO283" i="17"/>
  <c r="E284" i="17"/>
  <c r="W284" i="17"/>
  <c r="X284" i="17"/>
  <c r="Y284" i="17"/>
  <c r="Z284" i="17"/>
  <c r="AA284" i="17"/>
  <c r="AB284" i="17"/>
  <c r="AO284" i="17"/>
  <c r="E285" i="17"/>
  <c r="W285" i="17"/>
  <c r="X285" i="17"/>
  <c r="Y285" i="17"/>
  <c r="Z285" i="17"/>
  <c r="AA285" i="17"/>
  <c r="AB285" i="17"/>
  <c r="AC285" i="17"/>
  <c r="AO285" i="17"/>
  <c r="D286" i="17"/>
  <c r="E286" i="17"/>
  <c r="F286" i="17"/>
  <c r="J286" i="17"/>
  <c r="D287" i="17"/>
  <c r="F287" i="17"/>
  <c r="K287" i="17"/>
  <c r="D288" i="17"/>
  <c r="F288" i="17"/>
  <c r="D289" i="17"/>
  <c r="K289" i="17" s="1"/>
  <c r="F289" i="17"/>
  <c r="D290" i="17"/>
  <c r="F290" i="17"/>
  <c r="K290" i="17"/>
  <c r="J287" i="17"/>
  <c r="J288" i="17"/>
  <c r="J289" i="17"/>
  <c r="J290" i="17"/>
  <c r="W286" i="17"/>
  <c r="X286" i="17"/>
  <c r="Y286" i="17"/>
  <c r="Z286" i="17"/>
  <c r="AA286" i="17"/>
  <c r="AB286" i="17"/>
  <c r="AO286" i="17"/>
  <c r="E287" i="17"/>
  <c r="W287" i="17"/>
  <c r="X287" i="17"/>
  <c r="Y287" i="17"/>
  <c r="Z287" i="17"/>
  <c r="AA287" i="17"/>
  <c r="AB287" i="17"/>
  <c r="AO287" i="17"/>
  <c r="E288" i="17"/>
  <c r="W288" i="17"/>
  <c r="X288" i="17"/>
  <c r="Y288" i="17"/>
  <c r="Z288" i="17"/>
  <c r="AA288" i="17"/>
  <c r="AB288" i="17"/>
  <c r="AO288" i="17"/>
  <c r="E289" i="17"/>
  <c r="W289" i="17"/>
  <c r="X289" i="17"/>
  <c r="Y289" i="17"/>
  <c r="Z289" i="17"/>
  <c r="AA289" i="17"/>
  <c r="AB289" i="17"/>
  <c r="AO289" i="17"/>
  <c r="E290" i="17"/>
  <c r="W290" i="17"/>
  <c r="X290" i="17"/>
  <c r="Y290" i="17"/>
  <c r="Z290" i="17"/>
  <c r="AA290" i="17"/>
  <c r="AB290" i="17"/>
  <c r="AO290" i="17"/>
  <c r="D291" i="17"/>
  <c r="E291" i="17"/>
  <c r="F291" i="17"/>
  <c r="J291" i="17"/>
  <c r="K291" i="17"/>
  <c r="D292" i="17"/>
  <c r="F292" i="17"/>
  <c r="K292" i="17"/>
  <c r="D293" i="17"/>
  <c r="F293" i="17"/>
  <c r="D294" i="17"/>
  <c r="F294" i="17"/>
  <c r="D295" i="17"/>
  <c r="F295" i="17"/>
  <c r="J292" i="17"/>
  <c r="J293" i="17"/>
  <c r="J294" i="17"/>
  <c r="J295" i="17"/>
  <c r="W291" i="17"/>
  <c r="X291" i="17"/>
  <c r="Y291" i="17"/>
  <c r="Z291" i="17"/>
  <c r="AA291" i="17"/>
  <c r="AB291" i="17"/>
  <c r="AO291" i="17"/>
  <c r="E292" i="17"/>
  <c r="W292" i="17"/>
  <c r="X292" i="17"/>
  <c r="Y292" i="17"/>
  <c r="Z292" i="17"/>
  <c r="AA292" i="17"/>
  <c r="AB292" i="17"/>
  <c r="AO292" i="17"/>
  <c r="E293" i="17"/>
  <c r="W293" i="17"/>
  <c r="X293" i="17"/>
  <c r="Y293" i="17"/>
  <c r="Z293" i="17"/>
  <c r="AA293" i="17"/>
  <c r="AB293" i="17"/>
  <c r="AO293" i="17"/>
  <c r="E294" i="17"/>
  <c r="W294" i="17"/>
  <c r="X294" i="17"/>
  <c r="Y294" i="17"/>
  <c r="Z294" i="17"/>
  <c r="AA294" i="17"/>
  <c r="AB294" i="17"/>
  <c r="AO294" i="17"/>
  <c r="E295" i="17"/>
  <c r="W295" i="17"/>
  <c r="X295" i="17"/>
  <c r="Y295" i="17"/>
  <c r="Z295" i="17"/>
  <c r="AA295" i="17"/>
  <c r="AB295" i="17"/>
  <c r="AO295" i="17"/>
  <c r="D296" i="17"/>
  <c r="K296" i="17" s="1"/>
  <c r="E296" i="17"/>
  <c r="F296" i="17"/>
  <c r="J296" i="17"/>
  <c r="D297" i="17"/>
  <c r="F297" i="17"/>
  <c r="D298" i="17"/>
  <c r="K298" i="17" s="1"/>
  <c r="F298" i="17"/>
  <c r="J297" i="17"/>
  <c r="J298" i="17"/>
  <c r="W296" i="17"/>
  <c r="X296" i="17"/>
  <c r="Y296" i="17"/>
  <c r="Z296" i="17"/>
  <c r="AA296" i="17"/>
  <c r="AB296" i="17"/>
  <c r="AO296" i="17"/>
  <c r="E297" i="17"/>
  <c r="W297" i="17"/>
  <c r="X297" i="17"/>
  <c r="Y297" i="17"/>
  <c r="Z297" i="17"/>
  <c r="AA297" i="17"/>
  <c r="AB297" i="17"/>
  <c r="AO297" i="17"/>
  <c r="E298" i="17"/>
  <c r="W298" i="17"/>
  <c r="X298" i="17"/>
  <c r="Y298" i="17"/>
  <c r="Z298" i="17"/>
  <c r="AA298" i="17"/>
  <c r="AB298" i="17"/>
  <c r="AO298" i="17"/>
  <c r="D299" i="17"/>
  <c r="E299" i="17"/>
  <c r="F299" i="17"/>
  <c r="J299" i="17"/>
  <c r="K299" i="17"/>
  <c r="D300" i="17"/>
  <c r="K300" i="17" s="1"/>
  <c r="F300" i="17"/>
  <c r="D301" i="17"/>
  <c r="F301" i="17"/>
  <c r="J300" i="17"/>
  <c r="J301" i="17"/>
  <c r="W299" i="17"/>
  <c r="X299" i="17"/>
  <c r="Y299" i="17"/>
  <c r="Z299" i="17"/>
  <c r="AA299" i="17"/>
  <c r="AB299" i="17"/>
  <c r="AC299" i="17"/>
  <c r="AO299" i="17"/>
  <c r="E300" i="17"/>
  <c r="W300" i="17"/>
  <c r="X300" i="17"/>
  <c r="Y300" i="17"/>
  <c r="Z300" i="17"/>
  <c r="AA300" i="17"/>
  <c r="AB300" i="17"/>
  <c r="AO300" i="17"/>
  <c r="E301" i="17"/>
  <c r="W301" i="17"/>
  <c r="X301" i="17"/>
  <c r="Y301" i="17"/>
  <c r="Z301" i="17"/>
  <c r="AA301" i="17"/>
  <c r="AB301" i="17"/>
  <c r="AO301" i="17"/>
  <c r="D302" i="17"/>
  <c r="K302" i="17" s="1"/>
  <c r="E302" i="17"/>
  <c r="F302" i="17"/>
  <c r="J302" i="17"/>
  <c r="D303" i="17"/>
  <c r="F303" i="17"/>
  <c r="K303" i="17"/>
  <c r="D304" i="17"/>
  <c r="K304" i="17" s="1"/>
  <c r="F304" i="17"/>
  <c r="J303" i="17"/>
  <c r="J304" i="17"/>
  <c r="W302" i="17"/>
  <c r="X302" i="17"/>
  <c r="Y302" i="17"/>
  <c r="Z302" i="17"/>
  <c r="AA302" i="17"/>
  <c r="AB302" i="17"/>
  <c r="AO302" i="17"/>
  <c r="E303" i="17"/>
  <c r="W303" i="17"/>
  <c r="X303" i="17"/>
  <c r="Y303" i="17"/>
  <c r="Z303" i="17"/>
  <c r="AA303" i="17"/>
  <c r="AB303" i="17"/>
  <c r="AO303" i="17"/>
  <c r="E304" i="17"/>
  <c r="W304" i="17"/>
  <c r="X304" i="17"/>
  <c r="Y304" i="17"/>
  <c r="Z304" i="17"/>
  <c r="AA304" i="17"/>
  <c r="AB304" i="17"/>
  <c r="AO304" i="17"/>
  <c r="D305" i="17"/>
  <c r="E305" i="17"/>
  <c r="F305" i="17"/>
  <c r="J305" i="17"/>
  <c r="D306" i="17"/>
  <c r="F306" i="17"/>
  <c r="K306" i="17" s="1"/>
  <c r="D307" i="17"/>
  <c r="K307" i="17" s="1"/>
  <c r="F307" i="17"/>
  <c r="J306" i="17"/>
  <c r="J307" i="17"/>
  <c r="W305" i="17"/>
  <c r="X305" i="17"/>
  <c r="Y305" i="17"/>
  <c r="Z305" i="17"/>
  <c r="AA305" i="17"/>
  <c r="AB305" i="17"/>
  <c r="AC305" i="17"/>
  <c r="AO305" i="17"/>
  <c r="E306" i="17"/>
  <c r="W306" i="17"/>
  <c r="X306" i="17"/>
  <c r="Y306" i="17"/>
  <c r="Z306" i="17"/>
  <c r="AA306" i="17"/>
  <c r="AB306" i="17"/>
  <c r="AC306" i="17"/>
  <c r="AO306" i="17"/>
  <c r="E307" i="17"/>
  <c r="W307" i="17"/>
  <c r="X307" i="17"/>
  <c r="Y307" i="17"/>
  <c r="Z307" i="17"/>
  <c r="AA307" i="17"/>
  <c r="AB307" i="17"/>
  <c r="AO307" i="17"/>
  <c r="D308" i="17"/>
  <c r="K308" i="17" s="1"/>
  <c r="E308" i="17"/>
  <c r="F308" i="17"/>
  <c r="J308" i="17"/>
  <c r="D309" i="17"/>
  <c r="K309" i="17" s="1"/>
  <c r="F309" i="17"/>
  <c r="D310" i="17"/>
  <c r="F310" i="17"/>
  <c r="J309" i="17"/>
  <c r="J310" i="17"/>
  <c r="W308" i="17"/>
  <c r="X308" i="17"/>
  <c r="Y308" i="17"/>
  <c r="Z308" i="17"/>
  <c r="AA308" i="17"/>
  <c r="AB308" i="17"/>
  <c r="AO308" i="17"/>
  <c r="E309" i="17"/>
  <c r="W309" i="17"/>
  <c r="X309" i="17"/>
  <c r="Y309" i="17"/>
  <c r="Z309" i="17"/>
  <c r="AA309" i="17"/>
  <c r="AB309" i="17"/>
  <c r="AO309" i="17"/>
  <c r="E310" i="17"/>
  <c r="W310" i="17"/>
  <c r="X310" i="17"/>
  <c r="Y310" i="17"/>
  <c r="Z310" i="17"/>
  <c r="AA310" i="17"/>
  <c r="AB310" i="17"/>
  <c r="AO310" i="17"/>
  <c r="D311" i="17"/>
  <c r="K311" i="17" s="1"/>
  <c r="E311" i="17"/>
  <c r="F311" i="17"/>
  <c r="J311" i="17"/>
  <c r="D312" i="17"/>
  <c r="F312" i="17"/>
  <c r="K312" i="17" s="1"/>
  <c r="D313" i="17"/>
  <c r="F313" i="17"/>
  <c r="K313" i="17" s="1"/>
  <c r="D314" i="17"/>
  <c r="F314" i="17"/>
  <c r="D315" i="17"/>
  <c r="K315" i="17" s="1"/>
  <c r="F315" i="17"/>
  <c r="J312" i="17"/>
  <c r="J313" i="17"/>
  <c r="J314" i="17"/>
  <c r="J315" i="17"/>
  <c r="W311" i="17"/>
  <c r="X311" i="17"/>
  <c r="Y311" i="17"/>
  <c r="Z311" i="17"/>
  <c r="AA311" i="17"/>
  <c r="AB311" i="17"/>
  <c r="AO311" i="17"/>
  <c r="E312" i="17"/>
  <c r="W312" i="17"/>
  <c r="X312" i="17"/>
  <c r="Y312" i="17"/>
  <c r="Z312" i="17"/>
  <c r="AA312" i="17"/>
  <c r="AB312" i="17"/>
  <c r="AO312" i="17"/>
  <c r="E313" i="17"/>
  <c r="W313" i="17"/>
  <c r="X313" i="17"/>
  <c r="Y313" i="17"/>
  <c r="Z313" i="17"/>
  <c r="AA313" i="17"/>
  <c r="AB313" i="17"/>
  <c r="AO313" i="17"/>
  <c r="E314" i="17"/>
  <c r="W314" i="17"/>
  <c r="X314" i="17"/>
  <c r="Y314" i="17"/>
  <c r="Z314" i="17"/>
  <c r="AA314" i="17"/>
  <c r="AB314" i="17"/>
  <c r="AO314" i="17"/>
  <c r="E315" i="17"/>
  <c r="W315" i="17"/>
  <c r="X315" i="17"/>
  <c r="Y315" i="17"/>
  <c r="Z315" i="17"/>
  <c r="AA315" i="17"/>
  <c r="AB315" i="17"/>
  <c r="AO315" i="17"/>
  <c r="D316" i="17"/>
  <c r="K316" i="17" s="1"/>
  <c r="E316" i="17"/>
  <c r="F316" i="17"/>
  <c r="J316" i="17"/>
  <c r="D317" i="17"/>
  <c r="F317" i="17"/>
  <c r="D318" i="17"/>
  <c r="F318" i="17"/>
  <c r="D319" i="17"/>
  <c r="K319" i="17" s="1"/>
  <c r="F319" i="17"/>
  <c r="D320" i="17"/>
  <c r="K320" i="17" s="1"/>
  <c r="F320" i="17"/>
  <c r="J317" i="17"/>
  <c r="J318" i="17"/>
  <c r="J319" i="17"/>
  <c r="J320" i="17"/>
  <c r="W316" i="17"/>
  <c r="X316" i="17"/>
  <c r="Y316" i="17"/>
  <c r="Z316" i="17"/>
  <c r="AA316" i="17"/>
  <c r="AB316" i="17"/>
  <c r="AO316" i="17"/>
  <c r="E317" i="17"/>
  <c r="W317" i="17"/>
  <c r="X317" i="17"/>
  <c r="Y317" i="17"/>
  <c r="Z317" i="17"/>
  <c r="AA317" i="17"/>
  <c r="AB317" i="17"/>
  <c r="AO317" i="17"/>
  <c r="E318" i="17"/>
  <c r="W318" i="17"/>
  <c r="X318" i="17"/>
  <c r="Y318" i="17"/>
  <c r="Z318" i="17"/>
  <c r="AA318" i="17"/>
  <c r="AB318" i="17"/>
  <c r="AO318" i="17"/>
  <c r="E319" i="17"/>
  <c r="W319" i="17"/>
  <c r="X319" i="17"/>
  <c r="Y319" i="17"/>
  <c r="Z319" i="17"/>
  <c r="AA319" i="17"/>
  <c r="AB319" i="17"/>
  <c r="AO319" i="17"/>
  <c r="E320" i="17"/>
  <c r="W320" i="17"/>
  <c r="X320" i="17"/>
  <c r="Y320" i="17"/>
  <c r="Z320" i="17"/>
  <c r="AA320" i="17"/>
  <c r="AB320" i="17"/>
  <c r="AO320" i="17"/>
  <c r="D321" i="17"/>
  <c r="K321" i="17" s="1"/>
  <c r="E321" i="17"/>
  <c r="F321" i="17"/>
  <c r="J321" i="17"/>
  <c r="D322" i="17"/>
  <c r="F322" i="17"/>
  <c r="K322" i="17"/>
  <c r="D323" i="17"/>
  <c r="F323" i="17"/>
  <c r="D324" i="17"/>
  <c r="K324" i="17" s="1"/>
  <c r="F324" i="17"/>
  <c r="D325" i="17"/>
  <c r="F325" i="17"/>
  <c r="K325" i="17" s="1"/>
  <c r="J322" i="17"/>
  <c r="J323" i="17"/>
  <c r="J324" i="17"/>
  <c r="J325" i="17"/>
  <c r="W321" i="17"/>
  <c r="X321" i="17"/>
  <c r="Y321" i="17"/>
  <c r="Z321" i="17"/>
  <c r="AA321" i="17"/>
  <c r="AB321" i="17"/>
  <c r="AO321" i="17"/>
  <c r="E322" i="17"/>
  <c r="W322" i="17"/>
  <c r="X322" i="17"/>
  <c r="Y322" i="17"/>
  <c r="Z322" i="17"/>
  <c r="AA322" i="17"/>
  <c r="AB322" i="17"/>
  <c r="AO322" i="17"/>
  <c r="E323" i="17"/>
  <c r="W323" i="17"/>
  <c r="X323" i="17"/>
  <c r="Y323" i="17"/>
  <c r="Z323" i="17"/>
  <c r="AA323" i="17"/>
  <c r="AB323" i="17"/>
  <c r="AO323" i="17"/>
  <c r="E324" i="17"/>
  <c r="W324" i="17"/>
  <c r="X324" i="17"/>
  <c r="Y324" i="17"/>
  <c r="Z324" i="17"/>
  <c r="AA324" i="17"/>
  <c r="AB324" i="17"/>
  <c r="AO324" i="17"/>
  <c r="E325" i="17"/>
  <c r="W325" i="17"/>
  <c r="X325" i="17"/>
  <c r="Y325" i="17"/>
  <c r="Z325" i="17"/>
  <c r="AA325" i="17"/>
  <c r="AB325" i="17"/>
  <c r="AC325" i="17"/>
  <c r="AO325" i="17"/>
  <c r="D326" i="17"/>
  <c r="K326" i="17" s="1"/>
  <c r="E326" i="17"/>
  <c r="F326" i="17"/>
  <c r="J326" i="17"/>
  <c r="D327" i="17"/>
  <c r="F327" i="17"/>
  <c r="D328" i="17"/>
  <c r="F328" i="17"/>
  <c r="D329" i="17"/>
  <c r="F329" i="17"/>
  <c r="D330" i="17"/>
  <c r="F330" i="17"/>
  <c r="J327" i="17"/>
  <c r="J328" i="17"/>
  <c r="J329" i="17"/>
  <c r="J330" i="17"/>
  <c r="W326" i="17"/>
  <c r="X326" i="17"/>
  <c r="Y326" i="17"/>
  <c r="Z326" i="17"/>
  <c r="AA326" i="17"/>
  <c r="AB326" i="17"/>
  <c r="AO326" i="17"/>
  <c r="E327" i="17"/>
  <c r="W327" i="17"/>
  <c r="X327" i="17"/>
  <c r="Y327" i="17"/>
  <c r="Z327" i="17"/>
  <c r="AA327" i="17"/>
  <c r="AB327" i="17"/>
  <c r="AO327" i="17"/>
  <c r="E328" i="17"/>
  <c r="W328" i="17"/>
  <c r="X328" i="17"/>
  <c r="Y328" i="17"/>
  <c r="Z328" i="17"/>
  <c r="AA328" i="17"/>
  <c r="AB328" i="17"/>
  <c r="AO328" i="17"/>
  <c r="E329" i="17"/>
  <c r="W329" i="17"/>
  <c r="X329" i="17"/>
  <c r="Y329" i="17"/>
  <c r="Z329" i="17"/>
  <c r="AA329" i="17"/>
  <c r="AB329" i="17"/>
  <c r="AO329" i="17"/>
  <c r="E330" i="17"/>
  <c r="D331" i="17"/>
  <c r="K331" i="17" s="1"/>
  <c r="E331" i="17"/>
  <c r="F331" i="17"/>
  <c r="J331" i="17"/>
  <c r="D332" i="17"/>
  <c r="F332" i="17"/>
  <c r="D333" i="17"/>
  <c r="K333" i="17" s="1"/>
  <c r="F333" i="17"/>
  <c r="D334" i="17"/>
  <c r="K334" i="17" s="1"/>
  <c r="F334" i="17"/>
  <c r="D335" i="17"/>
  <c r="F335" i="17"/>
  <c r="J332" i="17"/>
  <c r="J333" i="17"/>
  <c r="J334" i="17"/>
  <c r="J335" i="17"/>
  <c r="W331" i="17"/>
  <c r="X331" i="17"/>
  <c r="Y331" i="17"/>
  <c r="Z331" i="17"/>
  <c r="AA331" i="17"/>
  <c r="AB331" i="17"/>
  <c r="AC331" i="17"/>
  <c r="AO331" i="17"/>
  <c r="E332" i="17"/>
  <c r="W332" i="17"/>
  <c r="X332" i="17"/>
  <c r="Y332" i="17"/>
  <c r="Z332" i="17"/>
  <c r="AA332" i="17"/>
  <c r="AB332" i="17"/>
  <c r="AC332" i="17"/>
  <c r="AO332" i="17"/>
  <c r="E333" i="17"/>
  <c r="W333" i="17"/>
  <c r="X333" i="17"/>
  <c r="Y333" i="17"/>
  <c r="Z333" i="17"/>
  <c r="AA333" i="17"/>
  <c r="AB333" i="17"/>
  <c r="AO333" i="17"/>
  <c r="E334" i="17"/>
  <c r="W334" i="17"/>
  <c r="X334" i="17"/>
  <c r="Y334" i="17"/>
  <c r="Z334" i="17"/>
  <c r="AA334" i="17"/>
  <c r="AB334" i="17"/>
  <c r="AO334" i="17"/>
  <c r="E335" i="17"/>
  <c r="W335" i="17"/>
  <c r="X335" i="17"/>
  <c r="Y335" i="17"/>
  <c r="Z335" i="17"/>
  <c r="AA335" i="17"/>
  <c r="AB335" i="17"/>
  <c r="AC335" i="17"/>
  <c r="AO335" i="17"/>
  <c r="D336" i="17"/>
  <c r="K336" i="17" s="1"/>
  <c r="E336" i="17"/>
  <c r="F336" i="17"/>
  <c r="J336" i="17"/>
  <c r="D337" i="17"/>
  <c r="K337" i="17" s="1"/>
  <c r="F337" i="17"/>
  <c r="D338" i="17"/>
  <c r="F338" i="17"/>
  <c r="D339" i="17"/>
  <c r="F339" i="17"/>
  <c r="K339" i="17"/>
  <c r="D340" i="17"/>
  <c r="K340" i="17" s="1"/>
  <c r="F340" i="17"/>
  <c r="J337" i="17"/>
  <c r="J338" i="17"/>
  <c r="J339" i="17"/>
  <c r="J340" i="17"/>
  <c r="W336" i="17"/>
  <c r="X336" i="17"/>
  <c r="Y336" i="17"/>
  <c r="Z336" i="17"/>
  <c r="AA336" i="17"/>
  <c r="AB336" i="17"/>
  <c r="AO336" i="17"/>
  <c r="E337" i="17"/>
  <c r="W337" i="17"/>
  <c r="X337" i="17"/>
  <c r="Y337" i="17"/>
  <c r="Z337" i="17"/>
  <c r="AA337" i="17"/>
  <c r="AB337" i="17"/>
  <c r="AO337" i="17"/>
  <c r="E338" i="17"/>
  <c r="W338" i="17"/>
  <c r="X338" i="17"/>
  <c r="Y338" i="17"/>
  <c r="Z338" i="17"/>
  <c r="AA338" i="17"/>
  <c r="AB338" i="17"/>
  <c r="AO338" i="17"/>
  <c r="E339" i="17"/>
  <c r="W339" i="17"/>
  <c r="X339" i="17"/>
  <c r="Y339" i="17"/>
  <c r="Z339" i="17"/>
  <c r="AA339" i="17"/>
  <c r="AB339" i="17"/>
  <c r="AO339" i="17"/>
  <c r="E340" i="17"/>
  <c r="W340" i="17"/>
  <c r="X340" i="17"/>
  <c r="Y340" i="17"/>
  <c r="Z340" i="17"/>
  <c r="AA340" i="17"/>
  <c r="AB340" i="17"/>
  <c r="AO340" i="17"/>
  <c r="D341" i="17"/>
  <c r="K341" i="17" s="1"/>
  <c r="E341" i="17"/>
  <c r="F341" i="17"/>
  <c r="J341" i="17"/>
  <c r="D342" i="17"/>
  <c r="F342" i="17"/>
  <c r="K342" i="17"/>
  <c r="D343" i="17"/>
  <c r="F343" i="17"/>
  <c r="D344" i="17"/>
  <c r="K344" i="17" s="1"/>
  <c r="F344" i="17"/>
  <c r="D345" i="17"/>
  <c r="K345" i="17" s="1"/>
  <c r="F345" i="17"/>
  <c r="J342" i="17"/>
  <c r="J343" i="17"/>
  <c r="J344" i="17"/>
  <c r="J345" i="17"/>
  <c r="W341" i="17"/>
  <c r="X341" i="17"/>
  <c r="Y341" i="17"/>
  <c r="Z341" i="17"/>
  <c r="AA341" i="17"/>
  <c r="AB341" i="17"/>
  <c r="AO341" i="17"/>
  <c r="E342" i="17"/>
  <c r="W342" i="17"/>
  <c r="X342" i="17"/>
  <c r="Y342" i="17"/>
  <c r="Z342" i="17"/>
  <c r="AA342" i="17"/>
  <c r="AB342" i="17"/>
  <c r="AO342" i="17"/>
  <c r="E343" i="17"/>
  <c r="W343" i="17"/>
  <c r="X343" i="17"/>
  <c r="Y343" i="17"/>
  <c r="Z343" i="17"/>
  <c r="AA343" i="17"/>
  <c r="AB343" i="17"/>
  <c r="AC343" i="17"/>
  <c r="AO343" i="17"/>
  <c r="E344" i="17"/>
  <c r="W344" i="17"/>
  <c r="X344" i="17"/>
  <c r="Y344" i="17"/>
  <c r="Z344" i="17"/>
  <c r="AA344" i="17"/>
  <c r="AB344" i="17"/>
  <c r="AC344" i="17"/>
  <c r="AO344" i="17"/>
  <c r="E345" i="17"/>
  <c r="W345" i="17"/>
  <c r="X345" i="17"/>
  <c r="Y345" i="17"/>
  <c r="Z345" i="17"/>
  <c r="AA345" i="17"/>
  <c r="AB345" i="17"/>
  <c r="AO345" i="17"/>
  <c r="D346" i="17"/>
  <c r="E346" i="17"/>
  <c r="F346" i="17"/>
  <c r="J346" i="17"/>
  <c r="K346" i="17"/>
  <c r="D347" i="17"/>
  <c r="F347" i="17"/>
  <c r="D348" i="17"/>
  <c r="K348" i="17" s="1"/>
  <c r="F348" i="17"/>
  <c r="D349" i="17"/>
  <c r="F349" i="17"/>
  <c r="J347" i="17"/>
  <c r="J348" i="17"/>
  <c r="J349" i="17"/>
  <c r="W346" i="17"/>
  <c r="X346" i="17"/>
  <c r="Y346" i="17"/>
  <c r="Z346" i="17"/>
  <c r="AA346" i="17"/>
  <c r="AB346" i="17"/>
  <c r="AO346" i="17"/>
  <c r="E347" i="17"/>
  <c r="W347" i="17"/>
  <c r="X347" i="17"/>
  <c r="Y347" i="17"/>
  <c r="Z347" i="17"/>
  <c r="AA347" i="17"/>
  <c r="AB347" i="17"/>
  <c r="AO347" i="17"/>
  <c r="E348" i="17"/>
  <c r="W348" i="17"/>
  <c r="X348" i="17"/>
  <c r="Y348" i="17"/>
  <c r="Z348" i="17"/>
  <c r="AA348" i="17"/>
  <c r="AB348" i="17"/>
  <c r="AO348" i="17"/>
  <c r="E349" i="17"/>
  <c r="W349" i="17"/>
  <c r="X349" i="17"/>
  <c r="Y349" i="17"/>
  <c r="Z349" i="17"/>
  <c r="AA349" i="17"/>
  <c r="AB349" i="17"/>
  <c r="AO349" i="17"/>
  <c r="N1" i="14"/>
  <c r="P1" i="14"/>
  <c r="N2" i="14"/>
  <c r="N3" i="14"/>
  <c r="N4" i="14"/>
  <c r="AC176" i="17" s="1"/>
  <c r="K332" i="17" l="1"/>
  <c r="K252" i="17"/>
  <c r="K335" i="17"/>
  <c r="K255" i="17"/>
  <c r="K328" i="17"/>
  <c r="K323" i="17"/>
  <c r="K286" i="17"/>
  <c r="K224" i="17"/>
  <c r="K93" i="17"/>
  <c r="K88" i="17"/>
  <c r="K39" i="17"/>
  <c r="AS103" i="17"/>
  <c r="AB103" i="17"/>
  <c r="AS79" i="17"/>
  <c r="AB79" i="17"/>
  <c r="AS83" i="17"/>
  <c r="Y83" i="17"/>
  <c r="AS51" i="17"/>
  <c r="Y51" i="17"/>
  <c r="AS35" i="17"/>
  <c r="K35" i="17"/>
  <c r="Z35" i="17"/>
  <c r="AA35" i="17"/>
  <c r="AO35" i="17"/>
  <c r="AS19" i="17"/>
  <c r="AA19" i="17"/>
  <c r="AB19" i="17"/>
  <c r="AO19" i="17"/>
  <c r="W19" i="17"/>
  <c r="K269" i="17"/>
  <c r="K257" i="17"/>
  <c r="K246" i="17"/>
  <c r="K232" i="17"/>
  <c r="K219" i="17"/>
  <c r="K210" i="17"/>
  <c r="K207" i="17"/>
  <c r="K199" i="17"/>
  <c r="K187" i="17"/>
  <c r="K153" i="17"/>
  <c r="K112" i="17"/>
  <c r="K92" i="17"/>
  <c r="K69" i="17"/>
  <c r="AS107" i="17"/>
  <c r="K107" i="17"/>
  <c r="Z107" i="17"/>
  <c r="AS87" i="17"/>
  <c r="X87" i="17"/>
  <c r="AS55" i="17"/>
  <c r="Y55" i="17"/>
  <c r="K203" i="17"/>
  <c r="K182" i="17"/>
  <c r="K64" i="17"/>
  <c r="K44" i="17"/>
  <c r="AS91" i="17"/>
  <c r="X91" i="17"/>
  <c r="AS59" i="17"/>
  <c r="Z59" i="17"/>
  <c r="AS39" i="17"/>
  <c r="Z39" i="17"/>
  <c r="AO39" i="17"/>
  <c r="AS23" i="17"/>
  <c r="AA23" i="17"/>
  <c r="AB23" i="17"/>
  <c r="AO23" i="17"/>
  <c r="K23" i="17"/>
  <c r="W23" i="17"/>
  <c r="AS7" i="17"/>
  <c r="AB7" i="17"/>
  <c r="AO7" i="17"/>
  <c r="W7" i="17"/>
  <c r="X7" i="17"/>
  <c r="K191" i="17"/>
  <c r="AS111" i="17"/>
  <c r="Z111" i="17"/>
  <c r="AS95" i="17"/>
  <c r="W95" i="17"/>
  <c r="AS63" i="17"/>
  <c r="X63" i="17"/>
  <c r="K297" i="17"/>
  <c r="K288" i="17"/>
  <c r="K272" i="17"/>
  <c r="K248" i="17"/>
  <c r="K349" i="17"/>
  <c r="K338" i="17"/>
  <c r="K317" i="17"/>
  <c r="K301" i="17"/>
  <c r="K280" i="17"/>
  <c r="K276" i="17"/>
  <c r="K275" i="17"/>
  <c r="K234" i="17"/>
  <c r="K227" i="17"/>
  <c r="K222" i="17"/>
  <c r="K213" i="17"/>
  <c r="K202" i="17"/>
  <c r="K193" i="17"/>
  <c r="K179" i="17"/>
  <c r="K136" i="17"/>
  <c r="K123" i="17"/>
  <c r="K101" i="17"/>
  <c r="AS67" i="17"/>
  <c r="AO67" i="17"/>
  <c r="AS43" i="17"/>
  <c r="Z43" i="17"/>
  <c r="AS27" i="17"/>
  <c r="AB27" i="17"/>
  <c r="AO27" i="17"/>
  <c r="W27" i="17"/>
  <c r="X27" i="17"/>
  <c r="AS11" i="17"/>
  <c r="Y11" i="17"/>
  <c r="Z11" i="17"/>
  <c r="AA11" i="17"/>
  <c r="AB11" i="17"/>
  <c r="AO11" i="17"/>
  <c r="K277" i="17"/>
  <c r="K260" i="17"/>
  <c r="K268" i="17"/>
  <c r="K329" i="17"/>
  <c r="K261" i="17"/>
  <c r="K256" i="17"/>
  <c r="K176" i="17"/>
  <c r="K156" i="17"/>
  <c r="K125" i="17"/>
  <c r="K96" i="17"/>
  <c r="K91" i="17"/>
  <c r="K53" i="17"/>
  <c r="AS99" i="17"/>
  <c r="AO99" i="17"/>
  <c r="AS71" i="17"/>
  <c r="X71" i="17"/>
  <c r="K347" i="17"/>
  <c r="K327" i="17"/>
  <c r="K295" i="17"/>
  <c r="K282" i="17"/>
  <c r="K293" i="17"/>
  <c r="K263" i="17"/>
  <c r="K215" i="17"/>
  <c r="K212" i="17"/>
  <c r="K195" i="17"/>
  <c r="K171" i="17"/>
  <c r="K169" i="17"/>
  <c r="K147" i="17"/>
  <c r="K113" i="17"/>
  <c r="K40" i="17"/>
  <c r="AS75" i="17"/>
  <c r="W75" i="17"/>
  <c r="AS47" i="17"/>
  <c r="Y47" i="17"/>
  <c r="AS31" i="17"/>
  <c r="Z31" i="17"/>
  <c r="AA31" i="17"/>
  <c r="AO31" i="17"/>
  <c r="AS15" i="17"/>
  <c r="Z15" i="17"/>
  <c r="K15" i="17"/>
  <c r="AA15" i="17"/>
  <c r="AB15" i="17"/>
  <c r="AO15" i="17"/>
  <c r="K5" i="17"/>
  <c r="K7" i="17"/>
  <c r="K63" i="17"/>
  <c r="K55" i="17"/>
  <c r="AS197" i="17"/>
  <c r="AB197" i="17"/>
  <c r="AC197" i="17"/>
  <c r="X197" i="17"/>
  <c r="AO197" i="17"/>
  <c r="Y197" i="17"/>
  <c r="Z197" i="17"/>
  <c r="K197" i="17"/>
  <c r="AA197" i="17"/>
  <c r="W197" i="17"/>
  <c r="AS245" i="17"/>
  <c r="K245" i="17"/>
  <c r="AA245" i="17"/>
  <c r="AB245" i="17"/>
  <c r="AC245" i="17"/>
  <c r="W245" i="17"/>
  <c r="X245" i="17"/>
  <c r="AO245" i="17"/>
  <c r="Y245" i="17"/>
  <c r="Z245" i="17"/>
  <c r="AS254" i="17"/>
  <c r="K254" i="17"/>
  <c r="Y254" i="17"/>
  <c r="Z254" i="17"/>
  <c r="AA254" i="17"/>
  <c r="AB254" i="17"/>
  <c r="AO254" i="17"/>
  <c r="W254" i="17"/>
  <c r="X254" i="17"/>
  <c r="AC254" i="17"/>
  <c r="AS330" i="17"/>
  <c r="X330" i="17"/>
  <c r="AO330" i="17"/>
  <c r="Y330" i="17"/>
  <c r="K330" i="17"/>
  <c r="Z330" i="17"/>
  <c r="W330" i="17"/>
  <c r="AA330" i="17"/>
  <c r="AC330" i="17"/>
  <c r="AS206" i="17"/>
  <c r="Z206" i="17"/>
  <c r="K206" i="17"/>
  <c r="AA206" i="17"/>
  <c r="AB206" i="17"/>
  <c r="W206" i="17"/>
  <c r="X206" i="17"/>
  <c r="AO206" i="17"/>
  <c r="Y206" i="17"/>
  <c r="AC206" i="17"/>
  <c r="K343" i="17"/>
  <c r="AB330" i="17"/>
  <c r="AC348" i="17"/>
  <c r="AC341" i="17"/>
  <c r="AC272" i="17"/>
  <c r="AC7" i="17"/>
  <c r="AC11" i="17"/>
  <c r="AC15" i="17"/>
  <c r="AC23" i="17"/>
  <c r="AC2" i="17"/>
  <c r="AC16" i="17"/>
  <c r="AC4" i="17"/>
  <c r="AC12" i="17"/>
  <c r="AC32" i="17"/>
  <c r="AC44" i="17"/>
  <c r="AC52" i="17"/>
  <c r="AC8" i="17"/>
  <c r="AC27" i="17"/>
  <c r="AC36" i="17"/>
  <c r="AC20" i="17"/>
  <c r="AC33" i="17"/>
  <c r="AC19" i="17"/>
  <c r="AC21" i="17"/>
  <c r="AC3" i="17"/>
  <c r="AC28" i="17"/>
  <c r="AC49" i="17"/>
  <c r="AC55" i="17"/>
  <c r="AC40" i="17"/>
  <c r="AC41" i="17"/>
  <c r="AC51" i="17"/>
  <c r="AC35" i="17"/>
  <c r="AC45" i="17"/>
  <c r="AC24" i="17"/>
  <c r="AC48" i="17"/>
  <c r="AC56" i="17"/>
  <c r="AC57" i="17"/>
  <c r="AC59" i="17"/>
  <c r="AC67" i="17"/>
  <c r="AC69" i="17"/>
  <c r="AC71" i="17"/>
  <c r="AC75" i="17"/>
  <c r="AC77" i="17"/>
  <c r="AC47" i="17"/>
  <c r="AC39" i="17"/>
  <c r="AC43" i="17"/>
  <c r="AC60" i="17"/>
  <c r="AC72" i="17"/>
  <c r="AC29" i="17"/>
  <c r="AC53" i="17"/>
  <c r="AC61" i="17"/>
  <c r="AC88" i="17"/>
  <c r="AC96" i="17"/>
  <c r="AC100" i="17"/>
  <c r="AC31" i="17"/>
  <c r="AC65" i="17"/>
  <c r="AC83" i="17"/>
  <c r="AC89" i="17"/>
  <c r="AC91" i="17"/>
  <c r="AC95" i="17"/>
  <c r="AC97" i="17"/>
  <c r="AC80" i="17"/>
  <c r="AC87" i="17"/>
  <c r="AC63" i="17"/>
  <c r="AC81" i="17"/>
  <c r="AC84" i="17"/>
  <c r="AC92" i="17"/>
  <c r="AC99" i="17"/>
  <c r="AC101" i="17"/>
  <c r="AC103" i="17"/>
  <c r="AC109" i="17"/>
  <c r="AC111" i="17"/>
  <c r="AC115" i="17"/>
  <c r="AC117" i="17"/>
  <c r="AC119" i="17"/>
  <c r="AC64" i="17"/>
  <c r="AC76" i="17"/>
  <c r="AC108" i="17"/>
  <c r="AC127" i="17"/>
  <c r="AC129" i="17"/>
  <c r="AC131" i="17"/>
  <c r="AC135" i="17"/>
  <c r="AC137" i="17"/>
  <c r="AC143" i="17"/>
  <c r="AC124" i="17"/>
  <c r="AC37" i="17"/>
  <c r="AC107" i="17"/>
  <c r="AC116" i="17"/>
  <c r="AC68" i="17"/>
  <c r="AC85" i="17"/>
  <c r="AC105" i="17"/>
  <c r="AC125" i="17"/>
  <c r="AC133" i="17"/>
  <c r="AC139" i="17"/>
  <c r="AC141" i="17"/>
  <c r="AC112" i="17"/>
  <c r="AC140" i="17"/>
  <c r="AC132" i="17"/>
  <c r="AC136" i="17"/>
  <c r="AC148" i="17"/>
  <c r="AC156" i="17"/>
  <c r="AC160" i="17"/>
  <c r="AC73" i="17"/>
  <c r="AC120" i="17"/>
  <c r="AC145" i="17"/>
  <c r="AC144" i="17"/>
  <c r="AC149" i="17"/>
  <c r="AC151" i="17"/>
  <c r="AC155" i="17"/>
  <c r="AC157" i="17"/>
  <c r="AC163" i="17"/>
  <c r="AC169" i="17"/>
  <c r="AC171" i="17"/>
  <c r="AC175" i="17"/>
  <c r="AC147" i="17"/>
  <c r="AC123" i="17"/>
  <c r="AC177" i="17"/>
  <c r="AC179" i="17"/>
  <c r="AC187" i="17"/>
  <c r="AC189" i="17"/>
  <c r="AC191" i="17"/>
  <c r="AC195" i="17"/>
  <c r="AC203" i="17"/>
  <c r="AC209" i="17"/>
  <c r="AC211" i="17"/>
  <c r="AC215" i="17"/>
  <c r="AC217" i="17"/>
  <c r="AC223" i="17"/>
  <c r="AC231" i="17"/>
  <c r="AC79" i="17"/>
  <c r="AC104" i="17"/>
  <c r="AC121" i="17"/>
  <c r="AC153" i="17"/>
  <c r="AC159" i="17"/>
  <c r="AC168" i="17"/>
  <c r="AC93" i="17"/>
  <c r="AC152" i="17"/>
  <c r="AC165" i="17"/>
  <c r="AC113" i="17"/>
  <c r="AC174" i="17"/>
  <c r="AC180" i="17"/>
  <c r="AC184" i="17"/>
  <c r="AC185" i="17"/>
  <c r="AC210" i="17"/>
  <c r="AC213" i="17"/>
  <c r="AC238" i="17"/>
  <c r="AC240" i="17"/>
  <c r="AC242" i="17"/>
  <c r="AC250" i="17"/>
  <c r="AC252" i="17"/>
  <c r="AC258" i="17"/>
  <c r="AC192" i="17"/>
  <c r="AC196" i="17"/>
  <c r="AC205" i="17"/>
  <c r="AC207" i="17"/>
  <c r="AC219" i="17"/>
  <c r="AC226" i="17"/>
  <c r="AC227" i="17"/>
  <c r="AC237" i="17"/>
  <c r="AC167" i="17"/>
  <c r="AC183" i="17"/>
  <c r="AC200" i="17"/>
  <c r="AC228" i="17"/>
  <c r="AC232" i="17"/>
  <c r="AC233" i="17"/>
  <c r="AC236" i="17"/>
  <c r="AC241" i="17"/>
  <c r="AC243" i="17"/>
  <c r="AC253" i="17"/>
  <c r="AC259" i="17"/>
  <c r="AC261" i="17"/>
  <c r="AC265" i="17"/>
  <c r="AC267" i="17"/>
  <c r="AC173" i="17"/>
  <c r="AC202" i="17"/>
  <c r="AC212" i="17"/>
  <c r="AC216" i="17"/>
  <c r="AC225" i="17"/>
  <c r="AC199" i="17"/>
  <c r="AC239" i="17"/>
  <c r="AC257" i="17"/>
  <c r="AC280" i="17"/>
  <c r="AC286" i="17"/>
  <c r="AC290" i="17"/>
  <c r="AC292" i="17"/>
  <c r="AC298" i="17"/>
  <c r="AC300" i="17"/>
  <c r="AC302" i="17"/>
  <c r="AC310" i="17"/>
  <c r="AC312" i="17"/>
  <c r="AC318" i="17"/>
  <c r="AC190" i="17"/>
  <c r="AC208" i="17"/>
  <c r="AC224" i="17"/>
  <c r="AC235" i="17"/>
  <c r="AC246" i="17"/>
  <c r="AC178" i="17"/>
  <c r="AC204" i="17"/>
  <c r="AC244" i="17"/>
  <c r="AC256" i="17"/>
  <c r="AC279" i="17"/>
  <c r="AC281" i="17"/>
  <c r="AC287" i="17"/>
  <c r="AC293" i="17"/>
  <c r="AC301" i="17"/>
  <c r="AC303" i="17"/>
  <c r="AC198" i="17"/>
  <c r="AC214" i="17"/>
  <c r="AC220" i="17"/>
  <c r="AC264" i="17"/>
  <c r="AC271" i="17"/>
  <c r="AC278" i="17"/>
  <c r="AC161" i="17"/>
  <c r="AC193" i="17"/>
  <c r="AC222" i="17"/>
  <c r="AC230" i="17"/>
  <c r="AC172" i="17"/>
  <c r="AC186" i="17"/>
  <c r="AC188" i="17"/>
  <c r="AC194" i="17"/>
  <c r="AC221" i="17"/>
  <c r="AC255" i="17"/>
  <c r="AC260" i="17"/>
  <c r="AC234" i="17"/>
  <c r="AC182" i="17"/>
  <c r="AC247" i="17"/>
  <c r="AC288" i="17"/>
  <c r="AC296" i="17"/>
  <c r="AC315" i="17"/>
  <c r="AC164" i="17"/>
  <c r="AC276" i="17"/>
  <c r="AC295" i="17"/>
  <c r="AC304" i="17"/>
  <c r="AC313" i="17"/>
  <c r="AC317" i="17"/>
  <c r="AC322" i="17"/>
  <c r="AC328" i="17"/>
  <c r="AC334" i="17"/>
  <c r="AC336" i="17"/>
  <c r="AC340" i="17"/>
  <c r="AC342" i="17"/>
  <c r="AC346" i="17"/>
  <c r="AC251" i="17"/>
  <c r="AC266" i="17"/>
  <c r="AC274" i="17"/>
  <c r="AC311" i="17"/>
  <c r="AC320" i="17"/>
  <c r="AC268" i="17"/>
  <c r="AC128" i="17"/>
  <c r="AC282" i="17"/>
  <c r="AC289" i="17"/>
  <c r="AC319" i="17"/>
  <c r="AC326" i="17"/>
  <c r="AC329" i="17"/>
  <c r="AC333" i="17"/>
  <c r="AC337" i="17"/>
  <c r="AC349" i="17"/>
  <c r="AC294" i="17"/>
  <c r="AC314" i="17"/>
  <c r="AC316" i="17"/>
  <c r="AC327" i="17"/>
  <c r="AC338" i="17"/>
  <c r="AC126" i="17"/>
  <c r="AC307" i="17"/>
  <c r="AC309" i="17"/>
  <c r="AC323" i="17"/>
  <c r="AC339" i="17"/>
  <c r="AC262" i="17"/>
  <c r="AC270" i="17"/>
  <c r="AC273" i="17"/>
  <c r="AC284" i="17"/>
  <c r="AC291" i="17"/>
  <c r="AC321" i="17"/>
  <c r="AC324" i="17"/>
  <c r="AC347" i="17"/>
  <c r="AC277" i="17"/>
  <c r="AC248" i="17"/>
  <c r="AC181" i="17"/>
  <c r="AC345" i="17"/>
  <c r="AC308" i="17"/>
  <c r="AC297" i="17"/>
  <c r="AC283" i="17"/>
  <c r="K318" i="17"/>
  <c r="K314" i="17"/>
  <c r="K310" i="17"/>
  <c r="K285" i="17"/>
  <c r="K278" i="17"/>
  <c r="K294" i="17"/>
  <c r="K305" i="17"/>
  <c r="K181" i="17"/>
  <c r="K204" i="17"/>
  <c r="AS282" i="17"/>
  <c r="U282" i="17" s="1"/>
  <c r="AB282" i="17"/>
  <c r="AO282" i="17"/>
  <c r="W282" i="17"/>
  <c r="X282" i="17"/>
  <c r="Q258" i="17"/>
  <c r="AG258" i="17" s="1"/>
  <c r="K249" i="17"/>
  <c r="W249" i="17"/>
  <c r="P249" i="17"/>
  <c r="X249" i="17"/>
  <c r="AO249" i="17"/>
  <c r="Y249" i="17"/>
  <c r="Z249" i="17"/>
  <c r="AC249" i="17"/>
  <c r="S249" i="17"/>
  <c r="AP249" i="17" s="1"/>
  <c r="AS229" i="17"/>
  <c r="J78" i="14" s="1"/>
  <c r="T229" i="17"/>
  <c r="AH229" i="17" s="1"/>
  <c r="AB229" i="17"/>
  <c r="AC229" i="17"/>
  <c r="X229" i="17"/>
  <c r="AO229" i="17"/>
  <c r="K229" i="17"/>
  <c r="S229" i="17"/>
  <c r="AP229" i="17" s="1"/>
  <c r="W229" i="17"/>
  <c r="Y229" i="17"/>
  <c r="Z229" i="17"/>
  <c r="S224" i="17"/>
  <c r="AP224" i="17" s="1"/>
  <c r="N224" i="17"/>
  <c r="M224" i="17"/>
  <c r="AD224" i="17" s="1"/>
  <c r="AL224" i="17" s="1"/>
  <c r="O215" i="17"/>
  <c r="S215" i="17"/>
  <c r="AP215" i="17" s="1"/>
  <c r="S210" i="17"/>
  <c r="AP210" i="17" s="1"/>
  <c r="L210" i="17"/>
  <c r="AE210" i="17" s="1"/>
  <c r="T205" i="17"/>
  <c r="AH205" i="17" s="1"/>
  <c r="V205" i="17"/>
  <c r="AQ205" i="17" s="1"/>
  <c r="M205" i="17"/>
  <c r="AD205" i="17" s="1"/>
  <c r="N205" i="17"/>
  <c r="X201" i="17"/>
  <c r="AO201" i="17"/>
  <c r="Y201" i="17"/>
  <c r="Z201" i="17"/>
  <c r="L201" i="17"/>
  <c r="AE201" i="17" s="1"/>
  <c r="T201" i="17"/>
  <c r="AH201" i="17" s="1"/>
  <c r="AB201" i="17"/>
  <c r="U201" i="17"/>
  <c r="AC201" i="17"/>
  <c r="O201" i="17"/>
  <c r="AJ201" i="17" s="1"/>
  <c r="P191" i="17"/>
  <c r="Q191" i="17"/>
  <c r="R191" i="17"/>
  <c r="N186" i="17"/>
  <c r="P186" i="17"/>
  <c r="M186" i="17"/>
  <c r="AD186" i="17" s="1"/>
  <c r="AL186" i="17" s="1"/>
  <c r="R182" i="17"/>
  <c r="L182" i="17"/>
  <c r="T182" i="17"/>
  <c r="AH182" i="17" s="1"/>
  <c r="N182" i="17"/>
  <c r="V182" i="17"/>
  <c r="AQ182" i="17" s="1"/>
  <c r="S178" i="17"/>
  <c r="AP178" i="17" s="1"/>
  <c r="L178" i="17"/>
  <c r="AE178" i="17" s="1"/>
  <c r="T178" i="17"/>
  <c r="AH178" i="17" s="1"/>
  <c r="N178" i="17"/>
  <c r="V178" i="17"/>
  <c r="AQ178" i="17" s="1"/>
  <c r="O178" i="17"/>
  <c r="U178" i="17"/>
  <c r="P174" i="17"/>
  <c r="Q174" i="17"/>
  <c r="AG174" i="17" s="1"/>
  <c r="T174" i="17"/>
  <c r="AH174" i="17" s="1"/>
  <c r="V174" i="17"/>
  <c r="AQ174" i="17" s="1"/>
  <c r="M174" i="17"/>
  <c r="AD174" i="17" s="1"/>
  <c r="AL174" i="17" s="1"/>
  <c r="N174" i="17"/>
  <c r="S174" i="17"/>
  <c r="AP174" i="17" s="1"/>
  <c r="S170" i="17"/>
  <c r="AP170" i="17" s="1"/>
  <c r="AA170" i="17"/>
  <c r="M170" i="17"/>
  <c r="AD170" i="17" s="1"/>
  <c r="V170" i="17"/>
  <c r="AQ170" i="17" s="1"/>
  <c r="AO170" i="17"/>
  <c r="N170" i="17"/>
  <c r="W170" i="17"/>
  <c r="X170" i="17"/>
  <c r="K170" i="17"/>
  <c r="Z170" i="17"/>
  <c r="AC170" i="17"/>
  <c r="L170" i="17"/>
  <c r="AK170" i="17" s="1"/>
  <c r="P170" i="17"/>
  <c r="AH170" i="17"/>
  <c r="T170" i="17"/>
  <c r="U170" i="17"/>
  <c r="K166" i="17"/>
  <c r="S166" i="17"/>
  <c r="AP166" i="17" s="1"/>
  <c r="AA166" i="17"/>
  <c r="N166" i="17"/>
  <c r="X166" i="17"/>
  <c r="P166" i="17"/>
  <c r="Y166" i="17"/>
  <c r="Q166" i="17"/>
  <c r="AF166" i="17" s="1"/>
  <c r="Z166" i="17"/>
  <c r="AK166" i="17" s="1"/>
  <c r="T166" i="17"/>
  <c r="AH166" i="17" s="1"/>
  <c r="AC166" i="17"/>
  <c r="L166" i="17"/>
  <c r="AE166" i="17" s="1"/>
  <c r="R166" i="17"/>
  <c r="M166" i="17"/>
  <c r="AD166" i="17" s="1"/>
  <c r="U166" i="17"/>
  <c r="N162" i="17"/>
  <c r="V162" i="17"/>
  <c r="AQ162" i="17" s="1"/>
  <c r="K162" i="17"/>
  <c r="W162" i="17"/>
  <c r="Q162" i="17"/>
  <c r="AG162" i="17" s="1"/>
  <c r="AA162" i="17"/>
  <c r="R162" i="17"/>
  <c r="AB162" i="17"/>
  <c r="AO162" i="17"/>
  <c r="AC162" i="17"/>
  <c r="U162" i="17"/>
  <c r="P162" i="17"/>
  <c r="T162" i="17"/>
  <c r="AH162" i="17" s="1"/>
  <c r="X162" i="17"/>
  <c r="K158" i="17"/>
  <c r="P158" i="17"/>
  <c r="X158" i="17"/>
  <c r="AF158" i="17"/>
  <c r="AO158" i="17"/>
  <c r="Q158" i="17"/>
  <c r="AG158" i="17" s="1"/>
  <c r="Y158" i="17"/>
  <c r="AK158" i="17" s="1"/>
  <c r="R158" i="17"/>
  <c r="Z158" i="17"/>
  <c r="S158" i="17"/>
  <c r="AP158" i="17" s="1"/>
  <c r="AA158" i="17"/>
  <c r="U158" i="17"/>
  <c r="V158" i="17"/>
  <c r="AQ158" i="17" s="1"/>
  <c r="W158" i="17"/>
  <c r="AC158" i="17"/>
  <c r="L158" i="17"/>
  <c r="AE158" i="17" s="1"/>
  <c r="N158" i="17"/>
  <c r="O158" i="17"/>
  <c r="T158" i="17"/>
  <c r="AH158" i="17" s="1"/>
  <c r="L154" i="17"/>
  <c r="AB154" i="17"/>
  <c r="M154" i="17"/>
  <c r="AD154" i="17" s="1"/>
  <c r="U154" i="17"/>
  <c r="AC154" i="17"/>
  <c r="V154" i="17"/>
  <c r="W154" i="17"/>
  <c r="AE154" i="17"/>
  <c r="X154" i="17"/>
  <c r="AO154" i="17"/>
  <c r="Y154" i="17"/>
  <c r="Z154" i="17"/>
  <c r="AQ154" i="17"/>
  <c r="P154" i="17"/>
  <c r="AF154" i="17"/>
  <c r="K154" i="17"/>
  <c r="O154" i="17" s="1"/>
  <c r="AJ154" i="17" s="1"/>
  <c r="Q154" i="17"/>
  <c r="AG154" i="17" s="1"/>
  <c r="R154" i="17"/>
  <c r="S154" i="17"/>
  <c r="AP154" i="17" s="1"/>
  <c r="AA154" i="17"/>
  <c r="X150" i="17"/>
  <c r="AO150" i="17"/>
  <c r="Q150" i="17"/>
  <c r="AG150" i="17" s="1"/>
  <c r="Y150" i="17"/>
  <c r="K150" i="17"/>
  <c r="R150" i="17"/>
  <c r="Z150" i="17"/>
  <c r="S150" i="17"/>
  <c r="AP150" i="17" s="1"/>
  <c r="AA150" i="17"/>
  <c r="W150" i="17"/>
  <c r="L150" i="17"/>
  <c r="AE150" i="17" s="1"/>
  <c r="AB150" i="17"/>
  <c r="M150" i="17"/>
  <c r="AD150" i="17" s="1"/>
  <c r="AC150" i="17"/>
  <c r="V150" i="17"/>
  <c r="AQ150" i="17" s="1"/>
  <c r="N150" i="17"/>
  <c r="T150" i="17"/>
  <c r="AH150" i="17" s="1"/>
  <c r="K146" i="17"/>
  <c r="O146" i="17" s="1"/>
  <c r="P146" i="17"/>
  <c r="X146" i="17"/>
  <c r="AO146" i="17"/>
  <c r="Q146" i="17"/>
  <c r="AF146" i="17" s="1"/>
  <c r="Y146" i="17"/>
  <c r="AG146" i="17"/>
  <c r="R146" i="17"/>
  <c r="Z146" i="17"/>
  <c r="AQ146" i="17"/>
  <c r="S146" i="17"/>
  <c r="AP146" i="17" s="1"/>
  <c r="AA146" i="17"/>
  <c r="V146" i="17"/>
  <c r="W146" i="17"/>
  <c r="AB146" i="17"/>
  <c r="L146" i="17"/>
  <c r="AE146" i="17" s="1"/>
  <c r="AC146" i="17"/>
  <c r="K142" i="17"/>
  <c r="O142" i="17" s="1"/>
  <c r="AJ142" i="17" s="1"/>
  <c r="W142" i="17"/>
  <c r="S142" i="17"/>
  <c r="AP142" i="17" s="1"/>
  <c r="L142" i="17"/>
  <c r="V142" i="17"/>
  <c r="AQ142" i="17" s="1"/>
  <c r="X142" i="17"/>
  <c r="N142" i="17"/>
  <c r="Y142" i="17"/>
  <c r="Z142" i="17"/>
  <c r="AC142" i="17"/>
  <c r="Q142" i="17"/>
  <c r="AF142" i="17" s="1"/>
  <c r="R142" i="17"/>
  <c r="U142" i="17"/>
  <c r="AA142" i="17"/>
  <c r="AB142" i="17"/>
  <c r="AO142" i="17"/>
  <c r="AA138" i="17"/>
  <c r="N138" i="17"/>
  <c r="V138" i="17"/>
  <c r="AQ138" i="17" s="1"/>
  <c r="W138" i="17"/>
  <c r="AE138" i="17"/>
  <c r="Q138" i="17"/>
  <c r="AF138" i="17" s="1"/>
  <c r="AC138" i="17"/>
  <c r="R138" i="17"/>
  <c r="T138" i="17"/>
  <c r="AH138" i="17" s="1"/>
  <c r="U138" i="17"/>
  <c r="Y138" i="17"/>
  <c r="AK138" i="17" s="1"/>
  <c r="Z138" i="17"/>
  <c r="AB138" i="17"/>
  <c r="L138" i="17"/>
  <c r="P138" i="17"/>
  <c r="X138" i="17"/>
  <c r="AO138" i="17"/>
  <c r="W134" i="17"/>
  <c r="R134" i="17"/>
  <c r="Z134" i="17"/>
  <c r="S134" i="17"/>
  <c r="AP134" i="17" s="1"/>
  <c r="AA134" i="17"/>
  <c r="T134" i="17"/>
  <c r="AH134" i="17" s="1"/>
  <c r="AF134" i="17"/>
  <c r="K134" i="17"/>
  <c r="U134" i="17"/>
  <c r="AG134" i="17"/>
  <c r="L134" i="17"/>
  <c r="AE134" i="17" s="1"/>
  <c r="X134" i="17"/>
  <c r="Q134" i="17"/>
  <c r="Y134" i="17"/>
  <c r="AB134" i="17"/>
  <c r="M134" i="17"/>
  <c r="AD134" i="17" s="1"/>
  <c r="AL134" i="17" s="1"/>
  <c r="N134" i="17"/>
  <c r="P134" i="17"/>
  <c r="AC134" i="17"/>
  <c r="AO134" i="17"/>
  <c r="S130" i="17"/>
  <c r="AA130" i="17"/>
  <c r="L130" i="17"/>
  <c r="AE130" i="17" s="1"/>
  <c r="T130" i="17"/>
  <c r="AH130" i="17" s="1"/>
  <c r="AB130" i="17"/>
  <c r="N130" i="17"/>
  <c r="V130" i="17"/>
  <c r="AQ130" i="17" s="1"/>
  <c r="W130" i="17"/>
  <c r="U130" i="17"/>
  <c r="X130" i="17"/>
  <c r="AO130" i="17"/>
  <c r="Y130" i="17"/>
  <c r="AP130" i="17"/>
  <c r="Z130" i="17"/>
  <c r="M130" i="17"/>
  <c r="AD130" i="17" s="1"/>
  <c r="K130" i="17"/>
  <c r="O130" i="17" s="1"/>
  <c r="P130" i="17"/>
  <c r="Q130" i="17"/>
  <c r="AF130" i="17" s="1"/>
  <c r="AC130" i="17"/>
  <c r="R130" i="17"/>
  <c r="K126" i="17"/>
  <c r="O126" i="17" s="1"/>
  <c r="W126" i="17"/>
  <c r="P126" i="17"/>
  <c r="X126" i="17"/>
  <c r="AO126" i="17"/>
  <c r="R126" i="17"/>
  <c r="Z126" i="17"/>
  <c r="S126" i="17"/>
  <c r="AP126" i="17" s="1"/>
  <c r="AA126" i="17"/>
  <c r="Q126" i="17"/>
  <c r="AF126" i="17" s="1"/>
  <c r="AG126" i="17"/>
  <c r="T126" i="17"/>
  <c r="AH126" i="17" s="1"/>
  <c r="U126" i="17"/>
  <c r="V126" i="17"/>
  <c r="AQ126" i="17" s="1"/>
  <c r="L126" i="17"/>
  <c r="AE126" i="17" s="1"/>
  <c r="N126" i="17"/>
  <c r="Y126" i="17"/>
  <c r="P122" i="17"/>
  <c r="X122" i="17"/>
  <c r="AF122" i="17"/>
  <c r="AO122" i="17"/>
  <c r="K122" i="17"/>
  <c r="S122" i="17"/>
  <c r="AP122" i="17" s="1"/>
  <c r="AA122" i="17"/>
  <c r="N122" i="17"/>
  <c r="Y122" i="17"/>
  <c r="AK122" i="17" s="1"/>
  <c r="Z122" i="17"/>
  <c r="AC122" i="17"/>
  <c r="T122" i="17"/>
  <c r="AH122" i="17" s="1"/>
  <c r="M122" i="17"/>
  <c r="AD122" i="17" s="1"/>
  <c r="AL122" i="17" s="1"/>
  <c r="Q122" i="17"/>
  <c r="AG122" i="17" s="1"/>
  <c r="U122" i="17"/>
  <c r="V122" i="17"/>
  <c r="AQ122" i="17" s="1"/>
  <c r="O122" i="17"/>
  <c r="L122" i="17"/>
  <c r="AE122" i="17" s="1"/>
  <c r="AB122" i="17"/>
  <c r="W122" i="17"/>
  <c r="K118" i="17"/>
  <c r="P118" i="17"/>
  <c r="X118" i="17"/>
  <c r="AJ118" i="17" s="1"/>
  <c r="AO118" i="17"/>
  <c r="S118" i="17"/>
  <c r="AP118" i="17" s="1"/>
  <c r="AA118" i="17"/>
  <c r="R118" i="17"/>
  <c r="AC118" i="17"/>
  <c r="T118" i="17"/>
  <c r="AH118" i="17" s="1"/>
  <c r="L118" i="17"/>
  <c r="AE118" i="17" s="1"/>
  <c r="V118" i="17"/>
  <c r="AQ118" i="17" s="1"/>
  <c r="AG118" i="17"/>
  <c r="M118" i="17"/>
  <c r="AD118" i="17" s="1"/>
  <c r="AL118" i="17" s="1"/>
  <c r="W118" i="17"/>
  <c r="N118" i="17"/>
  <c r="O118" i="17"/>
  <c r="AK118" i="17"/>
  <c r="Q118" i="17"/>
  <c r="AF118" i="17" s="1"/>
  <c r="U118" i="17"/>
  <c r="Y118" i="17"/>
  <c r="Z118" i="17"/>
  <c r="AB118" i="17"/>
  <c r="L114" i="17"/>
  <c r="AE114" i="17" s="1"/>
  <c r="T114" i="17"/>
  <c r="AH114" i="17" s="1"/>
  <c r="AB114" i="17"/>
  <c r="N114" i="17"/>
  <c r="V114" i="17"/>
  <c r="AQ114" i="17" s="1"/>
  <c r="AD114" i="17"/>
  <c r="W114" i="17"/>
  <c r="P114" i="17"/>
  <c r="X114" i="17"/>
  <c r="AO114" i="17"/>
  <c r="Q114" i="17"/>
  <c r="AF114" i="17" s="1"/>
  <c r="AG114" i="17"/>
  <c r="K114" i="17"/>
  <c r="R114" i="17"/>
  <c r="U114" i="17"/>
  <c r="Y114" i="17"/>
  <c r="AK114" i="17" s="1"/>
  <c r="AP114" i="17"/>
  <c r="Z114" i="17"/>
  <c r="AA114" i="17"/>
  <c r="AC114" i="17"/>
  <c r="M114" i="17"/>
  <c r="S114" i="17"/>
  <c r="P110" i="17"/>
  <c r="X110" i="17"/>
  <c r="AO110" i="17"/>
  <c r="K110" i="17"/>
  <c r="R110" i="17"/>
  <c r="Z110" i="17"/>
  <c r="S110" i="17"/>
  <c r="AA110" i="17"/>
  <c r="L110" i="17"/>
  <c r="AE110" i="17" s="1"/>
  <c r="T110" i="17"/>
  <c r="AH110" i="17" s="1"/>
  <c r="AB110" i="17"/>
  <c r="Q110" i="17"/>
  <c r="AF110" i="17" s="1"/>
  <c r="U110" i="17"/>
  <c r="W110" i="17"/>
  <c r="Y110" i="17"/>
  <c r="AP110" i="17"/>
  <c r="M110" i="17"/>
  <c r="AD110" i="17" s="1"/>
  <c r="V110" i="17"/>
  <c r="AQ110" i="17" s="1"/>
  <c r="AC110" i="17"/>
  <c r="P106" i="17"/>
  <c r="X106" i="17"/>
  <c r="AO106" i="17"/>
  <c r="R106" i="17"/>
  <c r="Z106" i="17"/>
  <c r="K106" i="17"/>
  <c r="S106" i="17"/>
  <c r="AP106" i="17" s="1"/>
  <c r="AA106" i="17"/>
  <c r="L106" i="17"/>
  <c r="T106" i="17"/>
  <c r="AH106" i="17" s="1"/>
  <c r="AB106" i="17"/>
  <c r="AE106" i="17"/>
  <c r="M106" i="17"/>
  <c r="AD106" i="17" s="1"/>
  <c r="AL106" i="17" s="1"/>
  <c r="Q106" i="17"/>
  <c r="AF106" i="17" s="1"/>
  <c r="V106" i="17"/>
  <c r="AQ106" i="17" s="1"/>
  <c r="W106" i="17"/>
  <c r="U106" i="17"/>
  <c r="N106" i="17"/>
  <c r="Y106" i="17"/>
  <c r="AC106" i="17"/>
  <c r="M102" i="17"/>
  <c r="AD102" i="17" s="1"/>
  <c r="U102" i="17"/>
  <c r="S102" i="17"/>
  <c r="AP102" i="17" s="1"/>
  <c r="AB102" i="17"/>
  <c r="L102" i="17"/>
  <c r="AE102" i="17" s="1"/>
  <c r="V102" i="17"/>
  <c r="N102" i="17"/>
  <c r="W102" i="17"/>
  <c r="X102" i="17"/>
  <c r="AO102" i="17"/>
  <c r="Q102" i="17"/>
  <c r="AF102" i="17" s="1"/>
  <c r="R102" i="17"/>
  <c r="Y102" i="17"/>
  <c r="Z102" i="17"/>
  <c r="AQ102" i="17"/>
  <c r="AA102" i="17"/>
  <c r="AC102" i="17"/>
  <c r="P102" i="17"/>
  <c r="T102" i="17"/>
  <c r="AH102" i="17" s="1"/>
  <c r="K102" i="17"/>
  <c r="Q98" i="17"/>
  <c r="AG98" i="17" s="1"/>
  <c r="Y98" i="17"/>
  <c r="R98" i="17"/>
  <c r="Z98" i="17"/>
  <c r="AH98" i="17"/>
  <c r="S98" i="17"/>
  <c r="AP98" i="17" s="1"/>
  <c r="AA98" i="17"/>
  <c r="L98" i="17"/>
  <c r="AE98" i="17" s="1"/>
  <c r="T98" i="17"/>
  <c r="AB98" i="17"/>
  <c r="P98" i="17"/>
  <c r="K98" i="17"/>
  <c r="O98" i="17" s="1"/>
  <c r="V98" i="17"/>
  <c r="AQ98" i="17" s="1"/>
  <c r="W98" i="17"/>
  <c r="X98" i="17"/>
  <c r="AO98" i="17"/>
  <c r="N98" i="17"/>
  <c r="M98" i="17"/>
  <c r="U98" i="17"/>
  <c r="AD98" i="17"/>
  <c r="AC98" i="17"/>
  <c r="M94" i="17"/>
  <c r="U94" i="17"/>
  <c r="AC94" i="17"/>
  <c r="N94" i="17"/>
  <c r="V94" i="17"/>
  <c r="AQ94" i="17" s="1"/>
  <c r="AD94" i="17"/>
  <c r="W94" i="17"/>
  <c r="P94" i="17"/>
  <c r="X94" i="17"/>
  <c r="AO94" i="17"/>
  <c r="Y94" i="17"/>
  <c r="AA94" i="17"/>
  <c r="AL94" i="17" s="1"/>
  <c r="L94" i="17"/>
  <c r="AE94" i="17" s="1"/>
  <c r="AB94" i="17"/>
  <c r="Q94" i="17"/>
  <c r="AF94" i="17" s="1"/>
  <c r="Z94" i="17"/>
  <c r="K94" i="17"/>
  <c r="R94" i="17"/>
  <c r="S94" i="17"/>
  <c r="AP94" i="17" s="1"/>
  <c r="T94" i="17"/>
  <c r="AH94" i="17" s="1"/>
  <c r="Q90" i="17"/>
  <c r="AG90" i="17" s="1"/>
  <c r="Y90" i="17"/>
  <c r="AK90" i="17" s="1"/>
  <c r="K90" i="17"/>
  <c r="R90" i="17"/>
  <c r="Z90" i="17"/>
  <c r="AH90" i="17"/>
  <c r="AQ90" i="17"/>
  <c r="S90" i="17"/>
  <c r="AP90" i="17" s="1"/>
  <c r="AA90" i="17"/>
  <c r="L90" i="17"/>
  <c r="AE90" i="17" s="1"/>
  <c r="T90" i="17"/>
  <c r="AB90" i="17"/>
  <c r="W90" i="17"/>
  <c r="M90" i="17"/>
  <c r="AD90" i="17" s="1"/>
  <c r="AC90" i="17"/>
  <c r="N90" i="17"/>
  <c r="U90" i="17"/>
  <c r="V90" i="17"/>
  <c r="X90" i="17"/>
  <c r="AO90" i="17"/>
  <c r="P90" i="17"/>
  <c r="Q86" i="17"/>
  <c r="AG86" i="17" s="1"/>
  <c r="Y86" i="17"/>
  <c r="R86" i="17"/>
  <c r="Z86" i="17"/>
  <c r="K86" i="17"/>
  <c r="S86" i="17"/>
  <c r="AP86" i="17" s="1"/>
  <c r="AA86" i="17"/>
  <c r="AL86" i="17" s="1"/>
  <c r="L86" i="17"/>
  <c r="AE86" i="17" s="1"/>
  <c r="T86" i="17"/>
  <c r="AH86" i="17" s="1"/>
  <c r="AB86" i="17"/>
  <c r="W86" i="17"/>
  <c r="AC86" i="17"/>
  <c r="AD86" i="17"/>
  <c r="AF86" i="17"/>
  <c r="AO86" i="17"/>
  <c r="P86" i="17"/>
  <c r="N86" i="17"/>
  <c r="X86" i="17"/>
  <c r="U86" i="17"/>
  <c r="M86" i="17"/>
  <c r="K82" i="17"/>
  <c r="O82" i="17"/>
  <c r="W82" i="17"/>
  <c r="AI82" i="17" s="1"/>
  <c r="AE82" i="17"/>
  <c r="Q82" i="17"/>
  <c r="AF82" i="17" s="1"/>
  <c r="Z82" i="17"/>
  <c r="R82" i="17"/>
  <c r="AA82" i="17"/>
  <c r="S82" i="17"/>
  <c r="AP82" i="17" s="1"/>
  <c r="AB82" i="17"/>
  <c r="T82" i="17"/>
  <c r="AH82" i="17" s="1"/>
  <c r="AC82" i="17"/>
  <c r="V82" i="17"/>
  <c r="AQ82" i="17" s="1"/>
  <c r="Y82" i="17"/>
  <c r="L82" i="17"/>
  <c r="M82" i="17"/>
  <c r="AD82" i="17" s="1"/>
  <c r="N82" i="17"/>
  <c r="U82" i="17"/>
  <c r="X82" i="17"/>
  <c r="AO82" i="17"/>
  <c r="P82" i="17"/>
  <c r="S78" i="17"/>
  <c r="AP78" i="17" s="1"/>
  <c r="AA78" i="17"/>
  <c r="L78" i="17"/>
  <c r="T78" i="17"/>
  <c r="AH78" i="17" s="1"/>
  <c r="AB78" i="17"/>
  <c r="M78" i="17"/>
  <c r="U78" i="17"/>
  <c r="AC78" i="17"/>
  <c r="W78" i="17"/>
  <c r="K78" i="17"/>
  <c r="X78" i="17"/>
  <c r="N78" i="17"/>
  <c r="Y78" i="17"/>
  <c r="AK78" i="17" s="1"/>
  <c r="Z78" i="17"/>
  <c r="AO78" i="17"/>
  <c r="P78" i="17"/>
  <c r="Q78" i="17"/>
  <c r="AF78" i="17" s="1"/>
  <c r="R78" i="17"/>
  <c r="AD78" i="17"/>
  <c r="AE78" i="17"/>
  <c r="V78" i="17"/>
  <c r="AQ78" i="17" s="1"/>
  <c r="W74" i="17"/>
  <c r="P74" i="17"/>
  <c r="X74" i="17"/>
  <c r="AO74" i="17"/>
  <c r="K74" i="17"/>
  <c r="Q74" i="17"/>
  <c r="AG74" i="17" s="1"/>
  <c r="Y74" i="17"/>
  <c r="L74" i="17"/>
  <c r="AE74" i="17" s="1"/>
  <c r="Z74" i="17"/>
  <c r="M74" i="17"/>
  <c r="AD74" i="17" s="1"/>
  <c r="AA74" i="17"/>
  <c r="N74" i="17"/>
  <c r="AB74" i="17"/>
  <c r="AQ74" i="17"/>
  <c r="R74" i="17"/>
  <c r="AC74" i="17"/>
  <c r="S74" i="17"/>
  <c r="AP74" i="17" s="1"/>
  <c r="U74" i="17"/>
  <c r="V74" i="17"/>
  <c r="T74" i="17"/>
  <c r="AH74" i="17"/>
  <c r="S70" i="17"/>
  <c r="AP70" i="17" s="1"/>
  <c r="AA70" i="17"/>
  <c r="AL70" i="17" s="1"/>
  <c r="L70" i="17"/>
  <c r="T70" i="17"/>
  <c r="AH70" i="17" s="1"/>
  <c r="AB70" i="17"/>
  <c r="M70" i="17"/>
  <c r="U70" i="17"/>
  <c r="AC70" i="17"/>
  <c r="AK70" i="17"/>
  <c r="N70" i="17"/>
  <c r="Y70" i="17"/>
  <c r="Z70" i="17"/>
  <c r="AO70" i="17"/>
  <c r="P70" i="17"/>
  <c r="AD70" i="17"/>
  <c r="Q70" i="17"/>
  <c r="AF70" i="17" s="1"/>
  <c r="AE70" i="17"/>
  <c r="R70" i="17"/>
  <c r="V70" i="17"/>
  <c r="AQ70" i="17" s="1"/>
  <c r="K70" i="17"/>
  <c r="W70" i="17"/>
  <c r="X70" i="17"/>
  <c r="K66" i="17"/>
  <c r="O66" i="17"/>
  <c r="W66" i="17"/>
  <c r="P66" i="17"/>
  <c r="X66" i="17"/>
  <c r="AO66" i="17"/>
  <c r="Q66" i="17"/>
  <c r="AF66" i="17" s="1"/>
  <c r="Y66" i="17"/>
  <c r="R66" i="17"/>
  <c r="AC66" i="17"/>
  <c r="S66" i="17"/>
  <c r="AP66" i="17" s="1"/>
  <c r="T66" i="17"/>
  <c r="AH66" i="17" s="1"/>
  <c r="U66" i="17"/>
  <c r="V66" i="17"/>
  <c r="AQ66" i="17" s="1"/>
  <c r="AA66" i="17"/>
  <c r="AB66" i="17"/>
  <c r="AJ66" i="17"/>
  <c r="L66" i="17"/>
  <c r="AE66" i="17" s="1"/>
  <c r="M66" i="17"/>
  <c r="AD66" i="17" s="1"/>
  <c r="N66" i="17"/>
  <c r="Z66" i="17"/>
  <c r="K62" i="17"/>
  <c r="O62" i="17" s="1"/>
  <c r="AI62" i="17" s="1"/>
  <c r="S62" i="17"/>
  <c r="AA62" i="17"/>
  <c r="L62" i="17"/>
  <c r="AE62" i="17" s="1"/>
  <c r="T62" i="17"/>
  <c r="AB62" i="17"/>
  <c r="M62" i="17"/>
  <c r="U62" i="17"/>
  <c r="AC62" i="17"/>
  <c r="W62" i="17"/>
  <c r="AH62" i="17"/>
  <c r="X62" i="17"/>
  <c r="Y62" i="17"/>
  <c r="Z62" i="17"/>
  <c r="AO62" i="17"/>
  <c r="R62" i="17"/>
  <c r="AD62" i="17"/>
  <c r="V62" i="17"/>
  <c r="AQ62" i="17" s="1"/>
  <c r="AP62" i="17"/>
  <c r="P62" i="17"/>
  <c r="Q62" i="17"/>
  <c r="AF62" i="17" s="1"/>
  <c r="N62" i="17"/>
  <c r="K58" i="17"/>
  <c r="S58" i="17"/>
  <c r="AP58" i="17" s="1"/>
  <c r="AA58" i="17"/>
  <c r="AL58" i="17" s="1"/>
  <c r="AI58" i="17"/>
  <c r="L58" i="17"/>
  <c r="AE58" i="17" s="1"/>
  <c r="T58" i="17"/>
  <c r="AH58" i="17" s="1"/>
  <c r="AB58" i="17"/>
  <c r="M58" i="17"/>
  <c r="U58" i="17"/>
  <c r="AC58" i="17"/>
  <c r="N58" i="17"/>
  <c r="V58" i="17"/>
  <c r="AQ58" i="17" s="1"/>
  <c r="AD58" i="17"/>
  <c r="P58" i="17"/>
  <c r="Q58" i="17"/>
  <c r="AF58" i="17" s="1"/>
  <c r="R58" i="17"/>
  <c r="W58" i="17"/>
  <c r="X58" i="17"/>
  <c r="AJ58" i="17" s="1"/>
  <c r="Y58" i="17"/>
  <c r="AK58" i="17" s="1"/>
  <c r="Z58" i="17"/>
  <c r="AO58" i="17"/>
  <c r="O58" i="17"/>
  <c r="K54" i="17"/>
  <c r="O54" i="17"/>
  <c r="AJ54" i="17" s="1"/>
  <c r="W54" i="17"/>
  <c r="AI54" i="17" s="1"/>
  <c r="AE54" i="17"/>
  <c r="P54" i="17"/>
  <c r="X54" i="17"/>
  <c r="AO54" i="17"/>
  <c r="M54" i="17"/>
  <c r="AD54" i="17" s="1"/>
  <c r="Y54" i="17"/>
  <c r="N54" i="17"/>
  <c r="Z54" i="17"/>
  <c r="Q54" i="17"/>
  <c r="AF54" i="17" s="1"/>
  <c r="AA54" i="17"/>
  <c r="R54" i="17"/>
  <c r="AB54" i="17"/>
  <c r="T54" i="17"/>
  <c r="AH54" i="17" s="1"/>
  <c r="U54" i="17"/>
  <c r="V54" i="17"/>
  <c r="AQ54" i="17" s="1"/>
  <c r="AC54" i="17"/>
  <c r="S54" i="17"/>
  <c r="AP54" i="17" s="1"/>
  <c r="L54" i="17"/>
  <c r="M50" i="17"/>
  <c r="AD50" i="17" s="1"/>
  <c r="AL50" i="17" s="1"/>
  <c r="U50" i="17"/>
  <c r="AC50" i="17"/>
  <c r="N50" i="17"/>
  <c r="W50" i="17"/>
  <c r="X50" i="17"/>
  <c r="K50" i="17"/>
  <c r="R50" i="17"/>
  <c r="S50" i="17"/>
  <c r="AP50" i="17" s="1"/>
  <c r="T50" i="17"/>
  <c r="AH50" i="17" s="1"/>
  <c r="V50" i="17"/>
  <c r="AQ50" i="17" s="1"/>
  <c r="AB50" i="17"/>
  <c r="L50" i="17"/>
  <c r="AE50" i="17" s="1"/>
  <c r="P50" i="17"/>
  <c r="Z50" i="17"/>
  <c r="AO50" i="17"/>
  <c r="Y50" i="17"/>
  <c r="AA50" i="17"/>
  <c r="Q50" i="17"/>
  <c r="AF50" i="17" s="1"/>
  <c r="M46" i="17"/>
  <c r="AD46" i="17" s="1"/>
  <c r="U46" i="17"/>
  <c r="AC46" i="17"/>
  <c r="P46" i="17"/>
  <c r="Y46" i="17"/>
  <c r="Q46" i="17"/>
  <c r="AG46" i="17" s="1"/>
  <c r="Z46" i="17"/>
  <c r="AK46" i="17" s="1"/>
  <c r="R46" i="17"/>
  <c r="AA46" i="17"/>
  <c r="AL46" i="17" s="1"/>
  <c r="X46" i="17"/>
  <c r="AO46" i="17"/>
  <c r="AB46" i="17"/>
  <c r="K46" i="17"/>
  <c r="L46" i="17"/>
  <c r="AE46" i="17" s="1"/>
  <c r="AF46" i="17"/>
  <c r="N46" i="17"/>
  <c r="S46" i="17"/>
  <c r="AP46" i="17" s="1"/>
  <c r="W46" i="17"/>
  <c r="V46" i="17"/>
  <c r="AQ46" i="17" s="1"/>
  <c r="Q42" i="17"/>
  <c r="AG42" i="17" s="1"/>
  <c r="Y42" i="17"/>
  <c r="T42" i="17"/>
  <c r="AH42" i="17" s="1"/>
  <c r="AC42" i="17"/>
  <c r="K42" i="17"/>
  <c r="L42" i="17"/>
  <c r="AE42" i="17" s="1"/>
  <c r="U42" i="17"/>
  <c r="AD42" i="17"/>
  <c r="M42" i="17"/>
  <c r="V42" i="17"/>
  <c r="AQ42" i="17" s="1"/>
  <c r="AO42" i="17"/>
  <c r="AR42" i="17" s="1"/>
  <c r="N42" i="17"/>
  <c r="W42" i="17"/>
  <c r="AF42" i="17"/>
  <c r="P42" i="17"/>
  <c r="R42" i="17"/>
  <c r="S42" i="17"/>
  <c r="AP42" i="17" s="1"/>
  <c r="AA42" i="17"/>
  <c r="AB42" i="17"/>
  <c r="X42" i="17"/>
  <c r="Z42" i="17"/>
  <c r="M38" i="17"/>
  <c r="U38" i="17"/>
  <c r="AC38" i="17"/>
  <c r="X38" i="17"/>
  <c r="K38" i="17"/>
  <c r="P38" i="17"/>
  <c r="Y38" i="17"/>
  <c r="AH38" i="17"/>
  <c r="W38" i="17"/>
  <c r="L38" i="17"/>
  <c r="AE38" i="17" s="1"/>
  <c r="Z38" i="17"/>
  <c r="N38" i="17"/>
  <c r="AA38" i="17"/>
  <c r="AL38" i="17" s="1"/>
  <c r="Q38" i="17"/>
  <c r="AF38" i="17" s="1"/>
  <c r="AB38" i="17"/>
  <c r="AO38" i="17"/>
  <c r="AD38" i="17"/>
  <c r="R38" i="17"/>
  <c r="S38" i="17"/>
  <c r="AP38" i="17" s="1"/>
  <c r="T38" i="17"/>
  <c r="V38" i="17"/>
  <c r="AQ38" i="17" s="1"/>
  <c r="K34" i="17"/>
  <c r="Q34" i="17"/>
  <c r="AF34" i="17" s="1"/>
  <c r="Y34" i="17"/>
  <c r="T34" i="17"/>
  <c r="AH34" i="17" s="1"/>
  <c r="AC34" i="17"/>
  <c r="L34" i="17"/>
  <c r="U34" i="17"/>
  <c r="M34" i="17"/>
  <c r="AD34" i="17" s="1"/>
  <c r="V34" i="17"/>
  <c r="AQ34" i="17" s="1"/>
  <c r="AE34" i="17"/>
  <c r="AO34" i="17"/>
  <c r="S34" i="17"/>
  <c r="AP34" i="17" s="1"/>
  <c r="W34" i="17"/>
  <c r="X34" i="17"/>
  <c r="Z34" i="17"/>
  <c r="P34" i="17"/>
  <c r="R34" i="17"/>
  <c r="AA34" i="17"/>
  <c r="N34" i="17"/>
  <c r="AB34" i="17"/>
  <c r="M30" i="17"/>
  <c r="AD30" i="17" s="1"/>
  <c r="U30" i="17"/>
  <c r="AC30" i="17"/>
  <c r="Q30" i="17"/>
  <c r="AG30" i="17" s="1"/>
  <c r="Z30" i="17"/>
  <c r="R30" i="17"/>
  <c r="AA30" i="17"/>
  <c r="K30" i="17"/>
  <c r="S30" i="17"/>
  <c r="AP30" i="17" s="1"/>
  <c r="AB30" i="17"/>
  <c r="T30" i="17"/>
  <c r="AH30" i="17" s="1"/>
  <c r="V30" i="17"/>
  <c r="AO30" i="17"/>
  <c r="W30" i="17"/>
  <c r="X30" i="17"/>
  <c r="AQ30" i="17"/>
  <c r="Y30" i="17"/>
  <c r="L30" i="17"/>
  <c r="AK30" i="17" s="1"/>
  <c r="N30" i="17"/>
  <c r="P30" i="17"/>
  <c r="W26" i="17"/>
  <c r="P26" i="17"/>
  <c r="X26" i="17"/>
  <c r="AO26" i="17"/>
  <c r="T26" i="17"/>
  <c r="AH26" i="17" s="1"/>
  <c r="R26" i="17"/>
  <c r="AC26" i="17"/>
  <c r="S26" i="17"/>
  <c r="AP26" i="17" s="1"/>
  <c r="U26" i="17"/>
  <c r="V26" i="17"/>
  <c r="AQ26" i="17" s="1"/>
  <c r="K26" i="17"/>
  <c r="L26" i="17"/>
  <c r="AE26" i="17" s="1"/>
  <c r="M26" i="17"/>
  <c r="AD26" i="17" s="1"/>
  <c r="Q26" i="17"/>
  <c r="AF26" i="17" s="1"/>
  <c r="N26" i="17"/>
  <c r="Y26" i="17"/>
  <c r="Z26" i="17"/>
  <c r="AK26" i="17" s="1"/>
  <c r="AA26" i="17"/>
  <c r="AB26" i="17"/>
  <c r="K22" i="17"/>
  <c r="O25" i="17" s="1"/>
  <c r="W22" i="17"/>
  <c r="S22" i="17"/>
  <c r="AB22" i="17"/>
  <c r="T22" i="17"/>
  <c r="AH22" i="17" s="1"/>
  <c r="AC22" i="17"/>
  <c r="L22" i="17"/>
  <c r="AE22" i="17" s="1"/>
  <c r="X22" i="17"/>
  <c r="P22" i="17"/>
  <c r="Q22" i="17"/>
  <c r="AG22" i="17" s="1"/>
  <c r="AF22" i="17"/>
  <c r="R22" i="17"/>
  <c r="U22" i="17"/>
  <c r="N22" i="17"/>
  <c r="V22" i="17"/>
  <c r="AQ22" i="17" s="1"/>
  <c r="Y22" i="17"/>
  <c r="Z22" i="17"/>
  <c r="AP22" i="17"/>
  <c r="M22" i="17"/>
  <c r="AD22" i="17" s="1"/>
  <c r="AO22" i="17"/>
  <c r="AA22" i="17"/>
  <c r="AL22" i="17" s="1"/>
  <c r="S18" i="17"/>
  <c r="AP18" i="17" s="1"/>
  <c r="AA18" i="17"/>
  <c r="K18" i="17"/>
  <c r="O19" i="17" s="1"/>
  <c r="X18" i="17"/>
  <c r="P18" i="17"/>
  <c r="Y18" i="17"/>
  <c r="T18" i="17"/>
  <c r="AH18" i="17" s="1"/>
  <c r="V18" i="17"/>
  <c r="AQ18" i="17" s="1"/>
  <c r="W18" i="17"/>
  <c r="L18" i="17"/>
  <c r="AE18" i="17" s="1"/>
  <c r="Z18" i="17"/>
  <c r="M18" i="17"/>
  <c r="AD18" i="17" s="1"/>
  <c r="AB18" i="17"/>
  <c r="AO18" i="17"/>
  <c r="AF18" i="17"/>
  <c r="N18" i="17"/>
  <c r="Q18" i="17"/>
  <c r="AG18" i="17" s="1"/>
  <c r="R18" i="17"/>
  <c r="U18" i="17"/>
  <c r="AC18" i="17"/>
  <c r="W14" i="17"/>
  <c r="L14" i="17"/>
  <c r="AE14" i="17" s="1"/>
  <c r="U14" i="17"/>
  <c r="AO14" i="17"/>
  <c r="M14" i="17"/>
  <c r="AD14" i="17" s="1"/>
  <c r="V14" i="17"/>
  <c r="AQ14" i="17" s="1"/>
  <c r="S14" i="17"/>
  <c r="AP14" i="17" s="1"/>
  <c r="P14" i="17"/>
  <c r="AB14" i="17"/>
  <c r="K14" i="17"/>
  <c r="Q14" i="17"/>
  <c r="AG14" i="17" s="1"/>
  <c r="AC14" i="17"/>
  <c r="R14" i="17"/>
  <c r="T14" i="17"/>
  <c r="AH14" i="17" s="1"/>
  <c r="Y14" i="17"/>
  <c r="Z14" i="17"/>
  <c r="AA14" i="17"/>
  <c r="N14" i="17"/>
  <c r="X14" i="17"/>
  <c r="S10" i="17"/>
  <c r="AP10" i="17" s="1"/>
  <c r="AA10" i="17"/>
  <c r="Q10" i="17"/>
  <c r="Z10" i="17"/>
  <c r="R10" i="17"/>
  <c r="AB10" i="17"/>
  <c r="L10" i="17"/>
  <c r="AK10" i="17" s="1"/>
  <c r="W10" i="17"/>
  <c r="M10" i="17"/>
  <c r="X10" i="17"/>
  <c r="Y10" i="17"/>
  <c r="AC10" i="17"/>
  <c r="AL10" i="17" s="1"/>
  <c r="K10" i="17"/>
  <c r="O10" i="17" s="1"/>
  <c r="AI10" i="17" s="1"/>
  <c r="N10" i="17"/>
  <c r="AD10" i="17"/>
  <c r="AO10" i="17"/>
  <c r="P10" i="17"/>
  <c r="T10" i="17"/>
  <c r="AH10" i="17" s="1"/>
  <c r="U10" i="17"/>
  <c r="AF10" i="17"/>
  <c r="AG10" i="17"/>
  <c r="V10" i="17"/>
  <c r="AQ10" i="17" s="1"/>
  <c r="K6" i="17"/>
  <c r="O6" i="17" s="1"/>
  <c r="AJ6" i="17" s="1"/>
  <c r="W6" i="17"/>
  <c r="P6" i="17"/>
  <c r="Y6" i="17"/>
  <c r="Q6" i="17"/>
  <c r="Z6" i="17"/>
  <c r="AK6" i="17" s="1"/>
  <c r="T6" i="17"/>
  <c r="AH6" i="17" s="1"/>
  <c r="AF6" i="17"/>
  <c r="U6" i="17"/>
  <c r="AG6" i="17"/>
  <c r="AA6" i="17"/>
  <c r="L6" i="17"/>
  <c r="AE6" i="17" s="1"/>
  <c r="AB6" i="17"/>
  <c r="AQ6" i="17"/>
  <c r="M6" i="17"/>
  <c r="AD6" i="17" s="1"/>
  <c r="AC6" i="17"/>
  <c r="N6" i="17"/>
  <c r="V6" i="17"/>
  <c r="X6" i="17"/>
  <c r="R6" i="17"/>
  <c r="S6" i="17"/>
  <c r="AP6" i="17" s="1"/>
  <c r="AO6" i="17"/>
  <c r="N4" i="17"/>
  <c r="M41" i="17"/>
  <c r="AD41" i="17" s="1"/>
  <c r="P41" i="17"/>
  <c r="L45" i="17"/>
  <c r="AE45" i="17" s="1"/>
  <c r="P47" i="17"/>
  <c r="P53" i="17"/>
  <c r="L56" i="17"/>
  <c r="L57" i="17"/>
  <c r="AE57" i="17" s="1"/>
  <c r="M59" i="17"/>
  <c r="AD59" i="17" s="1"/>
  <c r="O59" i="17"/>
  <c r="M40" i="17"/>
  <c r="AD40" i="17" s="1"/>
  <c r="AL40" i="17" s="1"/>
  <c r="N41" i="17"/>
  <c r="M45" i="17"/>
  <c r="AD45" i="17" s="1"/>
  <c r="L55" i="17"/>
  <c r="M56" i="17"/>
  <c r="AD56" i="17" s="1"/>
  <c r="AL56" i="17" s="1"/>
  <c r="O56" i="17"/>
  <c r="AJ56" i="17" s="1"/>
  <c r="M57" i="17"/>
  <c r="AD57" i="17" s="1"/>
  <c r="N59" i="17"/>
  <c r="L60" i="17"/>
  <c r="AE60" i="17" s="1"/>
  <c r="N2" i="17"/>
  <c r="L33" i="17"/>
  <c r="AE33" i="17" s="1"/>
  <c r="N40" i="17"/>
  <c r="L44" i="17"/>
  <c r="AE44" i="17" s="1"/>
  <c r="N45" i="17"/>
  <c r="O51" i="17"/>
  <c r="AJ51" i="17" s="1"/>
  <c r="O55" i="17"/>
  <c r="AI55" i="17" s="1"/>
  <c r="N56" i="17"/>
  <c r="O57" i="17"/>
  <c r="M60" i="17"/>
  <c r="AD60" i="17" s="1"/>
  <c r="M33" i="17"/>
  <c r="AD33" i="17" s="1"/>
  <c r="N44" i="17"/>
  <c r="P55" i="17"/>
  <c r="P57" i="17"/>
  <c r="P59" i="17"/>
  <c r="N60" i="17"/>
  <c r="L61" i="17"/>
  <c r="N20" i="17"/>
  <c r="P48" i="17"/>
  <c r="P51" i="17"/>
  <c r="P45" i="17"/>
  <c r="M51" i="17"/>
  <c r="AD51" i="17" s="1"/>
  <c r="O60" i="17"/>
  <c r="AJ60" i="17" s="1"/>
  <c r="P25" i="17"/>
  <c r="L28" i="17"/>
  <c r="L39" i="17"/>
  <c r="N51" i="17"/>
  <c r="P60" i="17"/>
  <c r="AK60" i="17" s="1"/>
  <c r="N33" i="17"/>
  <c r="M47" i="17"/>
  <c r="AD47" i="17" s="1"/>
  <c r="N49" i="17"/>
  <c r="L53" i="17"/>
  <c r="AE53" i="17" s="1"/>
  <c r="L20" i="17"/>
  <c r="AE20" i="17" s="1"/>
  <c r="N47" i="17"/>
  <c r="P49" i="17"/>
  <c r="M53" i="17"/>
  <c r="AD53" i="17" s="1"/>
  <c r="M20" i="17"/>
  <c r="AD20" i="17" s="1"/>
  <c r="M61" i="17"/>
  <c r="AD61" i="17" s="1"/>
  <c r="L32" i="17"/>
  <c r="AE32" i="17" s="1"/>
  <c r="P61" i="17"/>
  <c r="P40" i="17"/>
  <c r="L47" i="17"/>
  <c r="AE47" i="17" s="1"/>
  <c r="N48" i="17"/>
  <c r="O52" i="17"/>
  <c r="AI52" i="17" s="1"/>
  <c r="N12" i="17"/>
  <c r="O48" i="17"/>
  <c r="AI48" i="17" s="1"/>
  <c r="P52" i="17"/>
  <c r="N61" i="17"/>
  <c r="M48" i="17"/>
  <c r="AD48" i="17" s="1"/>
  <c r="O61" i="17"/>
  <c r="AI61" i="17" s="1"/>
  <c r="L43" i="17"/>
  <c r="M49" i="17"/>
  <c r="AD49" i="17" s="1"/>
  <c r="AL49" i="17" s="1"/>
  <c r="L41" i="17"/>
  <c r="AE41" i="17" s="1"/>
  <c r="L59" i="17"/>
  <c r="T46" i="17"/>
  <c r="AH46" i="17" s="1"/>
  <c r="AI215" i="17"/>
  <c r="AJ215" i="17"/>
  <c r="K226" i="17"/>
  <c r="K133" i="17"/>
  <c r="K173" i="17"/>
  <c r="O174" i="17" s="1"/>
  <c r="K223" i="17"/>
  <c r="AJ178" i="17"/>
  <c r="K163" i="17"/>
  <c r="AI178" i="17"/>
  <c r="K119" i="17"/>
  <c r="K111" i="17"/>
  <c r="AL59" i="17"/>
  <c r="AK35" i="17"/>
  <c r="AK33" i="17"/>
  <c r="AI56" i="17"/>
  <c r="K104" i="17"/>
  <c r="AI51" i="17"/>
  <c r="K87" i="17"/>
  <c r="O90" i="17" s="1"/>
  <c r="AJ90" i="17" s="1"/>
  <c r="AI60" i="17"/>
  <c r="AL57" i="17"/>
  <c r="L51" i="17"/>
  <c r="AE51" i="17" s="1"/>
  <c r="M43" i="17"/>
  <c r="AD43" i="17" s="1"/>
  <c r="N43" i="17"/>
  <c r="P43" i="17"/>
  <c r="M35" i="17"/>
  <c r="AD35" i="17" s="1"/>
  <c r="N35" i="17"/>
  <c r="P35" i="17"/>
  <c r="M27" i="17"/>
  <c r="AD27" i="17" s="1"/>
  <c r="N27" i="17"/>
  <c r="L27" i="17"/>
  <c r="N19" i="17"/>
  <c r="P19" i="17"/>
  <c r="M11" i="17"/>
  <c r="AD11" i="17" s="1"/>
  <c r="P11" i="17"/>
  <c r="L11" i="17"/>
  <c r="AE11" i="17" s="1"/>
  <c r="N11" i="17"/>
  <c r="N57" i="17"/>
  <c r="N53" i="17"/>
  <c r="O53" i="17"/>
  <c r="AJ53" i="17" s="1"/>
  <c r="T49" i="17"/>
  <c r="AH49" i="17" s="1"/>
  <c r="L49" i="17"/>
  <c r="U49" i="17"/>
  <c r="Q45" i="17"/>
  <c r="R45" i="17"/>
  <c r="T45" i="17"/>
  <c r="AH45" i="17" s="1"/>
  <c r="Q41" i="17"/>
  <c r="R41" i="17"/>
  <c r="T41" i="17"/>
  <c r="AH41" i="17" s="1"/>
  <c r="U41" i="17"/>
  <c r="L37" i="17"/>
  <c r="AK37" i="17" s="1"/>
  <c r="U37" i="17"/>
  <c r="M37" i="17"/>
  <c r="AD37" i="17" s="1"/>
  <c r="V37" i="17"/>
  <c r="AQ37" i="17" s="1"/>
  <c r="N37" i="17"/>
  <c r="P37" i="17"/>
  <c r="Q33" i="17"/>
  <c r="R33" i="17"/>
  <c r="T33" i="17"/>
  <c r="AH33" i="17" s="1"/>
  <c r="P33" i="17"/>
  <c r="U33" i="17"/>
  <c r="V33" i="17"/>
  <c r="AQ33" i="17" s="1"/>
  <c r="N29" i="17"/>
  <c r="P29" i="17"/>
  <c r="Q29" i="17"/>
  <c r="AG29" i="17" s="1"/>
  <c r="R29" i="17"/>
  <c r="L29" i="17"/>
  <c r="AK29" i="17" s="1"/>
  <c r="M29" i="17"/>
  <c r="AD29" i="17" s="1"/>
  <c r="S29" i="17"/>
  <c r="AP29" i="17" s="1"/>
  <c r="L25" i="17"/>
  <c r="L21" i="17"/>
  <c r="AE21" i="17" s="1"/>
  <c r="M21" i="17"/>
  <c r="AD21" i="17" s="1"/>
  <c r="N21" i="17"/>
  <c r="S21" i="17"/>
  <c r="T21" i="17"/>
  <c r="AH21" i="17" s="1"/>
  <c r="P17" i="17"/>
  <c r="AK17" i="17" s="1"/>
  <c r="Q17" i="17"/>
  <c r="AG17" i="17" s="1"/>
  <c r="S17" i="17"/>
  <c r="AP17" i="17" s="1"/>
  <c r="T17" i="17"/>
  <c r="AH17" i="17" s="1"/>
  <c r="L17" i="17"/>
  <c r="AE17" i="17" s="1"/>
  <c r="V17" i="17"/>
  <c r="V13" i="17"/>
  <c r="AQ13" i="17" s="1"/>
  <c r="L13" i="17"/>
  <c r="AE13" i="17" s="1"/>
  <c r="M13" i="17"/>
  <c r="AD13" i="17" s="1"/>
  <c r="R13" i="17"/>
  <c r="U13" i="17"/>
  <c r="L9" i="17"/>
  <c r="AE9" i="17" s="1"/>
  <c r="N9" i="17"/>
  <c r="R9" i="17"/>
  <c r="T9" i="17"/>
  <c r="AH9" i="17" s="1"/>
  <c r="N5" i="17"/>
  <c r="P5" i="17"/>
  <c r="T5" i="17"/>
  <c r="AH5" i="17" s="1"/>
  <c r="V4" i="17"/>
  <c r="AQ4" i="17" s="1"/>
  <c r="L7" i="17"/>
  <c r="AE7" i="17" s="1"/>
  <c r="N8" i="17"/>
  <c r="V11" i="17"/>
  <c r="AQ11" i="17" s="1"/>
  <c r="V15" i="17"/>
  <c r="AQ15" i="17" s="1"/>
  <c r="R16" i="17"/>
  <c r="V19" i="17"/>
  <c r="AQ19" i="17" s="1"/>
  <c r="R20" i="17"/>
  <c r="L24" i="17"/>
  <c r="R27" i="17"/>
  <c r="Q28" i="17"/>
  <c r="M32" i="17"/>
  <c r="AD32" i="17" s="1"/>
  <c r="Q36" i="17"/>
  <c r="Q40" i="17"/>
  <c r="Q48" i="17"/>
  <c r="S4" i="17"/>
  <c r="AP4" i="17" s="1"/>
  <c r="V7" i="17"/>
  <c r="AQ7" i="17" s="1"/>
  <c r="V12" i="17"/>
  <c r="AQ12" i="17" s="1"/>
  <c r="V28" i="17"/>
  <c r="AQ28" i="17" s="1"/>
  <c r="N31" i="17"/>
  <c r="P32" i="17"/>
  <c r="V35" i="17"/>
  <c r="AQ35" i="17" s="1"/>
  <c r="R11" i="17"/>
  <c r="Q20" i="17"/>
  <c r="AG20" i="17" s="1"/>
  <c r="M24" i="17"/>
  <c r="AD24" i="17" s="1"/>
  <c r="V27" i="17"/>
  <c r="AQ27" i="17" s="1"/>
  <c r="P31" i="17"/>
  <c r="Q32" i="17"/>
  <c r="Q39" i="17"/>
  <c r="S40" i="17"/>
  <c r="AP40" i="17" s="1"/>
  <c r="S11" i="17"/>
  <c r="AP11" i="17" s="1"/>
  <c r="L15" i="17"/>
  <c r="AE15" i="17" s="1"/>
  <c r="P16" i="17"/>
  <c r="P24" i="17"/>
  <c r="Q31" i="17"/>
  <c r="R32" i="17"/>
  <c r="V36" i="17"/>
  <c r="AQ36" i="17" s="1"/>
  <c r="L3" i="17"/>
  <c r="AE3" i="17" s="1"/>
  <c r="N7" i="17"/>
  <c r="N15" i="17"/>
  <c r="N16" i="17"/>
  <c r="Q16" i="17"/>
  <c r="V20" i="17"/>
  <c r="AQ20" i="17" s="1"/>
  <c r="P23" i="17"/>
  <c r="Q24" i="17"/>
  <c r="P7" i="17"/>
  <c r="AK7" i="17" s="1"/>
  <c r="Q15" i="17"/>
  <c r="AG15" i="17" s="1"/>
  <c r="S16" i="17"/>
  <c r="AP16" i="17" s="1"/>
  <c r="S28" i="17"/>
  <c r="AP28" i="17" s="1"/>
  <c r="N32" i="17"/>
  <c r="Q35" i="17"/>
  <c r="M36" i="17"/>
  <c r="AD36" i="17" s="1"/>
  <c r="AL36" i="17" s="1"/>
  <c r="P36" i="17"/>
  <c r="M39" i="17"/>
  <c r="AD39" i="17" s="1"/>
  <c r="R40" i="17"/>
  <c r="V43" i="17"/>
  <c r="AQ43" i="17" s="1"/>
  <c r="P3" i="17"/>
  <c r="P12" i="17"/>
  <c r="R15" i="17"/>
  <c r="L31" i="17"/>
  <c r="R35" i="17"/>
  <c r="N36" i="17"/>
  <c r="R36" i="17"/>
  <c r="N39" i="17"/>
  <c r="P44" i="17"/>
  <c r="Q47" i="17"/>
  <c r="S48" i="17"/>
  <c r="AP48" i="17" s="1"/>
  <c r="L52" i="17"/>
  <c r="V52" i="17"/>
  <c r="AQ52" i="17" s="1"/>
  <c r="M55" i="17"/>
  <c r="AD55" i="17" s="1"/>
  <c r="AL55" i="17" s="1"/>
  <c r="R3" i="17"/>
  <c r="L8" i="17"/>
  <c r="AE8" i="17" s="1"/>
  <c r="S15" i="17"/>
  <c r="AP15" i="17" s="1"/>
  <c r="Q23" i="17"/>
  <c r="M31" i="17"/>
  <c r="AD31" i="17" s="1"/>
  <c r="AL31" i="17" s="1"/>
  <c r="S32" i="17"/>
  <c r="AP32" i="17" s="1"/>
  <c r="S35" i="17"/>
  <c r="AP35" i="17" s="1"/>
  <c r="S36" i="17"/>
  <c r="AP36" i="17" s="1"/>
  <c r="O39" i="17"/>
  <c r="AI39" i="17" s="1"/>
  <c r="Q44" i="17"/>
  <c r="R47" i="17"/>
  <c r="N52" i="17"/>
  <c r="N55" i="17"/>
  <c r="V55" i="17"/>
  <c r="AQ55" i="17" s="1"/>
  <c r="P56" i="17"/>
  <c r="U3" i="17"/>
  <c r="O16" i="17"/>
  <c r="AI16" i="17" s="1"/>
  <c r="R23" i="17"/>
  <c r="R24" i="17"/>
  <c r="R31" i="17"/>
  <c r="P39" i="17"/>
  <c r="L40" i="17"/>
  <c r="V40" i="17"/>
  <c r="AQ40" i="17" s="1"/>
  <c r="Q43" i="17"/>
  <c r="AG43" i="17" s="1"/>
  <c r="R44" i="17"/>
  <c r="L48" i="17"/>
  <c r="L35" i="17"/>
  <c r="AE35" i="17" s="1"/>
  <c r="AL11" i="17"/>
  <c r="AK45" i="17"/>
  <c r="K33" i="17"/>
  <c r="O33" i="17" s="1"/>
  <c r="V24" i="17"/>
  <c r="AQ24" i="17" s="1"/>
  <c r="M19" i="17"/>
  <c r="AD19" i="17" s="1"/>
  <c r="N13" i="17"/>
  <c r="AL51" i="17"/>
  <c r="P27" i="17"/>
  <c r="T25" i="17"/>
  <c r="AH25" i="17" s="1"/>
  <c r="L19" i="17"/>
  <c r="AK19" i="17" s="1"/>
  <c r="AL23" i="17"/>
  <c r="M52" i="17"/>
  <c r="AD52" i="17" s="1"/>
  <c r="M44" i="17"/>
  <c r="AD44" i="17" s="1"/>
  <c r="L36" i="17"/>
  <c r="M28" i="17"/>
  <c r="AD28" i="17" s="1"/>
  <c r="N28" i="17"/>
  <c r="O28" i="17"/>
  <c r="P28" i="17"/>
  <c r="P20" i="17"/>
  <c r="L12" i="17"/>
  <c r="M12" i="17"/>
  <c r="AD12" i="17" s="1"/>
  <c r="S53" i="17"/>
  <c r="AP53" i="17" s="1"/>
  <c r="AA53" i="17"/>
  <c r="AL53" i="17" s="1"/>
  <c r="AI53" i="17"/>
  <c r="O49" i="17"/>
  <c r="AJ49" i="17" s="1"/>
  <c r="W49" i="17"/>
  <c r="AI49" i="17" s="1"/>
  <c r="AE49" i="17"/>
  <c r="S45" i="17"/>
  <c r="AP45" i="17" s="1"/>
  <c r="AA45" i="17"/>
  <c r="AL45" i="17" s="1"/>
  <c r="K41" i="17"/>
  <c r="O45" i="17" s="1"/>
  <c r="AJ45" i="17" s="1"/>
  <c r="O41" i="17"/>
  <c r="AJ41" i="17" s="1"/>
  <c r="S41" i="17"/>
  <c r="AP41" i="17" s="1"/>
  <c r="AA41" i="17"/>
  <c r="AL41" i="17" s="1"/>
  <c r="K37" i="17"/>
  <c r="O40" i="17" s="1"/>
  <c r="W37" i="17"/>
  <c r="S33" i="17"/>
  <c r="AP33" i="17" s="1"/>
  <c r="AA33" i="17"/>
  <c r="AL33" i="17" s="1"/>
  <c r="K29" i="17"/>
  <c r="O26" i="17" s="1"/>
  <c r="AI26" i="17" s="1"/>
  <c r="O29" i="17"/>
  <c r="W29" i="17"/>
  <c r="M25" i="17"/>
  <c r="U25" i="17"/>
  <c r="AC25" i="17"/>
  <c r="AL25" i="17" s="1"/>
  <c r="N25" i="17"/>
  <c r="V25" i="17"/>
  <c r="AQ25" i="17" s="1"/>
  <c r="AD25" i="17"/>
  <c r="R25" i="17"/>
  <c r="AB25" i="17"/>
  <c r="AO25" i="17"/>
  <c r="Q21" i="17"/>
  <c r="AF21" i="17" s="1"/>
  <c r="Y21" i="17"/>
  <c r="AG21" i="17"/>
  <c r="AP21" i="17"/>
  <c r="P21" i="17"/>
  <c r="Z21" i="17"/>
  <c r="R21" i="17"/>
  <c r="AA21" i="17"/>
  <c r="AL21" i="17" s="1"/>
  <c r="O21" i="17"/>
  <c r="AJ21" i="17" s="1"/>
  <c r="V21" i="17"/>
  <c r="AQ21" i="17" s="1"/>
  <c r="M17" i="17"/>
  <c r="AD17" i="17" s="1"/>
  <c r="U17" i="17"/>
  <c r="AC17" i="17"/>
  <c r="N17" i="17"/>
  <c r="W17" i="17"/>
  <c r="X17" i="17"/>
  <c r="AQ17" i="17"/>
  <c r="R17" i="17"/>
  <c r="Q13" i="17"/>
  <c r="AF13" i="17" s="1"/>
  <c r="Y13" i="17"/>
  <c r="S13" i="17"/>
  <c r="AP13" i="17" s="1"/>
  <c r="AB13" i="17"/>
  <c r="T13" i="17"/>
  <c r="AH13" i="17" s="1"/>
  <c r="AC13" i="17"/>
  <c r="AL13" i="17"/>
  <c r="P13" i="17"/>
  <c r="M9" i="17"/>
  <c r="AD9" i="17" s="1"/>
  <c r="U9" i="17"/>
  <c r="AC9" i="17"/>
  <c r="P9" i="17"/>
  <c r="Y9" i="17"/>
  <c r="Q9" i="17"/>
  <c r="AF9" i="17" s="1"/>
  <c r="Z9" i="17"/>
  <c r="V9" i="17"/>
  <c r="AQ9" i="17" s="1"/>
  <c r="W9" i="17"/>
  <c r="Q5" i="17"/>
  <c r="AF5" i="17" s="1"/>
  <c r="Y5" i="17"/>
  <c r="AG5" i="17"/>
  <c r="L5" i="17"/>
  <c r="AE5" i="17" s="1"/>
  <c r="V5" i="17"/>
  <c r="AO5" i="17"/>
  <c r="M5" i="17"/>
  <c r="AD5" i="17" s="1"/>
  <c r="W5" i="17"/>
  <c r="AQ5" i="17"/>
  <c r="R5" i="17"/>
  <c r="AC5" i="17"/>
  <c r="S5" i="17"/>
  <c r="AP5" i="17" s="1"/>
  <c r="Q3" i="17"/>
  <c r="AF3" i="17" s="1"/>
  <c r="Y3" i="17"/>
  <c r="AG3" i="17"/>
  <c r="M3" i="17"/>
  <c r="AD3" i="17" s="1"/>
  <c r="AL3" i="17" s="1"/>
  <c r="V3" i="17"/>
  <c r="AQ3" i="17" s="1"/>
  <c r="AO3" i="17"/>
  <c r="K3" i="17"/>
  <c r="N3" i="17"/>
  <c r="W3" i="17"/>
  <c r="S3" i="17"/>
  <c r="AP3" i="17" s="1"/>
  <c r="T3" i="17"/>
  <c r="AH3" i="17" s="1"/>
  <c r="S47" i="17"/>
  <c r="AP47" i="17" s="1"/>
  <c r="S39" i="17"/>
  <c r="AP39" i="17" s="1"/>
  <c r="R7" i="17"/>
  <c r="S7" i="17"/>
  <c r="AP7" i="17" s="1"/>
  <c r="K20" i="17"/>
  <c r="K12" i="17"/>
  <c r="AK32" i="17"/>
  <c r="K19" i="17"/>
  <c r="S24" i="17"/>
  <c r="AP24" i="17" s="1"/>
  <c r="N24" i="17"/>
  <c r="S20" i="17"/>
  <c r="AP20" i="17" s="1"/>
  <c r="T20" i="17"/>
  <c r="AH20" i="17" s="1"/>
  <c r="L16" i="17"/>
  <c r="AE16" i="17" s="1"/>
  <c r="U16" i="17"/>
  <c r="M16" i="17"/>
  <c r="AD16" i="17" s="1"/>
  <c r="AL16" i="17" s="1"/>
  <c r="V16" i="17"/>
  <c r="AQ16" i="17" s="1"/>
  <c r="S12" i="17"/>
  <c r="AP12" i="17" s="1"/>
  <c r="Q12" i="17"/>
  <c r="R12" i="17"/>
  <c r="P8" i="17"/>
  <c r="P4" i="17"/>
  <c r="Q4" i="17"/>
  <c r="L2" i="17"/>
  <c r="P2" i="17"/>
  <c r="S2" i="17"/>
  <c r="AP2" i="17" s="1"/>
  <c r="M7" i="17"/>
  <c r="AD7" i="17" s="1"/>
  <c r="AL7" i="17" s="1"/>
  <c r="U7" i="17"/>
  <c r="U11" i="17"/>
  <c r="M15" i="17"/>
  <c r="AD15" i="17" s="1"/>
  <c r="AL15" i="17" s="1"/>
  <c r="U15" i="17"/>
  <c r="M23" i="17"/>
  <c r="AD23" i="17" s="1"/>
  <c r="U23" i="17"/>
  <c r="U2" i="17"/>
  <c r="R19" i="17"/>
  <c r="L23" i="17"/>
  <c r="AE23" i="17" s="1"/>
  <c r="V23" i="17"/>
  <c r="AQ23" i="17" s="1"/>
  <c r="U27" i="17"/>
  <c r="V2" i="17"/>
  <c r="AQ2" i="17" s="1"/>
  <c r="Q11" i="17"/>
  <c r="P15" i="17"/>
  <c r="S19" i="17"/>
  <c r="AP19" i="17" s="1"/>
  <c r="N23" i="17"/>
  <c r="V8" i="17"/>
  <c r="AQ8" i="17" s="1"/>
  <c r="O8" i="17"/>
  <c r="AJ8" i="17" s="1"/>
  <c r="M8" i="17"/>
  <c r="AD8" i="17" s="1"/>
  <c r="U4" i="17"/>
  <c r="R2" i="17"/>
  <c r="Q19" i="17"/>
  <c r="K2" i="17"/>
  <c r="O2" i="17" s="1"/>
  <c r="AM122" i="17" l="1"/>
  <c r="AJ16" i="17"/>
  <c r="AJ61" i="17"/>
  <c r="AK8" i="17"/>
  <c r="AK5" i="17"/>
  <c r="AK9" i="17"/>
  <c r="AK15" i="17"/>
  <c r="AI19" i="17"/>
  <c r="O5" i="17"/>
  <c r="AJ5" i="17" s="1"/>
  <c r="AI29" i="17"/>
  <c r="AK44" i="17"/>
  <c r="AK47" i="17"/>
  <c r="AI6" i="17"/>
  <c r="AK22" i="17"/>
  <c r="AG34" i="17"/>
  <c r="AK62" i="17"/>
  <c r="AJ98" i="17"/>
  <c r="AL98" i="17"/>
  <c r="AI118" i="17"/>
  <c r="AJ122" i="17"/>
  <c r="AK130" i="17"/>
  <c r="AK134" i="17"/>
  <c r="AJ146" i="17"/>
  <c r="AI158" i="17"/>
  <c r="O186" i="17"/>
  <c r="L191" i="17"/>
  <c r="O205" i="17"/>
  <c r="AI205" i="17" s="1"/>
  <c r="N210" i="17"/>
  <c r="U224" i="17"/>
  <c r="U229" i="17"/>
  <c r="R249" i="17"/>
  <c r="U253" i="17"/>
  <c r="R262" i="17"/>
  <c r="J28" i="14"/>
  <c r="AL14" i="17"/>
  <c r="AG50" i="17"/>
  <c r="AI66" i="17"/>
  <c r="AJ82" i="17"/>
  <c r="AL114" i="17"/>
  <c r="P224" i="17"/>
  <c r="V229" i="17"/>
  <c r="AQ229" i="17" s="1"/>
  <c r="T253" i="17"/>
  <c r="AH253" i="17" s="1"/>
  <c r="R272" i="17"/>
  <c r="G37" i="14"/>
  <c r="F19" i="14"/>
  <c r="O30" i="17"/>
  <c r="AR102" i="17"/>
  <c r="AR118" i="17"/>
  <c r="AJ130" i="17"/>
  <c r="O162" i="17"/>
  <c r="M272" i="17"/>
  <c r="AD272" i="17" s="1"/>
  <c r="AL272" i="17" s="1"/>
  <c r="G45" i="14"/>
  <c r="C42" i="14"/>
  <c r="O27" i="17"/>
  <c r="AJ27" i="17" s="1"/>
  <c r="AR18" i="17"/>
  <c r="AM42" i="17"/>
  <c r="AL42" i="17"/>
  <c r="AL102" i="17"/>
  <c r="O106" i="17"/>
  <c r="O110" i="17"/>
  <c r="AI154" i="17"/>
  <c r="P258" i="17"/>
  <c r="V272" i="17"/>
  <c r="AQ272" i="17" s="1"/>
  <c r="L282" i="17"/>
  <c r="G53" i="14"/>
  <c r="AL62" i="17"/>
  <c r="AL66" i="17"/>
  <c r="AK66" i="17"/>
  <c r="AG70" i="17"/>
  <c r="AM70" i="17" s="1"/>
  <c r="O86" i="17"/>
  <c r="AJ110" i="17"/>
  <c r="AI130" i="17"/>
  <c r="AL130" i="17"/>
  <c r="AI146" i="17"/>
  <c r="O258" i="17"/>
  <c r="S277" i="17"/>
  <c r="AP277" i="17" s="1"/>
  <c r="N303" i="17"/>
  <c r="G61" i="14"/>
  <c r="AM21" i="17"/>
  <c r="AK11" i="17"/>
  <c r="O24" i="17"/>
  <c r="AJ24" i="17" s="1"/>
  <c r="AE37" i="17"/>
  <c r="O36" i="17"/>
  <c r="AK23" i="17"/>
  <c r="AK57" i="17"/>
  <c r="O7" i="17"/>
  <c r="AK34" i="17"/>
  <c r="AK54" i="17"/>
  <c r="AL82" i="17"/>
  <c r="AK94" i="17"/>
  <c r="AK98" i="17"/>
  <c r="AK126" i="17"/>
  <c r="AK146" i="17"/>
  <c r="U182" i="17"/>
  <c r="L186" i="17"/>
  <c r="V191" i="17"/>
  <c r="AQ191" i="17" s="1"/>
  <c r="AI201" i="17"/>
  <c r="Q201" i="17"/>
  <c r="AG201" i="17" s="1"/>
  <c r="R205" i="17"/>
  <c r="V215" i="17"/>
  <c r="AQ215" i="17" s="1"/>
  <c r="N249" i="17"/>
  <c r="N258" i="17"/>
  <c r="P277" i="17"/>
  <c r="T303" i="17"/>
  <c r="AH303" i="17" s="1"/>
  <c r="G69" i="14"/>
  <c r="AK3" i="17"/>
  <c r="AM6" i="17"/>
  <c r="AG9" i="17"/>
  <c r="AM9" i="17" s="1"/>
  <c r="AK13" i="17"/>
  <c r="AJ39" i="17"/>
  <c r="O9" i="17"/>
  <c r="AJ55" i="17"/>
  <c r="AK14" i="17"/>
  <c r="AL18" i="17"/>
  <c r="AR26" i="17"/>
  <c r="AL30" i="17"/>
  <c r="AR38" i="17"/>
  <c r="AK38" i="17"/>
  <c r="AK42" i="17"/>
  <c r="O47" i="17"/>
  <c r="AL54" i="17"/>
  <c r="AR66" i="17"/>
  <c r="AI86" i="17"/>
  <c r="AR94" i="17"/>
  <c r="AK102" i="17"/>
  <c r="AK106" i="17"/>
  <c r="AK110" i="17"/>
  <c r="AL154" i="17"/>
  <c r="Q178" i="17"/>
  <c r="AG178" i="17" s="1"/>
  <c r="O182" i="17"/>
  <c r="R186" i="17"/>
  <c r="N191" i="17"/>
  <c r="S201" i="17"/>
  <c r="AP201" i="17" s="1"/>
  <c r="Q205" i="17"/>
  <c r="N215" i="17"/>
  <c r="P229" i="17"/>
  <c r="M262" i="17"/>
  <c r="AD262" i="17" s="1"/>
  <c r="Q314" i="17"/>
  <c r="G77" i="14"/>
  <c r="AF17" i="17"/>
  <c r="AE29" i="17"/>
  <c r="AR22" i="17"/>
  <c r="AE30" i="17"/>
  <c r="AL74" i="17"/>
  <c r="AL78" i="17"/>
  <c r="AK82" i="17"/>
  <c r="AJ86" i="17"/>
  <c r="AM86" i="17"/>
  <c r="AI110" i="17"/>
  <c r="AM118" i="17"/>
  <c r="AI122" i="17"/>
  <c r="AN122" i="17" s="1"/>
  <c r="AR122" i="17"/>
  <c r="AJ126" i="17"/>
  <c r="AI142" i="17"/>
  <c r="AR154" i="17"/>
  <c r="AK154" i="17"/>
  <c r="AG166" i="17"/>
  <c r="M191" i="17"/>
  <c r="AD191" i="17" s="1"/>
  <c r="AL191" i="17" s="1"/>
  <c r="M201" i="17"/>
  <c r="AD201" i="17" s="1"/>
  <c r="AL201" i="17" s="1"/>
  <c r="U210" i="17"/>
  <c r="M215" i="17"/>
  <c r="AD215" i="17" s="1"/>
  <c r="AL215" i="17" s="1"/>
  <c r="Q229" i="17"/>
  <c r="AF229" i="17" s="1"/>
  <c r="N253" i="17"/>
  <c r="T262" i="17"/>
  <c r="AH262" i="17" s="1"/>
  <c r="J20" i="14"/>
  <c r="G85" i="14"/>
  <c r="AI40" i="17"/>
  <c r="AJ40" i="17"/>
  <c r="AR17" i="17"/>
  <c r="AR5" i="17"/>
  <c r="AI5" i="17"/>
  <c r="AM5" i="17"/>
  <c r="AL17" i="17"/>
  <c r="O35" i="17"/>
  <c r="O132" i="17"/>
  <c r="O133" i="17"/>
  <c r="AI133" i="17" s="1"/>
  <c r="O131" i="17"/>
  <c r="O135" i="17"/>
  <c r="O134" i="17"/>
  <c r="AJ134" i="17" s="1"/>
  <c r="AE59" i="17"/>
  <c r="AK59" i="17"/>
  <c r="AM18" i="17"/>
  <c r="AI30" i="17"/>
  <c r="AR50" i="17"/>
  <c r="AR62" i="17"/>
  <c r="AR78" i="17"/>
  <c r="AI126" i="17"/>
  <c r="O12" i="17"/>
  <c r="O11" i="17"/>
  <c r="O14" i="17"/>
  <c r="AJ14" i="17" s="1"/>
  <c r="AR3" i="17"/>
  <c r="AR13" i="17"/>
  <c r="AI33" i="17"/>
  <c r="AI41" i="17"/>
  <c r="AK36" i="17"/>
  <c r="AE36" i="17"/>
  <c r="AG48" i="17"/>
  <c r="AF48" i="17"/>
  <c r="AE25" i="17"/>
  <c r="AK25" i="17"/>
  <c r="AG41" i="17"/>
  <c r="AM41" i="17" s="1"/>
  <c r="AF41" i="17"/>
  <c r="AJ48" i="17"/>
  <c r="O18" i="17"/>
  <c r="AR34" i="17"/>
  <c r="AR98" i="17"/>
  <c r="AR130" i="17"/>
  <c r="AM166" i="17"/>
  <c r="AI20" i="17"/>
  <c r="AG13" i="17"/>
  <c r="AM13" i="17" s="1"/>
  <c r="O17" i="17"/>
  <c r="AI17" i="17" s="1"/>
  <c r="AI21" i="17"/>
  <c r="AI36" i="17"/>
  <c r="AJ36" i="17"/>
  <c r="AI8" i="17"/>
  <c r="AR35" i="17"/>
  <c r="O13" i="17"/>
  <c r="AM17" i="17"/>
  <c r="AK27" i="17"/>
  <c r="AE27" i="17"/>
  <c r="AI174" i="17"/>
  <c r="AJ174" i="17"/>
  <c r="AJ59" i="17"/>
  <c r="AI59" i="17"/>
  <c r="AR46" i="17"/>
  <c r="AN118" i="17"/>
  <c r="AM134" i="17"/>
  <c r="AL205" i="17"/>
  <c r="O15" i="17"/>
  <c r="AG12" i="17"/>
  <c r="AF12" i="17"/>
  <c r="O20" i="17"/>
  <c r="AJ20" i="17" s="1"/>
  <c r="AK12" i="17"/>
  <c r="AE12" i="17"/>
  <c r="AR12" i="17" s="1"/>
  <c r="AK20" i="17"/>
  <c r="AK40" i="17"/>
  <c r="AE40" i="17"/>
  <c r="AE52" i="17"/>
  <c r="AK52" i="17"/>
  <c r="O32" i="17"/>
  <c r="AG24" i="17"/>
  <c r="AF24" i="17"/>
  <c r="AG39" i="17"/>
  <c r="AF39" i="17"/>
  <c r="AG36" i="17"/>
  <c r="AF36" i="17"/>
  <c r="O102" i="17"/>
  <c r="AI102" i="17" s="1"/>
  <c r="AJ133" i="17"/>
  <c r="AI25" i="17"/>
  <c r="AJ25" i="17"/>
  <c r="AL34" i="17"/>
  <c r="AM34" i="17"/>
  <c r="AR54" i="17"/>
  <c r="AL90" i="17"/>
  <c r="AI98" i="17"/>
  <c r="AL110" i="17"/>
  <c r="AL166" i="17"/>
  <c r="AG32" i="17"/>
  <c r="AF32" i="17"/>
  <c r="AG45" i="17"/>
  <c r="AF45" i="17"/>
  <c r="AM38" i="17"/>
  <c r="AR106" i="17"/>
  <c r="AI134" i="17"/>
  <c r="AM3" i="17"/>
  <c r="AR21" i="17"/>
  <c r="O31" i="17"/>
  <c r="O34" i="17"/>
  <c r="AJ34" i="17" s="1"/>
  <c r="AG23" i="17"/>
  <c r="AF23" i="17"/>
  <c r="AG47" i="17"/>
  <c r="AF47" i="17"/>
  <c r="AG35" i="17"/>
  <c r="AF35" i="17"/>
  <c r="AG31" i="17"/>
  <c r="AF31" i="17"/>
  <c r="AG28" i="17"/>
  <c r="AF28" i="17"/>
  <c r="AR28" i="17" s="1"/>
  <c r="AI24" i="17"/>
  <c r="AK28" i="17"/>
  <c r="AE28" i="17"/>
  <c r="AK56" i="17"/>
  <c r="AE56" i="17"/>
  <c r="AJ10" i="17"/>
  <c r="AK18" i="17"/>
  <c r="AL26" i="17"/>
  <c r="AM50" i="17"/>
  <c r="AE282" i="17"/>
  <c r="AK2" i="17"/>
  <c r="AE2" i="17"/>
  <c r="AI45" i="17"/>
  <c r="AI28" i="17"/>
  <c r="AJ28" i="17"/>
  <c r="AG16" i="17"/>
  <c r="AF16" i="17"/>
  <c r="AR16" i="17" s="1"/>
  <c r="AJ33" i="17"/>
  <c r="O229" i="17"/>
  <c r="AR6" i="17"/>
  <c r="AM22" i="17"/>
  <c r="AJ26" i="17"/>
  <c r="AR58" i="17"/>
  <c r="AR70" i="17"/>
  <c r="AR82" i="17"/>
  <c r="AM114" i="17"/>
  <c r="AG19" i="17"/>
  <c r="AF19" i="17"/>
  <c r="AG11" i="17"/>
  <c r="AF11" i="17"/>
  <c r="AR11" i="17" s="1"/>
  <c r="AG4" i="17"/>
  <c r="AF4" i="17"/>
  <c r="AJ19" i="17"/>
  <c r="AL9" i="17"/>
  <c r="AK21" i="17"/>
  <c r="O37" i="17"/>
  <c r="AJ37" i="17" s="1"/>
  <c r="O38" i="17"/>
  <c r="AJ38" i="17" s="1"/>
  <c r="AK48" i="17"/>
  <c r="AE48" i="17"/>
  <c r="AF44" i="17"/>
  <c r="AG44" i="17"/>
  <c r="AG33" i="17"/>
  <c r="AM33" i="17" s="1"/>
  <c r="AF33" i="17"/>
  <c r="AR33" i="17" s="1"/>
  <c r="O113" i="17"/>
  <c r="O111" i="17"/>
  <c r="AJ111" i="17" s="1"/>
  <c r="O115" i="17"/>
  <c r="O112" i="17"/>
  <c r="O114" i="17"/>
  <c r="AI114" i="17" s="1"/>
  <c r="AJ30" i="17"/>
  <c r="AM46" i="17"/>
  <c r="AI90" i="17"/>
  <c r="AR110" i="17"/>
  <c r="AF14" i="17"/>
  <c r="AR14" i="17" s="1"/>
  <c r="AG38" i="17"/>
  <c r="AK50" i="17"/>
  <c r="AG54" i="17"/>
  <c r="AM54" i="17" s="1"/>
  <c r="AG66" i="17"/>
  <c r="AM66" i="17" s="1"/>
  <c r="AN66" i="17" s="1"/>
  <c r="AK74" i="17"/>
  <c r="AG78" i="17"/>
  <c r="AM78" i="17" s="1"/>
  <c r="AG94" i="17"/>
  <c r="AM94" i="17" s="1"/>
  <c r="O94" i="17"/>
  <c r="AI94" i="17" s="1"/>
  <c r="AF98" i="17"/>
  <c r="AM98" i="17" s="1"/>
  <c r="AG102" i="17"/>
  <c r="AM102" i="17" s="1"/>
  <c r="AG106" i="17"/>
  <c r="AM106" i="17" s="1"/>
  <c r="AR114" i="17"/>
  <c r="O169" i="17"/>
  <c r="O168" i="17"/>
  <c r="O167" i="17"/>
  <c r="AE170" i="17"/>
  <c r="P205" i="17"/>
  <c r="R210" i="17"/>
  <c r="U215" i="17"/>
  <c r="V224" i="17"/>
  <c r="AQ224" i="17" s="1"/>
  <c r="AG229" i="17"/>
  <c r="M253" i="17"/>
  <c r="AD253" i="17" s="1"/>
  <c r="AL253" i="17" s="1"/>
  <c r="V258" i="17"/>
  <c r="AQ258" i="17" s="1"/>
  <c r="S262" i="17"/>
  <c r="AP262" i="17" s="1"/>
  <c r="O272" i="17"/>
  <c r="M303" i="17"/>
  <c r="AD303" i="17" s="1"/>
  <c r="E19" i="14"/>
  <c r="E27" i="14"/>
  <c r="E35" i="14"/>
  <c r="J44" i="14"/>
  <c r="J52" i="14"/>
  <c r="J60" i="14"/>
  <c r="J68" i="14"/>
  <c r="J76" i="14"/>
  <c r="J84" i="14"/>
  <c r="AL28" i="17"/>
  <c r="T289" i="17"/>
  <c r="AH289" i="17" s="1"/>
  <c r="V324" i="17"/>
  <c r="AQ324" i="17" s="1"/>
  <c r="Q337" i="17"/>
  <c r="AF43" i="17"/>
  <c r="H35" i="14"/>
  <c r="F53" i="14"/>
  <c r="C70" i="14"/>
  <c r="J81" i="14"/>
  <c r="G94" i="14"/>
  <c r="D49" i="14"/>
  <c r="M49" i="14" s="1"/>
  <c r="U263" i="17"/>
  <c r="J29" i="14"/>
  <c r="V297" i="17"/>
  <c r="AQ297" i="17" s="1"/>
  <c r="L27" i="14"/>
  <c r="F74" i="14"/>
  <c r="S139" i="17"/>
  <c r="AP139" i="17" s="1"/>
  <c r="AG26" i="17"/>
  <c r="AM26" i="17" s="1"/>
  <c r="AF30" i="17"/>
  <c r="AR30" i="17" s="1"/>
  <c r="AJ62" i="17"/>
  <c r="O63" i="17"/>
  <c r="O64" i="17"/>
  <c r="O69" i="17"/>
  <c r="O68" i="17"/>
  <c r="AF74" i="17"/>
  <c r="AR74" i="17" s="1"/>
  <c r="AG82" i="17"/>
  <c r="AM82" i="17" s="1"/>
  <c r="AN82" i="17" s="1"/>
  <c r="AL303" i="17"/>
  <c r="AL60" i="17"/>
  <c r="AL27" i="17"/>
  <c r="AF162" i="17"/>
  <c r="F54" i="14"/>
  <c r="I72" i="14"/>
  <c r="G83" i="14"/>
  <c r="D95" i="14"/>
  <c r="M95" i="14" s="1"/>
  <c r="G80" i="14"/>
  <c r="G56" i="14"/>
  <c r="D35" i="14"/>
  <c r="M35" i="14" s="1"/>
  <c r="M308" i="17"/>
  <c r="AD308" i="17" s="1"/>
  <c r="AL308" i="17" s="1"/>
  <c r="T344" i="17"/>
  <c r="AH344" i="17" s="1"/>
  <c r="C29" i="14"/>
  <c r="F84" i="14"/>
  <c r="O171" i="17"/>
  <c r="O175" i="17"/>
  <c r="O172" i="17"/>
  <c r="O173" i="17"/>
  <c r="AJ173" i="17" s="1"/>
  <c r="AK61" i="17"/>
  <c r="AE61" i="17"/>
  <c r="AK55" i="17"/>
  <c r="AG58" i="17"/>
  <c r="AM58" i="17" s="1"/>
  <c r="O77" i="17"/>
  <c r="O80" i="17"/>
  <c r="O79" i="17"/>
  <c r="O76" i="17"/>
  <c r="AF90" i="17"/>
  <c r="AR90" i="17" s="1"/>
  <c r="AI106" i="17"/>
  <c r="O116" i="17"/>
  <c r="O117" i="17"/>
  <c r="O128" i="17"/>
  <c r="O129" i="17"/>
  <c r="AG138" i="17"/>
  <c r="AJ158" i="17"/>
  <c r="AJ162" i="17"/>
  <c r="O170" i="17"/>
  <c r="AJ170" i="17" s="1"/>
  <c r="AE182" i="17"/>
  <c r="N201" i="17"/>
  <c r="U205" i="17"/>
  <c r="Q210" i="17"/>
  <c r="R215" i="17"/>
  <c r="T215" i="17"/>
  <c r="AH215" i="17" s="1"/>
  <c r="T224" i="17"/>
  <c r="AH224" i="17" s="1"/>
  <c r="L229" i="17"/>
  <c r="AE229" i="17" s="1"/>
  <c r="L253" i="17"/>
  <c r="U258" i="17"/>
  <c r="Q262" i="17"/>
  <c r="N272" i="17"/>
  <c r="V282" i="17"/>
  <c r="AQ282" i="17" s="1"/>
  <c r="T282" i="17"/>
  <c r="AH282" i="17" s="1"/>
  <c r="L303" i="17"/>
  <c r="O203" i="17"/>
  <c r="O204" i="17"/>
  <c r="O202" i="17"/>
  <c r="G21" i="14"/>
  <c r="D30" i="14"/>
  <c r="M30" i="14" s="1"/>
  <c r="D38" i="14"/>
  <c r="M38" i="14" s="1"/>
  <c r="D46" i="14"/>
  <c r="M46" i="14" s="1"/>
  <c r="D54" i="14"/>
  <c r="M54" i="14" s="1"/>
  <c r="D62" i="14"/>
  <c r="M62" i="14" s="1"/>
  <c r="D70" i="14"/>
  <c r="M70" i="14" s="1"/>
  <c r="D78" i="14"/>
  <c r="M78" i="14" s="1"/>
  <c r="L86" i="14"/>
  <c r="AL20" i="17"/>
  <c r="AL8" i="17"/>
  <c r="AF258" i="17"/>
  <c r="AF178" i="17"/>
  <c r="I22" i="14"/>
  <c r="L43" i="14"/>
  <c r="I57" i="14"/>
  <c r="G73" i="14"/>
  <c r="L85" i="14"/>
  <c r="L95" i="14"/>
  <c r="L82" i="14"/>
  <c r="L63" i="14"/>
  <c r="G86" i="14"/>
  <c r="F36" i="14"/>
  <c r="C39" i="14"/>
  <c r="O46" i="17"/>
  <c r="AI46" i="17" s="1"/>
  <c r="O50" i="17"/>
  <c r="AJ50" i="17" s="1"/>
  <c r="O67" i="17"/>
  <c r="O65" i="17"/>
  <c r="O84" i="17"/>
  <c r="O85" i="17"/>
  <c r="O83" i="17"/>
  <c r="O81" i="17"/>
  <c r="AK86" i="17"/>
  <c r="O125" i="17"/>
  <c r="O127" i="17"/>
  <c r="AG142" i="17"/>
  <c r="AF150" i="17"/>
  <c r="AR150" i="17" s="1"/>
  <c r="S162" i="17"/>
  <c r="AP162" i="17" s="1"/>
  <c r="V166" i="17"/>
  <c r="AQ166" i="17" s="1"/>
  <c r="AR166" i="17" s="1"/>
  <c r="U174" i="17"/>
  <c r="P178" i="17"/>
  <c r="AK178" i="17" s="1"/>
  <c r="R178" i="17"/>
  <c r="S182" i="17"/>
  <c r="AP182" i="17" s="1"/>
  <c r="V186" i="17"/>
  <c r="AQ186" i="17" s="1"/>
  <c r="U191" i="17"/>
  <c r="AF201" i="17"/>
  <c r="AM201" i="17" s="1"/>
  <c r="S205" i="17"/>
  <c r="AP205" i="17" s="1"/>
  <c r="V210" i="17"/>
  <c r="AQ210" i="17" s="1"/>
  <c r="Q215" i="17"/>
  <c r="L215" i="17"/>
  <c r="L224" i="17"/>
  <c r="N229" i="17"/>
  <c r="C48" i="14"/>
  <c r="I88" i="14"/>
  <c r="I68" i="14"/>
  <c r="L49" i="14"/>
  <c r="J34" i="14"/>
  <c r="L19" i="14"/>
  <c r="N323" i="17"/>
  <c r="D77" i="14"/>
  <c r="M77" i="14" s="1"/>
  <c r="C50" i="14"/>
  <c r="N288" i="17"/>
  <c r="E76" i="14"/>
  <c r="L81" i="14"/>
  <c r="H73" i="14"/>
  <c r="C66" i="14"/>
  <c r="I58" i="14"/>
  <c r="F66" i="14"/>
  <c r="O291" i="17"/>
  <c r="U275" i="17"/>
  <c r="D86" i="14"/>
  <c r="M86" i="14" s="1"/>
  <c r="L78" i="14"/>
  <c r="I71" i="14"/>
  <c r="F64" i="14"/>
  <c r="C57" i="14"/>
  <c r="H50" i="14"/>
  <c r="E43" i="14"/>
  <c r="J36" i="14"/>
  <c r="G29" i="14"/>
  <c r="D22" i="14"/>
  <c r="M22" i="14" s="1"/>
  <c r="V331" i="17"/>
  <c r="AQ331" i="17" s="1"/>
  <c r="O319" i="17"/>
  <c r="L202" i="17"/>
  <c r="E62" i="14"/>
  <c r="H30" i="14"/>
  <c r="E86" i="14"/>
  <c r="L90" i="14"/>
  <c r="J77" i="14"/>
  <c r="E70" i="14"/>
  <c r="J62" i="14"/>
  <c r="G54" i="14"/>
  <c r="C43" i="14"/>
  <c r="G32" i="14"/>
  <c r="I19" i="14"/>
  <c r="L339" i="17"/>
  <c r="U306" i="17"/>
  <c r="V275" i="17"/>
  <c r="AQ275" i="17" s="1"/>
  <c r="J42" i="14"/>
  <c r="F26" i="14"/>
  <c r="N289" i="17"/>
  <c r="T146" i="17"/>
  <c r="AH146" i="17" s="1"/>
  <c r="O262" i="17"/>
  <c r="D82" i="14"/>
  <c r="M82" i="14" s="1"/>
  <c r="L58" i="14"/>
  <c r="J32" i="14"/>
  <c r="D96" i="14"/>
  <c r="M96" i="14" s="1"/>
  <c r="I74" i="14"/>
  <c r="H83" i="14"/>
  <c r="H91" i="14"/>
  <c r="E84" i="14"/>
  <c r="I77" i="14"/>
  <c r="G68" i="14"/>
  <c r="G58" i="14"/>
  <c r="I49" i="14"/>
  <c r="I36" i="14"/>
  <c r="J26" i="14"/>
  <c r="H79" i="14"/>
  <c r="I59" i="14"/>
  <c r="I94" i="14"/>
  <c r="D76" i="14"/>
  <c r="M76" i="14" s="1"/>
  <c r="L57" i="14"/>
  <c r="D40" i="14"/>
  <c r="M40" i="14" s="1"/>
  <c r="L26" i="14"/>
  <c r="N331" i="17"/>
  <c r="Q311" i="17"/>
  <c r="Q195" i="17"/>
  <c r="R342" i="17"/>
  <c r="I89" i="14"/>
  <c r="J59" i="14"/>
  <c r="C26" i="14"/>
  <c r="Q336" i="17"/>
  <c r="J83" i="14"/>
  <c r="F89" i="14"/>
  <c r="L76" i="14"/>
  <c r="F69" i="14"/>
  <c r="C61" i="14"/>
  <c r="H53" i="14"/>
  <c r="D42" i="14"/>
  <c r="M42" i="14" s="1"/>
  <c r="E31" i="14"/>
  <c r="R334" i="17"/>
  <c r="S258" i="17"/>
  <c r="AP258" i="17" s="1"/>
  <c r="J39" i="14"/>
  <c r="C24" i="14"/>
  <c r="U146" i="17"/>
  <c r="F96" i="14"/>
  <c r="P253" i="17"/>
  <c r="N206" i="17"/>
  <c r="T35" i="17"/>
  <c r="AH35" i="17" s="1"/>
  <c r="L88" i="14"/>
  <c r="H56" i="14"/>
  <c r="J30" i="14"/>
  <c r="H70" i="14"/>
  <c r="E71" i="14"/>
  <c r="L52" i="14"/>
  <c r="E90" i="14"/>
  <c r="F70" i="14"/>
  <c r="I52" i="14"/>
  <c r="D39" i="14"/>
  <c r="M39" i="14" s="1"/>
  <c r="L25" i="14"/>
  <c r="H85" i="14"/>
  <c r="E57" i="14"/>
  <c r="D20" i="14"/>
  <c r="M20" i="14" s="1"/>
  <c r="E81" i="14"/>
  <c r="J87" i="14"/>
  <c r="C76" i="14"/>
  <c r="J67" i="14"/>
  <c r="E60" i="14"/>
  <c r="H52" i="14"/>
  <c r="E41" i="14"/>
  <c r="C30" i="14"/>
  <c r="N319" i="17"/>
  <c r="O301" i="17"/>
  <c r="R217" i="17"/>
  <c r="H38" i="14"/>
  <c r="G22" i="14"/>
  <c r="N146" i="17"/>
  <c r="D94" i="14"/>
  <c r="M94" i="14" s="1"/>
  <c r="H75" i="14"/>
  <c r="J54" i="14"/>
  <c r="D27" i="14"/>
  <c r="M27" i="14" s="1"/>
  <c r="V225" i="17"/>
  <c r="AQ225" i="17" s="1"/>
  <c r="F90" i="14"/>
  <c r="E95" i="14"/>
  <c r="I96" i="14"/>
  <c r="E89" i="14"/>
  <c r="I82" i="14"/>
  <c r="C75" i="14"/>
  <c r="D65" i="14"/>
  <c r="M65" i="14" s="1"/>
  <c r="D55" i="14"/>
  <c r="M55" i="14" s="1"/>
  <c r="J47" i="14"/>
  <c r="F34" i="14"/>
  <c r="E24" i="14"/>
  <c r="M323" i="17"/>
  <c r="AD323" i="17" s="1"/>
  <c r="D28" i="14"/>
  <c r="M28" i="14" s="1"/>
  <c r="E29" i="14"/>
  <c r="S326" i="17"/>
  <c r="AP326" i="17" s="1"/>
  <c r="U330" i="17"/>
  <c r="R206" i="17"/>
  <c r="V206" i="17"/>
  <c r="AQ206" i="17" s="1"/>
  <c r="T27" i="17"/>
  <c r="AH27" i="17" s="1"/>
  <c r="T47" i="17"/>
  <c r="AH47" i="17" s="1"/>
  <c r="E87" i="14"/>
  <c r="E49" i="14"/>
  <c r="I29" i="14"/>
  <c r="C68" i="14"/>
  <c r="G70" i="14"/>
  <c r="L50" i="14"/>
  <c r="G89" i="14"/>
  <c r="H69" i="14"/>
  <c r="J51" i="14"/>
  <c r="L36" i="14"/>
  <c r="M249" i="17"/>
  <c r="AD249" i="17" s="1"/>
  <c r="AL249" i="17" s="1"/>
  <c r="Q249" i="17"/>
  <c r="O249" i="17"/>
  <c r="AI249" i="17" s="1"/>
  <c r="S253" i="17"/>
  <c r="AP253" i="17" s="1"/>
  <c r="M258" i="17"/>
  <c r="AD258" i="17" s="1"/>
  <c r="AL258" i="17" s="1"/>
  <c r="S272" i="17"/>
  <c r="AP272" i="17" s="1"/>
  <c r="T277" i="17"/>
  <c r="AH277" i="17" s="1"/>
  <c r="O282" i="17"/>
  <c r="AJ282" i="17" s="1"/>
  <c r="M282" i="17"/>
  <c r="AD282" i="17" s="1"/>
  <c r="AL282" i="17" s="1"/>
  <c r="S303" i="17"/>
  <c r="AP303" i="17" s="1"/>
  <c r="O179" i="17"/>
  <c r="O181" i="17"/>
  <c r="O180" i="17"/>
  <c r="L22" i="14"/>
  <c r="L30" i="14"/>
  <c r="L38" i="14"/>
  <c r="L46" i="14"/>
  <c r="L54" i="14"/>
  <c r="L62" i="14"/>
  <c r="L70" i="14"/>
  <c r="I79" i="14"/>
  <c r="I87" i="14"/>
  <c r="AL37" i="17"/>
  <c r="AL24" i="17"/>
  <c r="AL52" i="17"/>
  <c r="O328" i="17"/>
  <c r="L344" i="17"/>
  <c r="AF15" i="17"/>
  <c r="AR15" i="17" s="1"/>
  <c r="H25" i="14"/>
  <c r="L44" i="14"/>
  <c r="D60" i="14"/>
  <c r="M60" i="14" s="1"/>
  <c r="E74" i="14"/>
  <c r="J86" i="14"/>
  <c r="F85" i="14"/>
  <c r="F18" i="14"/>
  <c r="J69" i="14"/>
  <c r="E91" i="14"/>
  <c r="L326" i="17"/>
  <c r="H46" i="14"/>
  <c r="R316" i="17"/>
  <c r="C40" i="14"/>
  <c r="U305" i="17"/>
  <c r="O348" i="17"/>
  <c r="AI37" i="17"/>
  <c r="AK24" i="17"/>
  <c r="O43" i="17"/>
  <c r="AK41" i="17"/>
  <c r="O121" i="17"/>
  <c r="O119" i="17"/>
  <c r="AI119" i="17" s="1"/>
  <c r="O120" i="17"/>
  <c r="AK43" i="17"/>
  <c r="O44" i="17"/>
  <c r="AJ57" i="17"/>
  <c r="AI57" i="17"/>
  <c r="O42" i="17"/>
  <c r="AI42" i="17" s="1"/>
  <c r="O78" i="17"/>
  <c r="AI78" i="17" s="1"/>
  <c r="O87" i="17"/>
  <c r="AJ87" i="17" s="1"/>
  <c r="O88" i="17"/>
  <c r="O89" i="17"/>
  <c r="O101" i="17"/>
  <c r="O104" i="17"/>
  <c r="AI104" i="17" s="1"/>
  <c r="O105" i="17"/>
  <c r="O103" i="17"/>
  <c r="AG110" i="17"/>
  <c r="AM110" i="17" s="1"/>
  <c r="AG130" i="17"/>
  <c r="AM130" i="17" s="1"/>
  <c r="AN130" i="17" s="1"/>
  <c r="AE142" i="17"/>
  <c r="O159" i="17"/>
  <c r="O157" i="17"/>
  <c r="O160" i="17"/>
  <c r="O156" i="17"/>
  <c r="AI162" i="17"/>
  <c r="S282" i="17"/>
  <c r="AP282" i="17" s="1"/>
  <c r="P282" i="17"/>
  <c r="AK282" i="17" s="1"/>
  <c r="Q282" i="17"/>
  <c r="R282" i="17"/>
  <c r="T314" i="17"/>
  <c r="AH314" i="17" s="1"/>
  <c r="I23" i="14"/>
  <c r="I31" i="14"/>
  <c r="I39" i="14"/>
  <c r="I47" i="14"/>
  <c r="I55" i="14"/>
  <c r="I63" i="14"/>
  <c r="F72" i="14"/>
  <c r="F80" i="14"/>
  <c r="F88" i="14"/>
  <c r="H18" i="14"/>
  <c r="AL43" i="17"/>
  <c r="AL44" i="17"/>
  <c r="AJ52" i="17"/>
  <c r="S306" i="17"/>
  <c r="AP306" i="17" s="1"/>
  <c r="O330" i="17"/>
  <c r="AI330" i="17" s="1"/>
  <c r="AF174" i="17"/>
  <c r="L28" i="14"/>
  <c r="J46" i="14"/>
  <c r="I62" i="14"/>
  <c r="L75" i="14"/>
  <c r="H87" i="14"/>
  <c r="H88" i="14"/>
  <c r="L87" i="14"/>
  <c r="F29" i="14"/>
  <c r="D72" i="14"/>
  <c r="M72" i="14" s="1"/>
  <c r="Q335" i="17"/>
  <c r="G48" i="14"/>
  <c r="J50" i="14"/>
  <c r="AJ2" i="17"/>
  <c r="AI2" i="17"/>
  <c r="O4" i="17"/>
  <c r="AI27" i="17"/>
  <c r="AL5" i="17"/>
  <c r="AJ29" i="17"/>
  <c r="O23" i="17"/>
  <c r="AK49" i="17"/>
  <c r="AK51" i="17"/>
  <c r="AK39" i="17"/>
  <c r="AE39" i="17"/>
  <c r="AL6" i="17"/>
  <c r="AN6" i="17" s="1"/>
  <c r="O22" i="17"/>
  <c r="AI22" i="17" s="1"/>
  <c r="AG62" i="17"/>
  <c r="AM62" i="17" s="1"/>
  <c r="O70" i="17"/>
  <c r="AI70" i="17" s="1"/>
  <c r="AJ106" i="17"/>
  <c r="R122" i="17"/>
  <c r="M126" i="17"/>
  <c r="AD126" i="17" s="1"/>
  <c r="AL126" i="17" s="1"/>
  <c r="V134" i="17"/>
  <c r="AQ134" i="17" s="1"/>
  <c r="AR134" i="17" s="1"/>
  <c r="O138" i="17"/>
  <c r="AI138" i="17" s="1"/>
  <c r="S138" i="17"/>
  <c r="AP138" i="17" s="1"/>
  <c r="T142" i="17"/>
  <c r="AH142" i="17" s="1"/>
  <c r="P142" i="17"/>
  <c r="AK142" i="17" s="1"/>
  <c r="M142" i="17"/>
  <c r="AD142" i="17" s="1"/>
  <c r="AL142" i="17" s="1"/>
  <c r="O147" i="17"/>
  <c r="O148" i="17"/>
  <c r="O149" i="17"/>
  <c r="O150" i="17"/>
  <c r="P150" i="17"/>
  <c r="AK150" i="17" s="1"/>
  <c r="O151" i="17"/>
  <c r="O153" i="17"/>
  <c r="O152" i="17"/>
  <c r="O155" i="17"/>
  <c r="N154" i="17"/>
  <c r="T154" i="17"/>
  <c r="AH154" i="17" s="1"/>
  <c r="AM154" i="17" s="1"/>
  <c r="AN154" i="17" s="1"/>
  <c r="M158" i="17"/>
  <c r="AD158" i="17" s="1"/>
  <c r="AL158" i="17" s="1"/>
  <c r="L162" i="17"/>
  <c r="M162" i="17"/>
  <c r="AD162" i="17" s="1"/>
  <c r="AL162" i="17" s="1"/>
  <c r="R170" i="17"/>
  <c r="Q170" i="17"/>
  <c r="AL170" i="17"/>
  <c r="R174" i="17"/>
  <c r="M178" i="17"/>
  <c r="AD178" i="17" s="1"/>
  <c r="AL178" i="17" s="1"/>
  <c r="M182" i="17"/>
  <c r="AD182" i="17" s="1"/>
  <c r="AL182" i="17" s="1"/>
  <c r="Q186" i="17"/>
  <c r="S191" i="17"/>
  <c r="AP191" i="17" s="1"/>
  <c r="T191" i="17"/>
  <c r="AH191" i="17" s="1"/>
  <c r="V201" i="17"/>
  <c r="AQ201" i="17" s="1"/>
  <c r="AR201" i="17" s="1"/>
  <c r="R201" i="17"/>
  <c r="P201" i="17"/>
  <c r="AK201" i="17" s="1"/>
  <c r="AN201" i="17" s="1"/>
  <c r="L205" i="17"/>
  <c r="T210" i="17"/>
  <c r="AH210" i="17" s="1"/>
  <c r="P215" i="17"/>
  <c r="Q224" i="17"/>
  <c r="R224" i="17"/>
  <c r="R229" i="17"/>
  <c r="M229" i="17"/>
  <c r="AD229" i="17" s="1"/>
  <c r="AL229" i="17" s="1"/>
  <c r="T249" i="17"/>
  <c r="AH249" i="17" s="1"/>
  <c r="V253" i="17"/>
  <c r="AQ253" i="17" s="1"/>
  <c r="L258" i="17"/>
  <c r="V262" i="17"/>
  <c r="AQ262" i="17" s="1"/>
  <c r="Q272" i="17"/>
  <c r="Q277" i="17"/>
  <c r="V303" i="17"/>
  <c r="AQ303" i="17" s="1"/>
  <c r="L314" i="17"/>
  <c r="F24" i="14"/>
  <c r="F32" i="14"/>
  <c r="F40" i="14"/>
  <c r="F48" i="14"/>
  <c r="F56" i="14"/>
  <c r="C65" i="14"/>
  <c r="C73" i="14"/>
  <c r="C81" i="14"/>
  <c r="C89" i="14"/>
  <c r="AL39" i="17"/>
  <c r="T283" i="17"/>
  <c r="AH283" i="17" s="1"/>
  <c r="V308" i="17"/>
  <c r="AQ308" i="17" s="1"/>
  <c r="Q331" i="17"/>
  <c r="S349" i="17"/>
  <c r="AP349" i="17" s="1"/>
  <c r="AE24" i="17"/>
  <c r="AR24" i="17" s="1"/>
  <c r="C31" i="14"/>
  <c r="J48" i="14"/>
  <c r="G63" i="14"/>
  <c r="E79" i="14"/>
  <c r="G88" i="14"/>
  <c r="D90" i="14"/>
  <c r="M90" i="14" s="1"/>
  <c r="E93" i="14"/>
  <c r="O340" i="17"/>
  <c r="H40" i="14"/>
  <c r="J79" i="14"/>
  <c r="U331" i="17"/>
  <c r="I51" i="14"/>
  <c r="L53" i="14"/>
  <c r="I21" i="14"/>
  <c r="O93" i="17"/>
  <c r="O92" i="17"/>
  <c r="O91" i="17"/>
  <c r="O95" i="17"/>
  <c r="O108" i="17"/>
  <c r="O107" i="17"/>
  <c r="O109" i="17"/>
  <c r="O164" i="17"/>
  <c r="O163" i="17"/>
  <c r="AJ163" i="17" s="1"/>
  <c r="O161" i="17"/>
  <c r="O165" i="17"/>
  <c r="AI282" i="17"/>
  <c r="AF314" i="17"/>
  <c r="AG314" i="17"/>
  <c r="C25" i="14"/>
  <c r="C33" i="14"/>
  <c r="C41" i="14"/>
  <c r="C49" i="14"/>
  <c r="H58" i="14"/>
  <c r="H66" i="14"/>
  <c r="H74" i="14"/>
  <c r="H82" i="14"/>
  <c r="AL262" i="17"/>
  <c r="P151" i="17"/>
  <c r="Q287" i="17"/>
  <c r="Q315" i="17"/>
  <c r="Q334" i="17"/>
  <c r="AE19" i="17"/>
  <c r="AR19" i="17" s="1"/>
  <c r="D32" i="14"/>
  <c r="M32" i="14" s="1"/>
  <c r="H51" i="14"/>
  <c r="E64" i="14"/>
  <c r="C80" i="14"/>
  <c r="C90" i="14"/>
  <c r="I91" i="14"/>
  <c r="T176" i="17"/>
  <c r="AH176" i="17" s="1"/>
  <c r="U343" i="17"/>
  <c r="G43" i="14"/>
  <c r="G90" i="14"/>
  <c r="V86" i="17"/>
  <c r="AQ86" i="17" s="1"/>
  <c r="AR86" i="17" s="1"/>
  <c r="G59" i="14"/>
  <c r="F81" i="14"/>
  <c r="AK31" i="17"/>
  <c r="AE31" i="17"/>
  <c r="O3" i="17"/>
  <c r="AJ3" i="17" s="1"/>
  <c r="AG40" i="17"/>
  <c r="AF40" i="17"/>
  <c r="AK16" i="17"/>
  <c r="AI87" i="17"/>
  <c r="AI163" i="17"/>
  <c r="AK53" i="17"/>
  <c r="AE10" i="17"/>
  <c r="AR10" i="17" s="1"/>
  <c r="O73" i="17"/>
  <c r="O72" i="17"/>
  <c r="O71" i="17"/>
  <c r="O75" i="17"/>
  <c r="O74" i="17"/>
  <c r="AI74" i="17" s="1"/>
  <c r="O97" i="17"/>
  <c r="O96" i="17"/>
  <c r="O100" i="17"/>
  <c r="O99" i="17"/>
  <c r="O124" i="17"/>
  <c r="O123" i="17"/>
  <c r="O145" i="17"/>
  <c r="O141" i="17"/>
  <c r="O143" i="17"/>
  <c r="O144" i="17"/>
  <c r="AL150" i="17"/>
  <c r="O166" i="17"/>
  <c r="AJ166" i="17" s="1"/>
  <c r="AG191" i="17"/>
  <c r="AF191" i="17"/>
  <c r="AG205" i="17"/>
  <c r="AF205" i="17"/>
  <c r="L262" i="17"/>
  <c r="P272" i="17"/>
  <c r="R277" i="17"/>
  <c r="N282" i="17"/>
  <c r="U303" i="17"/>
  <c r="H26" i="14"/>
  <c r="H34" i="14"/>
  <c r="H42" i="14"/>
  <c r="E51" i="14"/>
  <c r="E59" i="14"/>
  <c r="E67" i="14"/>
  <c r="E75" i="14"/>
  <c r="E83" i="14"/>
  <c r="AL81" i="17"/>
  <c r="AL29" i="17"/>
  <c r="AL47" i="17"/>
  <c r="AL35" i="17"/>
  <c r="AL19" i="17"/>
  <c r="AL12" i="17"/>
  <c r="M180" i="17"/>
  <c r="AD180" i="17" s="1"/>
  <c r="AL180" i="17" s="1"/>
  <c r="M319" i="17"/>
  <c r="AD319" i="17" s="1"/>
  <c r="AL319" i="17" s="1"/>
  <c r="AF29" i="17"/>
  <c r="AF20" i="17"/>
  <c r="AR20" i="17" s="1"/>
  <c r="AE55" i="17"/>
  <c r="AE43" i="17"/>
  <c r="F33" i="14"/>
  <c r="G52" i="14"/>
  <c r="I67" i="14"/>
  <c r="L80" i="14"/>
  <c r="J93" i="14"/>
  <c r="C93" i="14"/>
  <c r="AJ205" i="17"/>
  <c r="F46" i="14"/>
  <c r="E96" i="14"/>
  <c r="U150" i="17"/>
  <c r="C19" i="14"/>
  <c r="R287" i="17"/>
  <c r="L66" i="14"/>
  <c r="P320" i="17"/>
  <c r="D97" i="14"/>
  <c r="L69" i="14"/>
  <c r="S197" i="17"/>
  <c r="AP197" i="17" s="1"/>
  <c r="F91" i="14"/>
  <c r="L64" i="14"/>
  <c r="Q309" i="17"/>
  <c r="S230" i="17"/>
  <c r="AP230" i="17" s="1"/>
  <c r="P230" i="17"/>
  <c r="P171" i="17"/>
  <c r="U8" i="17"/>
  <c r="U51" i="17"/>
  <c r="U19" i="17"/>
  <c r="U31" i="17"/>
  <c r="C79" i="14"/>
  <c r="Q240" i="17"/>
  <c r="N192" i="17"/>
  <c r="C92" i="14"/>
  <c r="C64" i="14"/>
  <c r="H37" i="14"/>
  <c r="T325" i="17"/>
  <c r="AH325" i="17" s="1"/>
  <c r="U244" i="17"/>
  <c r="S196" i="17"/>
  <c r="AP196" i="17" s="1"/>
  <c r="V31" i="17"/>
  <c r="AQ31" i="17" s="1"/>
  <c r="Q61" i="17"/>
  <c r="M71" i="17"/>
  <c r="AD71" i="17" s="1"/>
  <c r="AL71" i="17" s="1"/>
  <c r="Q79" i="17"/>
  <c r="R49" i="17"/>
  <c r="R63" i="17"/>
  <c r="N71" i="17"/>
  <c r="N77" i="17"/>
  <c r="S49" i="17"/>
  <c r="AP49" i="17" s="1"/>
  <c r="V53" i="17"/>
  <c r="AQ53" i="17" s="1"/>
  <c r="M73" i="17"/>
  <c r="AD73" i="17" s="1"/>
  <c r="AL73" i="17" s="1"/>
  <c r="Q84" i="17"/>
  <c r="Q92" i="17"/>
  <c r="U100" i="17"/>
  <c r="L69" i="17"/>
  <c r="M81" i="17"/>
  <c r="AD81" i="17" s="1"/>
  <c r="T89" i="17"/>
  <c r="AH89" i="17" s="1"/>
  <c r="V96" i="17"/>
  <c r="AQ96" i="17" s="1"/>
  <c r="S56" i="17"/>
  <c r="AP56" i="17" s="1"/>
  <c r="U83" i="17"/>
  <c r="U91" i="17"/>
  <c r="Q25" i="17"/>
  <c r="L67" i="17"/>
  <c r="L77" i="17"/>
  <c r="R85" i="17"/>
  <c r="T92" i="17"/>
  <c r="AH92" i="17" s="1"/>
  <c r="P100" i="17"/>
  <c r="T73" i="17"/>
  <c r="AH73" i="17" s="1"/>
  <c r="T93" i="17"/>
  <c r="AH93" i="17" s="1"/>
  <c r="N105" i="17"/>
  <c r="P112" i="17"/>
  <c r="P120" i="17"/>
  <c r="S57" i="17"/>
  <c r="AP57" i="17" s="1"/>
  <c r="R76" i="17"/>
  <c r="V93" i="17"/>
  <c r="AQ93" i="17" s="1"/>
  <c r="R104" i="17"/>
  <c r="T111" i="17"/>
  <c r="AH111" i="17" s="1"/>
  <c r="U63" i="17"/>
  <c r="U84" i="17"/>
  <c r="M103" i="17"/>
  <c r="AD103" i="17" s="1"/>
  <c r="AL103" i="17" s="1"/>
  <c r="M111" i="17"/>
  <c r="AD111" i="17" s="1"/>
  <c r="AL111" i="17" s="1"/>
  <c r="M119" i="17"/>
  <c r="AD119" i="17" s="1"/>
  <c r="AL119" i="17" s="1"/>
  <c r="V63" i="17"/>
  <c r="AQ63" i="17" s="1"/>
  <c r="L85" i="17"/>
  <c r="T100" i="17"/>
  <c r="AH100" i="17" s="1"/>
  <c r="R107" i="17"/>
  <c r="R113" i="17"/>
  <c r="P91" i="17"/>
  <c r="S108" i="17"/>
  <c r="AP108" i="17" s="1"/>
  <c r="S124" i="17"/>
  <c r="AP124" i="17" s="1"/>
  <c r="S132" i="17"/>
  <c r="AP132" i="17" s="1"/>
  <c r="Q141" i="17"/>
  <c r="S80" i="17"/>
  <c r="AP80" i="17" s="1"/>
  <c r="L113" i="17"/>
  <c r="U124" i="17"/>
  <c r="V131" i="17"/>
  <c r="AQ131" i="17" s="1"/>
  <c r="L99" i="17"/>
  <c r="P123" i="17"/>
  <c r="V132" i="17"/>
  <c r="AQ132" i="17" s="1"/>
  <c r="R140" i="17"/>
  <c r="M84" i="17"/>
  <c r="AD84" i="17" s="1"/>
  <c r="Q109" i="17"/>
  <c r="R121" i="17"/>
  <c r="Q129" i="17"/>
  <c r="Q137" i="17"/>
  <c r="S93" i="17"/>
  <c r="AP93" i="17" s="1"/>
  <c r="S117" i="17"/>
  <c r="AP117" i="17" s="1"/>
  <c r="P141" i="17"/>
  <c r="R149" i="17"/>
  <c r="R157" i="17"/>
  <c r="L107" i="17"/>
  <c r="N128" i="17"/>
  <c r="V140" i="17"/>
  <c r="AQ140" i="17" s="1"/>
  <c r="S149" i="17"/>
  <c r="AP149" i="17" s="1"/>
  <c r="S157" i="17"/>
  <c r="AP157" i="17" s="1"/>
  <c r="S127" i="17"/>
  <c r="AP127" i="17" s="1"/>
  <c r="S141" i="17"/>
  <c r="AP141" i="17" s="1"/>
  <c r="L149" i="17"/>
  <c r="N156" i="17"/>
  <c r="R57" i="17"/>
  <c r="M140" i="17"/>
  <c r="AD140" i="17" s="1"/>
  <c r="AL140" i="17" s="1"/>
  <c r="Q147" i="17"/>
  <c r="M155" i="17"/>
  <c r="AD155" i="17" s="1"/>
  <c r="AL155" i="17" s="1"/>
  <c r="U163" i="17"/>
  <c r="Q173" i="17"/>
  <c r="P133" i="17"/>
  <c r="M152" i="17"/>
  <c r="AD152" i="17" s="1"/>
  <c r="Q175" i="17"/>
  <c r="P181" i="17"/>
  <c r="T189" i="17"/>
  <c r="AH189" i="17" s="1"/>
  <c r="P199" i="17"/>
  <c r="P207" i="17"/>
  <c r="P213" i="17"/>
  <c r="P219" i="17"/>
  <c r="P225" i="17"/>
  <c r="P233" i="17"/>
  <c r="P132" i="17"/>
  <c r="N152" i="17"/>
  <c r="P164" i="17"/>
  <c r="R175" i="17"/>
  <c r="Q183" i="17"/>
  <c r="R235" i="17"/>
  <c r="H93" i="14"/>
  <c r="I66" i="14"/>
  <c r="M197" i="17"/>
  <c r="AD197" i="17" s="1"/>
  <c r="P197" i="17"/>
  <c r="F87" i="14"/>
  <c r="G62" i="14"/>
  <c r="S309" i="17"/>
  <c r="AP309" i="17" s="1"/>
  <c r="N230" i="17"/>
  <c r="T230" i="17"/>
  <c r="AH230" i="17" s="1"/>
  <c r="Q171" i="17"/>
  <c r="U36" i="17"/>
  <c r="R8" i="17"/>
  <c r="U39" i="17"/>
  <c r="U21" i="17"/>
  <c r="J75" i="14"/>
  <c r="M240" i="17"/>
  <c r="AD240" i="17" s="1"/>
  <c r="AL240" i="17" s="1"/>
  <c r="T240" i="17"/>
  <c r="AH240" i="17" s="1"/>
  <c r="V192" i="17"/>
  <c r="AQ192" i="17" s="1"/>
  <c r="D88" i="14"/>
  <c r="M88" i="14" s="1"/>
  <c r="I61" i="14"/>
  <c r="D34" i="14"/>
  <c r="M34" i="14" s="1"/>
  <c r="R300" i="17"/>
  <c r="Q244" i="17"/>
  <c r="V244" i="17"/>
  <c r="AQ244" i="17" s="1"/>
  <c r="T196" i="17"/>
  <c r="AH196" i="17" s="1"/>
  <c r="R39" i="17"/>
  <c r="Q63" i="17"/>
  <c r="U71" i="17"/>
  <c r="R51" i="17"/>
  <c r="P64" i="17"/>
  <c r="V71" i="17"/>
  <c r="AQ71" i="17" s="1"/>
  <c r="V77" i="17"/>
  <c r="AQ77" i="17" s="1"/>
  <c r="S51" i="17"/>
  <c r="AP51" i="17" s="1"/>
  <c r="Q68" i="17"/>
  <c r="S79" i="17"/>
  <c r="AP79" i="17" s="1"/>
  <c r="Q56" i="17"/>
  <c r="Q75" i="17"/>
  <c r="S9" i="17"/>
  <c r="AP9" i="17" s="1"/>
  <c r="AR9" i="17" s="1"/>
  <c r="L71" i="17"/>
  <c r="T83" i="17"/>
  <c r="AH83" i="17" s="1"/>
  <c r="L91" i="17"/>
  <c r="L97" i="17"/>
  <c r="S75" i="17"/>
  <c r="AP75" i="17" s="1"/>
  <c r="S84" i="17"/>
  <c r="AP84" i="17" s="1"/>
  <c r="S92" i="17"/>
  <c r="AP92" i="17" s="1"/>
  <c r="R28" i="17"/>
  <c r="S68" i="17"/>
  <c r="AP68" i="17" s="1"/>
  <c r="P79" i="17"/>
  <c r="R87" i="17"/>
  <c r="R93" i="17"/>
  <c r="S37" i="17"/>
  <c r="AP37" i="17" s="1"/>
  <c r="V79" i="17"/>
  <c r="AQ79" i="17" s="1"/>
  <c r="R95" i="17"/>
  <c r="V105" i="17"/>
  <c r="AQ105" i="17" s="1"/>
  <c r="N113" i="17"/>
  <c r="N121" i="17"/>
  <c r="T63" i="17"/>
  <c r="AH63" i="17" s="1"/>
  <c r="P77" i="17"/>
  <c r="P105" i="17"/>
  <c r="R112" i="17"/>
  <c r="T64" i="17"/>
  <c r="AH64" i="17" s="1"/>
  <c r="L87" i="17"/>
  <c r="U103" i="17"/>
  <c r="U111" i="17"/>
  <c r="U64" i="17"/>
  <c r="M87" i="17"/>
  <c r="AD87" i="17" s="1"/>
  <c r="AL87" i="17" s="1"/>
  <c r="L101" i="17"/>
  <c r="P108" i="17"/>
  <c r="N115" i="17"/>
  <c r="V112" i="17"/>
  <c r="AQ112" i="17" s="1"/>
  <c r="Q125" i="17"/>
  <c r="Q133" i="17"/>
  <c r="M143" i="17"/>
  <c r="AD143" i="17" s="1"/>
  <c r="AL143" i="17" s="1"/>
  <c r="Q91" i="17"/>
  <c r="P115" i="17"/>
  <c r="R125" i="17"/>
  <c r="L132" i="17"/>
  <c r="L100" i="17"/>
  <c r="S115" i="17"/>
  <c r="AP115" i="17" s="1"/>
  <c r="M124" i="17"/>
  <c r="AD124" i="17" s="1"/>
  <c r="AL124" i="17" s="1"/>
  <c r="L133" i="17"/>
  <c r="L141" i="17"/>
  <c r="S85" i="17"/>
  <c r="AP85" i="17" s="1"/>
  <c r="R123" i="17"/>
  <c r="Q131" i="17"/>
  <c r="M139" i="17"/>
  <c r="AD139" i="17" s="1"/>
  <c r="AL139" i="17" s="1"/>
  <c r="P95" i="17"/>
  <c r="N119" i="17"/>
  <c r="P143" i="17"/>
  <c r="R151" i="17"/>
  <c r="N159" i="17"/>
  <c r="R108" i="17"/>
  <c r="R129" i="17"/>
  <c r="R141" i="17"/>
  <c r="S87" i="17"/>
  <c r="AP87" i="17" s="1"/>
  <c r="S129" i="17"/>
  <c r="AP129" i="17" s="1"/>
  <c r="R143" i="17"/>
  <c r="T149" i="17"/>
  <c r="AH149" i="17" s="1"/>
  <c r="V156" i="17"/>
  <c r="AQ156" i="17" s="1"/>
  <c r="U73" i="17"/>
  <c r="T235" i="17"/>
  <c r="AH235" i="17" s="1"/>
  <c r="I90" i="14"/>
  <c r="F51" i="14"/>
  <c r="U197" i="17"/>
  <c r="C84" i="14"/>
  <c r="C59" i="14"/>
  <c r="O309" i="17"/>
  <c r="T309" i="17"/>
  <c r="AH309" i="17" s="1"/>
  <c r="V230" i="17"/>
  <c r="AQ230" i="17" s="1"/>
  <c r="M171" i="17"/>
  <c r="AD171" i="17" s="1"/>
  <c r="AL171" i="17" s="1"/>
  <c r="U20" i="17"/>
  <c r="U48" i="17"/>
  <c r="U60" i="17"/>
  <c r="U53" i="17"/>
  <c r="G72" i="14"/>
  <c r="U240" i="17"/>
  <c r="R240" i="17"/>
  <c r="P192" i="17"/>
  <c r="L84" i="14"/>
  <c r="E58" i="14"/>
  <c r="H27" i="14"/>
  <c r="U269" i="17"/>
  <c r="R244" i="17"/>
  <c r="N244" i="17"/>
  <c r="O196" i="17"/>
  <c r="R43" i="17"/>
  <c r="S72" i="17"/>
  <c r="AP72" i="17" s="1"/>
  <c r="Q81" i="17"/>
  <c r="R52" i="17"/>
  <c r="R65" i="17"/>
  <c r="L72" i="17"/>
  <c r="R79" i="17"/>
  <c r="S52" i="17"/>
  <c r="AP52" i="17" s="1"/>
  <c r="Q80" i="17"/>
  <c r="M63" i="17"/>
  <c r="AD63" i="17" s="1"/>
  <c r="AL63" i="17" s="1"/>
  <c r="V76" i="17"/>
  <c r="AQ76" i="17" s="1"/>
  <c r="S95" i="17"/>
  <c r="AP95" i="17" s="1"/>
  <c r="S31" i="17"/>
  <c r="AP31" i="17" s="1"/>
  <c r="AR31" i="17" s="1"/>
  <c r="R84" i="17"/>
  <c r="T91" i="17"/>
  <c r="AH91" i="17" s="1"/>
  <c r="T97" i="17"/>
  <c r="AH97" i="17" s="1"/>
  <c r="N64" i="17"/>
  <c r="M76" i="17"/>
  <c r="AD76" i="17" s="1"/>
  <c r="AL76" i="17" s="1"/>
  <c r="Q85" i="17"/>
  <c r="Q93" i="17"/>
  <c r="V45" i="17"/>
  <c r="AQ45" i="17" s="1"/>
  <c r="AR45" i="17" s="1"/>
  <c r="Q69" i="17"/>
  <c r="R80" i="17"/>
  <c r="P88" i="17"/>
  <c r="N95" i="17"/>
  <c r="S55" i="17"/>
  <c r="AP55" i="17" s="1"/>
  <c r="U80" i="17"/>
  <c r="S96" i="17"/>
  <c r="AP96" i="17" s="1"/>
  <c r="N107" i="17"/>
  <c r="V113" i="17"/>
  <c r="AQ113" i="17" s="1"/>
  <c r="V121" i="17"/>
  <c r="AQ121" i="17" s="1"/>
  <c r="S64" i="17"/>
  <c r="AP64" i="17" s="1"/>
  <c r="T81" i="17"/>
  <c r="AH81" i="17" s="1"/>
  <c r="T99" i="17"/>
  <c r="AH99" i="17" s="1"/>
  <c r="P107" i="17"/>
  <c r="P113" i="17"/>
  <c r="R67" i="17"/>
  <c r="Q88" i="17"/>
  <c r="S104" i="17"/>
  <c r="AP104" i="17" s="1"/>
  <c r="S112" i="17"/>
  <c r="AP112" i="17" s="1"/>
  <c r="U119" i="17"/>
  <c r="S67" i="17"/>
  <c r="AP67" i="17" s="1"/>
  <c r="R88" i="17"/>
  <c r="V101" i="17"/>
  <c r="AQ101" i="17" s="1"/>
  <c r="N109" i="17"/>
  <c r="V115" i="17"/>
  <c r="AQ115" i="17" s="1"/>
  <c r="U93" i="17"/>
  <c r="M127" i="17"/>
  <c r="AD127" i="17" s="1"/>
  <c r="AL127" i="17" s="1"/>
  <c r="M135" i="17"/>
  <c r="AD135" i="17" s="1"/>
  <c r="AL135" i="17" s="1"/>
  <c r="U143" i="17"/>
  <c r="T96" i="17"/>
  <c r="AH96" i="17" s="1"/>
  <c r="R116" i="17"/>
  <c r="N127" i="17"/>
  <c r="R55" i="17"/>
  <c r="N104" i="17"/>
  <c r="U116" i="17"/>
  <c r="T125" i="17"/>
  <c r="AH125" i="17" s="1"/>
  <c r="T133" i="17"/>
  <c r="AH133" i="17" s="1"/>
  <c r="M68" i="17"/>
  <c r="AD68" i="17" s="1"/>
  <c r="AL68" i="17" s="1"/>
  <c r="S88" i="17"/>
  <c r="AP88" i="17" s="1"/>
  <c r="N112" i="17"/>
  <c r="N124" i="17"/>
  <c r="U139" i="17"/>
  <c r="S119" i="17"/>
  <c r="AP119" i="17" s="1"/>
  <c r="R132" i="17"/>
  <c r="Q144" i="17"/>
  <c r="P152" i="17"/>
  <c r="L65" i="17"/>
  <c r="U112" i="17"/>
  <c r="L131" i="17"/>
  <c r="Q143" i="17"/>
  <c r="S151" i="17"/>
  <c r="AP151" i="17" s="1"/>
  <c r="M160" i="17"/>
  <c r="AD160" i="17" s="1"/>
  <c r="AL160" i="17" s="1"/>
  <c r="N101" i="17"/>
  <c r="R131" i="17"/>
  <c r="T144" i="17"/>
  <c r="AH144" i="17" s="1"/>
  <c r="L151" i="17"/>
  <c r="L157" i="17"/>
  <c r="T87" i="17"/>
  <c r="AH87" i="17" s="1"/>
  <c r="T127" i="17"/>
  <c r="AH127" i="17" s="1"/>
  <c r="T141" i="17"/>
  <c r="AH141" i="17" s="1"/>
  <c r="M149" i="17"/>
  <c r="AD149" i="17" s="1"/>
  <c r="AL149" i="17" s="1"/>
  <c r="M157" i="17"/>
  <c r="AD157" i="17" s="1"/>
  <c r="Q165" i="17"/>
  <c r="U175" i="17"/>
  <c r="O139" i="17"/>
  <c r="Q155" i="17"/>
  <c r="R167" i="17"/>
  <c r="V176" i="17"/>
  <c r="AQ176" i="17" s="1"/>
  <c r="N184" i="17"/>
  <c r="P193" i="17"/>
  <c r="V200" i="17"/>
  <c r="AQ200" i="17" s="1"/>
  <c r="H81" i="14"/>
  <c r="G57" i="14"/>
  <c r="R309" i="17"/>
  <c r="U309" i="17"/>
  <c r="U230" i="17"/>
  <c r="U171" i="17"/>
  <c r="R171" i="17"/>
  <c r="M2" i="17"/>
  <c r="AD2" i="17" s="1"/>
  <c r="AL2" i="17" s="1"/>
  <c r="U24" i="17"/>
  <c r="U5" i="17"/>
  <c r="U29" i="17"/>
  <c r="C69" i="14"/>
  <c r="N240" i="17"/>
  <c r="S240" i="17"/>
  <c r="AP240" i="17" s="1"/>
  <c r="Q192" i="17"/>
  <c r="J80" i="14"/>
  <c r="I56" i="14"/>
  <c r="E25" i="14"/>
  <c r="R253" i="17"/>
  <c r="S244" i="17"/>
  <c r="AP244" i="17" s="1"/>
  <c r="M244" i="17"/>
  <c r="AD244" i="17" s="1"/>
  <c r="AL244" i="17" s="1"/>
  <c r="U196" i="17"/>
  <c r="R48" i="17"/>
  <c r="Q65" i="17"/>
  <c r="Q73" i="17"/>
  <c r="M83" i="17"/>
  <c r="AD83" i="17" s="1"/>
  <c r="AL83" i="17" s="1"/>
  <c r="Q53" i="17"/>
  <c r="N67" i="17"/>
  <c r="T72" i="17"/>
  <c r="AH72" i="17" s="1"/>
  <c r="P80" i="17"/>
  <c r="R53" i="17"/>
  <c r="M72" i="17"/>
  <c r="AD72" i="17" s="1"/>
  <c r="AL72" i="17" s="1"/>
  <c r="Q37" i="17"/>
  <c r="L64" i="17"/>
  <c r="T77" i="17"/>
  <c r="AH77" i="17" s="1"/>
  <c r="M88" i="17"/>
  <c r="AD88" i="17" s="1"/>
  <c r="AL88" i="17" s="1"/>
  <c r="M96" i="17"/>
  <c r="AD96" i="17" s="1"/>
  <c r="AL96" i="17" s="1"/>
  <c r="R56" i="17"/>
  <c r="N73" i="17"/>
  <c r="P85" i="17"/>
  <c r="R92" i="17"/>
  <c r="P99" i="17"/>
  <c r="U65" i="17"/>
  <c r="Q87" i="17"/>
  <c r="M95" i="17"/>
  <c r="AD95" i="17" s="1"/>
  <c r="AL95" i="17" s="1"/>
  <c r="Q57" i="17"/>
  <c r="Q71" i="17"/>
  <c r="S81" i="17"/>
  <c r="AP81" i="17" s="1"/>
  <c r="N89" i="17"/>
  <c r="V95" i="17"/>
  <c r="AQ95" i="17" s="1"/>
  <c r="R59" i="17"/>
  <c r="N84" i="17"/>
  <c r="N99" i="17"/>
  <c r="V107" i="17"/>
  <c r="AQ107" i="17" s="1"/>
  <c r="R115" i="17"/>
  <c r="N123" i="17"/>
  <c r="Q67" i="17"/>
  <c r="P84" i="17"/>
  <c r="R100" i="17"/>
  <c r="N108" i="17"/>
  <c r="L115" i="17"/>
  <c r="T69" i="17"/>
  <c r="AH69" i="17" s="1"/>
  <c r="U92" i="17"/>
  <c r="Q105" i="17"/>
  <c r="Q113" i="17"/>
  <c r="S120" i="17"/>
  <c r="AP120" i="17" s="1"/>
  <c r="T76" i="17"/>
  <c r="AH76" i="17" s="1"/>
  <c r="V92" i="17"/>
  <c r="AQ92" i="17" s="1"/>
  <c r="N103" i="17"/>
  <c r="V109" i="17"/>
  <c r="AQ109" i="17" s="1"/>
  <c r="P116" i="17"/>
  <c r="Q95" i="17"/>
  <c r="Q116" i="17"/>
  <c r="U127" i="17"/>
  <c r="U135" i="17"/>
  <c r="S144" i="17"/>
  <c r="AP144" i="17" s="1"/>
  <c r="Q103" i="17"/>
  <c r="N117" i="17"/>
  <c r="V127" i="17"/>
  <c r="AQ127" i="17" s="1"/>
  <c r="P67" i="17"/>
  <c r="S105" i="17"/>
  <c r="AP105" i="17" s="1"/>
  <c r="P117" i="17"/>
  <c r="P127" i="17"/>
  <c r="P135" i="17"/>
  <c r="R71" i="17"/>
  <c r="M99" i="17"/>
  <c r="AD99" i="17" s="1"/>
  <c r="AL99" i="17" s="1"/>
  <c r="S113" i="17"/>
  <c r="AP113" i="17" s="1"/>
  <c r="L125" i="17"/>
  <c r="M133" i="17"/>
  <c r="AD133" i="17" s="1"/>
  <c r="AL133" i="17" s="1"/>
  <c r="S140" i="17"/>
  <c r="AP140" i="17" s="1"/>
  <c r="S99" i="17"/>
  <c r="AP99" i="17" s="1"/>
  <c r="N120" i="17"/>
  <c r="S133" i="17"/>
  <c r="AP133" i="17" s="1"/>
  <c r="S145" i="17"/>
  <c r="AP145" i="17" s="1"/>
  <c r="N153" i="17"/>
  <c r="T117" i="17"/>
  <c r="AH117" i="17" s="1"/>
  <c r="T132" i="17"/>
  <c r="AH132" i="17" s="1"/>
  <c r="R144" i="17"/>
  <c r="Q152" i="17"/>
  <c r="U160" i="17"/>
  <c r="S101" i="17"/>
  <c r="AP101" i="17" s="1"/>
  <c r="U132" i="17"/>
  <c r="L145" i="17"/>
  <c r="T151" i="17"/>
  <c r="AH151" i="17" s="1"/>
  <c r="T157" i="17"/>
  <c r="AH157" i="17" s="1"/>
  <c r="M92" i="17"/>
  <c r="AD92" i="17" s="1"/>
  <c r="AL92" i="17" s="1"/>
  <c r="Q128" i="17"/>
  <c r="S143" i="17"/>
  <c r="AP143" i="17" s="1"/>
  <c r="U149" i="17"/>
  <c r="U157" i="17"/>
  <c r="Q167" i="17"/>
  <c r="R60" i="17"/>
  <c r="N140" i="17"/>
  <c r="S168" i="17"/>
  <c r="AP168" i="17" s="1"/>
  <c r="L177" i="17"/>
  <c r="V184" i="17"/>
  <c r="AQ184" i="17" s="1"/>
  <c r="N194" i="17"/>
  <c r="N202" i="17"/>
  <c r="L209" i="17"/>
  <c r="N216" i="17"/>
  <c r="P221" i="17"/>
  <c r="N228" i="17"/>
  <c r="U85" i="17"/>
  <c r="P140" i="17"/>
  <c r="P157" i="17"/>
  <c r="T168" i="17"/>
  <c r="AH168" i="17" s="1"/>
  <c r="M179" i="17"/>
  <c r="AD179" i="17" s="1"/>
  <c r="AL179" i="17" s="1"/>
  <c r="M189" i="17"/>
  <c r="AD189" i="17" s="1"/>
  <c r="AL189" i="17" s="1"/>
  <c r="Q199" i="17"/>
  <c r="M209" i="17"/>
  <c r="AD209" i="17" s="1"/>
  <c r="AL209" i="17" s="1"/>
  <c r="U217" i="17"/>
  <c r="Q225" i="17"/>
  <c r="Q233" i="17"/>
  <c r="T123" i="17"/>
  <c r="AH123" i="17" s="1"/>
  <c r="P148" i="17"/>
  <c r="Q164" i="17"/>
  <c r="S175" i="17"/>
  <c r="AP175" i="17" s="1"/>
  <c r="R181" i="17"/>
  <c r="T190" i="17"/>
  <c r="AH190" i="17" s="1"/>
  <c r="P200" i="17"/>
  <c r="N209" i="17"/>
  <c r="P216" i="17"/>
  <c r="P222" i="17"/>
  <c r="M93" i="17"/>
  <c r="AD93" i="17" s="1"/>
  <c r="AL93" i="17" s="1"/>
  <c r="L137" i="17"/>
  <c r="T164" i="17"/>
  <c r="AH164" i="17" s="1"/>
  <c r="S173" i="17"/>
  <c r="AP173" i="17" s="1"/>
  <c r="L181" i="17"/>
  <c r="P189" i="17"/>
  <c r="V198" i="17"/>
  <c r="AQ198" i="17" s="1"/>
  <c r="L207" i="17"/>
  <c r="T213" i="17"/>
  <c r="AH213" i="17" s="1"/>
  <c r="R220" i="17"/>
  <c r="V226" i="17"/>
  <c r="AQ226" i="17" s="1"/>
  <c r="V235" i="17"/>
  <c r="AQ235" i="17" s="1"/>
  <c r="D83" i="14"/>
  <c r="M83" i="14" s="1"/>
  <c r="L197" i="17"/>
  <c r="AE197" i="17" s="1"/>
  <c r="O197" i="17"/>
  <c r="AJ197" i="17" s="1"/>
  <c r="E78" i="14"/>
  <c r="D53" i="14"/>
  <c r="M53" i="14" s="1"/>
  <c r="L309" i="17"/>
  <c r="P309" i="17"/>
  <c r="L230" i="17"/>
  <c r="T171" i="17"/>
  <c r="AH171" i="17" s="1"/>
  <c r="U12" i="17"/>
  <c r="R4" i="17"/>
  <c r="U56" i="17"/>
  <c r="U35" i="17"/>
  <c r="J95" i="14"/>
  <c r="J65" i="14"/>
  <c r="V240" i="17"/>
  <c r="AQ240" i="17" s="1"/>
  <c r="R192" i="17"/>
  <c r="U192" i="17"/>
  <c r="F77" i="14"/>
  <c r="E52" i="14"/>
  <c r="P245" i="17"/>
  <c r="L244" i="17"/>
  <c r="N196" i="17"/>
  <c r="Q196" i="17"/>
  <c r="Q49" i="17"/>
  <c r="M67" i="17"/>
  <c r="AD67" i="17" s="1"/>
  <c r="AL67" i="17" s="1"/>
  <c r="M75" i="17"/>
  <c r="AD75" i="17" s="1"/>
  <c r="AL75" i="17" s="1"/>
  <c r="Q27" i="17"/>
  <c r="V56" i="17"/>
  <c r="AQ56" i="17" s="1"/>
  <c r="V67" i="17"/>
  <c r="AQ67" i="17" s="1"/>
  <c r="R73" i="17"/>
  <c r="R81" i="17"/>
  <c r="S61" i="17"/>
  <c r="AP61" i="17" s="1"/>
  <c r="U72" i="17"/>
  <c r="V39" i="17"/>
  <c r="AQ39" i="17" s="1"/>
  <c r="AR39" i="17" s="1"/>
  <c r="P65" i="17"/>
  <c r="M79" i="17"/>
  <c r="AD79" i="17" s="1"/>
  <c r="U88" i="17"/>
  <c r="U96" i="17"/>
  <c r="V61" i="17"/>
  <c r="AQ61" i="17" s="1"/>
  <c r="R75" i="17"/>
  <c r="P87" i="17"/>
  <c r="P93" i="17"/>
  <c r="N100" i="17"/>
  <c r="R68" i="17"/>
  <c r="N80" i="17"/>
  <c r="U95" i="17"/>
  <c r="Q60" i="17"/>
  <c r="Q72" i="17"/>
  <c r="N83" i="17"/>
  <c r="V89" i="17"/>
  <c r="AQ89" i="17" s="1"/>
  <c r="P96" i="17"/>
  <c r="N65" i="17"/>
  <c r="T85" i="17"/>
  <c r="AH85" i="17" s="1"/>
  <c r="L108" i="17"/>
  <c r="L116" i="17"/>
  <c r="V123" i="17"/>
  <c r="AQ123" i="17" s="1"/>
  <c r="V68" i="17"/>
  <c r="AQ68" i="17" s="1"/>
  <c r="V85" i="17"/>
  <c r="AQ85" i="17" s="1"/>
  <c r="V108" i="17"/>
  <c r="AQ108" i="17" s="1"/>
  <c r="T115" i="17"/>
  <c r="AH115" i="17" s="1"/>
  <c r="P75" i="17"/>
  <c r="P97" i="17"/>
  <c r="Q107" i="17"/>
  <c r="M115" i="17"/>
  <c r="AD115" i="17" s="1"/>
  <c r="AL115" i="17" s="1"/>
  <c r="Q121" i="17"/>
  <c r="R77" i="17"/>
  <c r="L93" i="17"/>
  <c r="V103" i="17"/>
  <c r="AQ103" i="17" s="1"/>
  <c r="N111" i="17"/>
  <c r="S59" i="17"/>
  <c r="AP59" i="17" s="1"/>
  <c r="R96" i="17"/>
  <c r="L117" i="17"/>
  <c r="M129" i="17"/>
  <c r="AD129" i="17" s="1"/>
  <c r="AL129" i="17" s="1"/>
  <c r="M137" i="17"/>
  <c r="AD137" i="17" s="1"/>
  <c r="AL137" i="17" s="1"/>
  <c r="Q145" i="17"/>
  <c r="M105" i="17"/>
  <c r="AD105" i="17" s="1"/>
  <c r="AL105" i="17" s="1"/>
  <c r="L119" i="17"/>
  <c r="P128" i="17"/>
  <c r="L68" i="17"/>
  <c r="T107" i="17"/>
  <c r="AH107" i="17" s="1"/>
  <c r="P119" i="17"/>
  <c r="R128" i="17"/>
  <c r="R136" i="17"/>
  <c r="Q100" i="17"/>
  <c r="V116" i="17"/>
  <c r="AQ116" i="17" s="1"/>
  <c r="U133" i="17"/>
  <c r="M141" i="17"/>
  <c r="AD141" i="17" s="1"/>
  <c r="Q108" i="17"/>
  <c r="U123" i="17"/>
  <c r="T136" i="17"/>
  <c r="AH136" i="17" s="1"/>
  <c r="N147" i="17"/>
  <c r="V153" i="17"/>
  <c r="AQ153" i="17" s="1"/>
  <c r="N87" i="17"/>
  <c r="T119" i="17"/>
  <c r="AH119" i="17" s="1"/>
  <c r="V133" i="17"/>
  <c r="AQ133" i="17" s="1"/>
  <c r="T145" i="17"/>
  <c r="AH145" i="17" s="1"/>
  <c r="L63" i="17"/>
  <c r="S107" i="17"/>
  <c r="AP107" i="17" s="1"/>
  <c r="N135" i="17"/>
  <c r="U145" i="17"/>
  <c r="R152" i="17"/>
  <c r="P159" i="17"/>
  <c r="M104" i="17"/>
  <c r="AD104" i="17" s="1"/>
  <c r="AL104" i="17" s="1"/>
  <c r="P235" i="17"/>
  <c r="S235" i="17"/>
  <c r="AP235" i="17" s="1"/>
  <c r="L79" i="14"/>
  <c r="T197" i="17"/>
  <c r="AH197" i="17" s="1"/>
  <c r="N197" i="17"/>
  <c r="L74" i="14"/>
  <c r="V309" i="17"/>
  <c r="AQ309" i="17" s="1"/>
  <c r="N245" i="17"/>
  <c r="M230" i="17"/>
  <c r="AD230" i="17" s="1"/>
  <c r="AL230" i="17" s="1"/>
  <c r="L171" i="17"/>
  <c r="U32" i="17"/>
  <c r="U55" i="17"/>
  <c r="U57" i="17"/>
  <c r="U43" i="17"/>
  <c r="L89" i="14"/>
  <c r="E63" i="14"/>
  <c r="O240" i="17"/>
  <c r="S192" i="17"/>
  <c r="AP192" i="17" s="1"/>
  <c r="M192" i="17"/>
  <c r="AD192" i="17" s="1"/>
  <c r="AL192" i="17" s="1"/>
  <c r="C74" i="14"/>
  <c r="I45" i="14"/>
  <c r="R345" i="17"/>
  <c r="T244" i="17"/>
  <c r="AH244" i="17" s="1"/>
  <c r="V196" i="17"/>
  <c r="AQ196" i="17" s="1"/>
  <c r="L196" i="17"/>
  <c r="Q51" i="17"/>
  <c r="U67" i="17"/>
  <c r="U75" i="17"/>
  <c r="V41" i="17"/>
  <c r="AQ41" i="17" s="1"/>
  <c r="AR41" i="17" s="1"/>
  <c r="V57" i="17"/>
  <c r="AQ57" i="17" s="1"/>
  <c r="P68" i="17"/>
  <c r="N75" i="17"/>
  <c r="S23" i="17"/>
  <c r="AP23" i="17" s="1"/>
  <c r="AR23" i="17" s="1"/>
  <c r="S63" i="17"/>
  <c r="AP63" i="17" s="1"/>
  <c r="S73" i="17"/>
  <c r="AP73" i="17" s="1"/>
  <c r="V49" i="17"/>
  <c r="AQ49" i="17" s="1"/>
  <c r="T67" i="17"/>
  <c r="AH67" i="17" s="1"/>
  <c r="L80" i="17"/>
  <c r="S89" i="17"/>
  <c r="AP89" i="17" s="1"/>
  <c r="S97" i="17"/>
  <c r="AP97" i="17" s="1"/>
  <c r="N63" i="17"/>
  <c r="L76" i="17"/>
  <c r="N88" i="17"/>
  <c r="L95" i="17"/>
  <c r="V100" i="17"/>
  <c r="AQ100" i="17" s="1"/>
  <c r="P69" i="17"/>
  <c r="N81" i="17"/>
  <c r="M89" i="17"/>
  <c r="AD89" i="17" s="1"/>
  <c r="AL89" i="17" s="1"/>
  <c r="M97" i="17"/>
  <c r="AD97" i="17" s="1"/>
  <c r="P63" i="17"/>
  <c r="P73" i="17"/>
  <c r="V83" i="17"/>
  <c r="AQ83" i="17" s="1"/>
  <c r="N91" i="17"/>
  <c r="N97" i="17"/>
  <c r="T68" i="17"/>
  <c r="AH68" i="17" s="1"/>
  <c r="U87" i="17"/>
  <c r="R101" i="17"/>
  <c r="T108" i="17"/>
  <c r="AH108" i="17" s="1"/>
  <c r="T116" i="17"/>
  <c r="AH116" i="17" s="1"/>
  <c r="L124" i="17"/>
  <c r="S69" i="17"/>
  <c r="AP69" i="17" s="1"/>
  <c r="L88" i="17"/>
  <c r="T101" i="17"/>
  <c r="AH101" i="17" s="1"/>
  <c r="L109" i="17"/>
  <c r="N116" i="17"/>
  <c r="S76" i="17"/>
  <c r="AP76" i="17" s="1"/>
  <c r="U99" i="17"/>
  <c r="U115" i="17"/>
  <c r="Q123" i="17"/>
  <c r="V81" i="17"/>
  <c r="AQ81" i="17" s="1"/>
  <c r="L96" i="17"/>
  <c r="L104" i="17"/>
  <c r="V111" i="17"/>
  <c r="AQ111" i="17" s="1"/>
  <c r="V64" i="17"/>
  <c r="AQ64" i="17" s="1"/>
  <c r="P103" i="17"/>
  <c r="R120" i="17"/>
  <c r="U129" i="17"/>
  <c r="U137" i="17"/>
  <c r="V32" i="17"/>
  <c r="AQ32" i="17" s="1"/>
  <c r="AR32" i="17" s="1"/>
  <c r="T120" i="17"/>
  <c r="AH120" i="17" s="1"/>
  <c r="N129" i="17"/>
  <c r="V80" i="17"/>
  <c r="AQ80" i="17" s="1"/>
  <c r="P109" i="17"/>
  <c r="L120" i="17"/>
  <c r="P129" i="17"/>
  <c r="P137" i="17"/>
  <c r="S77" i="17"/>
  <c r="AP77" i="17" s="1"/>
  <c r="Q117" i="17"/>
  <c r="U125" i="17"/>
  <c r="Q135" i="17"/>
  <c r="U141" i="17"/>
  <c r="Q112" i="17"/>
  <c r="R124" i="17"/>
  <c r="S137" i="17"/>
  <c r="AP137" i="17" s="1"/>
  <c r="V147" i="17"/>
  <c r="AQ147" i="17" s="1"/>
  <c r="R155" i="17"/>
  <c r="L135" i="17"/>
  <c r="S155" i="17"/>
  <c r="AP155" i="17" s="1"/>
  <c r="V117" i="17"/>
  <c r="AQ117" i="17" s="1"/>
  <c r="V136" i="17"/>
  <c r="AQ136" i="17" s="1"/>
  <c r="P147" i="17"/>
  <c r="P153" i="17"/>
  <c r="N160" i="17"/>
  <c r="S131" i="17"/>
  <c r="AP131" i="17" s="1"/>
  <c r="U144" i="17"/>
  <c r="U151" i="17"/>
  <c r="M169" i="17"/>
  <c r="AD169" i="17" s="1"/>
  <c r="AL169" i="17" s="1"/>
  <c r="N235" i="17"/>
  <c r="L235" i="17"/>
  <c r="H76" i="14"/>
  <c r="V197" i="17"/>
  <c r="AQ197" i="17" s="1"/>
  <c r="Q197" i="17"/>
  <c r="H71" i="14"/>
  <c r="M309" i="17"/>
  <c r="AD309" i="17" s="1"/>
  <c r="AL309" i="17" s="1"/>
  <c r="V245" i="17"/>
  <c r="AQ245" i="17" s="1"/>
  <c r="Q245" i="17"/>
  <c r="O230" i="17"/>
  <c r="V171" i="17"/>
  <c r="AQ171" i="17" s="1"/>
  <c r="U44" i="17"/>
  <c r="U28" i="17"/>
  <c r="U59" i="17"/>
  <c r="U61" i="17"/>
  <c r="J85" i="14"/>
  <c r="L59" i="14"/>
  <c r="P240" i="17"/>
  <c r="L192" i="17"/>
  <c r="O192" i="17"/>
  <c r="J70" i="14"/>
  <c r="J43" i="14"/>
  <c r="O244" i="17"/>
  <c r="P196" i="17"/>
  <c r="M196" i="17"/>
  <c r="AD196" i="17" s="1"/>
  <c r="AL196" i="17" s="1"/>
  <c r="Q52" i="17"/>
  <c r="M69" i="17"/>
  <c r="AD69" i="17" s="1"/>
  <c r="AL69" i="17" s="1"/>
  <c r="M77" i="17"/>
  <c r="AD77" i="17" s="1"/>
  <c r="AL77" i="17" s="1"/>
  <c r="S43" i="17"/>
  <c r="AP43" i="17" s="1"/>
  <c r="AR43" i="17" s="1"/>
  <c r="V59" i="17"/>
  <c r="AQ59" i="17" s="1"/>
  <c r="N69" i="17"/>
  <c r="V75" i="17"/>
  <c r="AQ75" i="17" s="1"/>
  <c r="S27" i="17"/>
  <c r="AP27" i="17" s="1"/>
  <c r="Q64" i="17"/>
  <c r="V51" i="17"/>
  <c r="AQ51" i="17" s="1"/>
  <c r="N68" i="17"/>
  <c r="L81" i="17"/>
  <c r="M64" i="17"/>
  <c r="AD64" i="17" s="1"/>
  <c r="AL64" i="17" s="1"/>
  <c r="N79" i="17"/>
  <c r="V88" i="17"/>
  <c r="AQ88" i="17" s="1"/>
  <c r="T95" i="17"/>
  <c r="AH95" i="17" s="1"/>
  <c r="P101" i="17"/>
  <c r="P71" i="17"/>
  <c r="P81" i="17"/>
  <c r="U89" i="17"/>
  <c r="U97" i="17"/>
  <c r="R64" i="17"/>
  <c r="T75" i="17"/>
  <c r="AH75" i="17" s="1"/>
  <c r="L84" i="17"/>
  <c r="V91" i="17"/>
  <c r="AQ91" i="17" s="1"/>
  <c r="V97" i="17"/>
  <c r="AQ97" i="17" s="1"/>
  <c r="T71" i="17"/>
  <c r="AH71" i="17" s="1"/>
  <c r="P89" i="17"/>
  <c r="R103" i="17"/>
  <c r="R109" i="17"/>
  <c r="R117" i="17"/>
  <c r="T124" i="17"/>
  <c r="AH124" i="17" s="1"/>
  <c r="V73" i="17"/>
  <c r="AQ73" i="17" s="1"/>
  <c r="R89" i="17"/>
  <c r="L103" i="17"/>
  <c r="T109" i="17"/>
  <c r="AH109" i="17" s="1"/>
  <c r="S25" i="17"/>
  <c r="AP25" i="17" s="1"/>
  <c r="Q77" i="17"/>
  <c r="S100" i="17"/>
  <c r="AP100" i="17" s="1"/>
  <c r="M109" i="17"/>
  <c r="AD109" i="17" s="1"/>
  <c r="AL109" i="17" s="1"/>
  <c r="M117" i="17"/>
  <c r="AD117" i="17" s="1"/>
  <c r="Q97" i="17"/>
  <c r="O235" i="17"/>
  <c r="M235" i="17"/>
  <c r="AD235" i="17" s="1"/>
  <c r="AL235" i="17" s="1"/>
  <c r="E73" i="14"/>
  <c r="R197" i="17"/>
  <c r="E94" i="14"/>
  <c r="E68" i="14"/>
  <c r="N309" i="17"/>
  <c r="S245" i="17"/>
  <c r="AP245" i="17" s="1"/>
  <c r="R230" i="17"/>
  <c r="Q230" i="17"/>
  <c r="N171" i="17"/>
  <c r="U52" i="17"/>
  <c r="U40" i="17"/>
  <c r="U47" i="17"/>
  <c r="U45" i="17"/>
  <c r="F82" i="14"/>
  <c r="C54" i="14"/>
  <c r="L240" i="17"/>
  <c r="T192" i="17"/>
  <c r="AH192" i="17" s="1"/>
  <c r="G96" i="14"/>
  <c r="G67" i="14"/>
  <c r="J41" i="14"/>
  <c r="S332" i="17"/>
  <c r="AP332" i="17" s="1"/>
  <c r="P244" i="17"/>
  <c r="R196" i="17"/>
  <c r="N110" i="17"/>
  <c r="S60" i="17"/>
  <c r="AP60" i="17" s="1"/>
  <c r="U69" i="17"/>
  <c r="U77" i="17"/>
  <c r="V48" i="17"/>
  <c r="AQ48" i="17" s="1"/>
  <c r="AR48" i="17" s="1"/>
  <c r="R61" i="17"/>
  <c r="V69" i="17"/>
  <c r="AQ69" i="17" s="1"/>
  <c r="P76" i="17"/>
  <c r="V47" i="17"/>
  <c r="AQ47" i="17" s="1"/>
  <c r="AR47" i="17" s="1"/>
  <c r="S65" i="17"/>
  <c r="AP65" i="17" s="1"/>
  <c r="Q76" i="17"/>
  <c r="V60" i="17"/>
  <c r="AQ60" i="17" s="1"/>
  <c r="N72" i="17"/>
  <c r="S83" i="17"/>
  <c r="AP83" i="17" s="1"/>
  <c r="S91" i="17"/>
  <c r="AP91" i="17" s="1"/>
  <c r="M100" i="17"/>
  <c r="AD100" i="17" s="1"/>
  <c r="AL100" i="17" s="1"/>
  <c r="T65" i="17"/>
  <c r="AH65" i="17" s="1"/>
  <c r="M80" i="17"/>
  <c r="AD80" i="17" s="1"/>
  <c r="AL80" i="17" s="1"/>
  <c r="L89" i="17"/>
  <c r="N96" i="17"/>
  <c r="S44" i="17"/>
  <c r="AP44" i="17" s="1"/>
  <c r="P72" i="17"/>
  <c r="L83" i="17"/>
  <c r="M91" i="17"/>
  <c r="AD91" i="17" s="1"/>
  <c r="AL91" i="17" s="1"/>
  <c r="Q99" i="17"/>
  <c r="V65" i="17"/>
  <c r="AQ65" i="17" s="1"/>
  <c r="N76" i="17"/>
  <c r="T84" i="17"/>
  <c r="AH84" i="17" s="1"/>
  <c r="L92" i="17"/>
  <c r="R99" i="17"/>
  <c r="V72" i="17"/>
  <c r="AQ72" i="17" s="1"/>
  <c r="N92" i="17"/>
  <c r="P104" i="17"/>
  <c r="R111" i="17"/>
  <c r="R119" i="17"/>
  <c r="N125" i="17"/>
  <c r="L75" i="17"/>
  <c r="P92" i="17"/>
  <c r="T103" i="17"/>
  <c r="AH103" i="17" s="1"/>
  <c r="L111" i="17"/>
  <c r="V44" i="17"/>
  <c r="AQ44" i="17" s="1"/>
  <c r="U81" i="17"/>
  <c r="U101" i="17"/>
  <c r="U109" i="17"/>
  <c r="U117" i="17"/>
  <c r="S8" i="17"/>
  <c r="AP8" i="17" s="1"/>
  <c r="V84" i="17"/>
  <c r="AQ84" i="17" s="1"/>
  <c r="V99" i="17"/>
  <c r="AQ99" i="17" s="1"/>
  <c r="R105" i="17"/>
  <c r="T112" i="17"/>
  <c r="AH112" i="17" s="1"/>
  <c r="U131" i="17"/>
  <c r="M123" i="17"/>
  <c r="AD123" i="17" s="1"/>
  <c r="AL123" i="17" s="1"/>
  <c r="P121" i="17"/>
  <c r="U107" i="17"/>
  <c r="R91" i="17"/>
  <c r="T148" i="17"/>
  <c r="AH148" i="17" s="1"/>
  <c r="T137" i="17"/>
  <c r="AH137" i="17" s="1"/>
  <c r="Q120" i="17"/>
  <c r="P161" i="17"/>
  <c r="L144" i="17"/>
  <c r="Q159" i="17"/>
  <c r="Q149" i="17"/>
  <c r="M172" i="17"/>
  <c r="AD172" i="17" s="1"/>
  <c r="AL172" i="17" s="1"/>
  <c r="P183" i="17"/>
  <c r="T195" i="17"/>
  <c r="AH195" i="17" s="1"/>
  <c r="V208" i="17"/>
  <c r="AQ208" i="17" s="1"/>
  <c r="L217" i="17"/>
  <c r="T223" i="17"/>
  <c r="AH223" i="17" s="1"/>
  <c r="S71" i="17"/>
  <c r="AP71" i="17" s="1"/>
  <c r="P145" i="17"/>
  <c r="U177" i="17"/>
  <c r="S190" i="17"/>
  <c r="AP190" i="17" s="1"/>
  <c r="M203" i="17"/>
  <c r="AD203" i="17" s="1"/>
  <c r="AL203" i="17" s="1"/>
  <c r="S212" i="17"/>
  <c r="AP212" i="17" s="1"/>
  <c r="O222" i="17"/>
  <c r="U231" i="17"/>
  <c r="T121" i="17"/>
  <c r="AH121" i="17" s="1"/>
  <c r="T167" i="17"/>
  <c r="AH167" i="17" s="1"/>
  <c r="V177" i="17"/>
  <c r="AQ177" i="17" s="1"/>
  <c r="P188" i="17"/>
  <c r="L198" i="17"/>
  <c r="R207" i="17"/>
  <c r="P214" i="17"/>
  <c r="N223" i="17"/>
  <c r="R148" i="17"/>
  <c r="V167" i="17"/>
  <c r="AQ167" i="17" s="1"/>
  <c r="P179" i="17"/>
  <c r="T185" i="17"/>
  <c r="AH185" i="17" s="1"/>
  <c r="N198" i="17"/>
  <c r="T207" i="17"/>
  <c r="AH207" i="17" s="1"/>
  <c r="R216" i="17"/>
  <c r="R222" i="17"/>
  <c r="P231" i="17"/>
  <c r="N238" i="17"/>
  <c r="M136" i="17"/>
  <c r="AD136" i="17" s="1"/>
  <c r="AL136" i="17" s="1"/>
  <c r="L164" i="17"/>
  <c r="O176" i="17"/>
  <c r="Q189" i="17"/>
  <c r="S207" i="17"/>
  <c r="AP207" i="17" s="1"/>
  <c r="U220" i="17"/>
  <c r="R231" i="17"/>
  <c r="S241" i="17"/>
  <c r="AP241" i="17" s="1"/>
  <c r="M250" i="17"/>
  <c r="AD250" i="17" s="1"/>
  <c r="AL250" i="17" s="1"/>
  <c r="Q260" i="17"/>
  <c r="U79" i="17"/>
  <c r="N151" i="17"/>
  <c r="M188" i="17"/>
  <c r="AD188" i="17" s="1"/>
  <c r="AL188" i="17" s="1"/>
  <c r="U207" i="17"/>
  <c r="O221" i="17"/>
  <c r="Q232" i="17"/>
  <c r="P239" i="17"/>
  <c r="P247" i="17"/>
  <c r="R256" i="17"/>
  <c r="N264" i="17"/>
  <c r="R268" i="17"/>
  <c r="V104" i="17"/>
  <c r="AQ104" i="17" s="1"/>
  <c r="P167" i="17"/>
  <c r="S189" i="17"/>
  <c r="AP189" i="17" s="1"/>
  <c r="Q209" i="17"/>
  <c r="S225" i="17"/>
  <c r="AP225" i="17" s="1"/>
  <c r="O234" i="17"/>
  <c r="U241" i="17"/>
  <c r="O252" i="17"/>
  <c r="M261" i="17"/>
  <c r="AD261" i="17" s="1"/>
  <c r="AL261" i="17" s="1"/>
  <c r="S268" i="17"/>
  <c r="AP268" i="17" s="1"/>
  <c r="Q156" i="17"/>
  <c r="T175" i="17"/>
  <c r="AH175" i="17" s="1"/>
  <c r="S194" i="17"/>
  <c r="AP194" i="17" s="1"/>
  <c r="M214" i="17"/>
  <c r="AD214" i="17" s="1"/>
  <c r="AL214" i="17" s="1"/>
  <c r="V233" i="17"/>
  <c r="AQ233" i="17" s="1"/>
  <c r="N241" i="17"/>
  <c r="L248" i="17"/>
  <c r="R257" i="17"/>
  <c r="P264" i="17"/>
  <c r="R269" i="17"/>
  <c r="L276" i="17"/>
  <c r="V281" i="17"/>
  <c r="AQ281" i="17" s="1"/>
  <c r="R168" i="17"/>
  <c r="U216" i="17"/>
  <c r="V247" i="17"/>
  <c r="AQ247" i="17" s="1"/>
  <c r="M268" i="17"/>
  <c r="AD268" i="17" s="1"/>
  <c r="AL268" i="17" s="1"/>
  <c r="R278" i="17"/>
  <c r="U286" i="17"/>
  <c r="S293" i="17"/>
  <c r="AP293" i="17" s="1"/>
  <c r="U300" i="17"/>
  <c r="O307" i="17"/>
  <c r="Q316" i="17"/>
  <c r="T152" i="17"/>
  <c r="AH152" i="17" s="1"/>
  <c r="V199" i="17"/>
  <c r="AQ199" i="17" s="1"/>
  <c r="R237" i="17"/>
  <c r="P256" i="17"/>
  <c r="N268" i="17"/>
  <c r="S278" i="17"/>
  <c r="AP278" i="17" s="1"/>
  <c r="Q285" i="17"/>
  <c r="V290" i="17"/>
  <c r="AQ290" i="17" s="1"/>
  <c r="R296" i="17"/>
  <c r="T301" i="17"/>
  <c r="AH301" i="17" s="1"/>
  <c r="Q204" i="17"/>
  <c r="P228" i="17"/>
  <c r="O248" i="17"/>
  <c r="M260" i="17"/>
  <c r="AD260" i="17" s="1"/>
  <c r="AL260" i="17" s="1"/>
  <c r="N269" i="17"/>
  <c r="T279" i="17"/>
  <c r="AH279" i="17" s="1"/>
  <c r="S288" i="17"/>
  <c r="AP288" i="17" s="1"/>
  <c r="Q295" i="17"/>
  <c r="S304" i="17"/>
  <c r="AP304" i="17" s="1"/>
  <c r="L184" i="17"/>
  <c r="O216" i="17"/>
  <c r="Q234" i="17"/>
  <c r="M65" i="17"/>
  <c r="AD65" i="17" s="1"/>
  <c r="AL65" i="17" s="1"/>
  <c r="Q139" i="17"/>
  <c r="V129" i="17"/>
  <c r="AQ129" i="17" s="1"/>
  <c r="P131" i="17"/>
  <c r="Q119" i="17"/>
  <c r="U113" i="17"/>
  <c r="L156" i="17"/>
  <c r="M148" i="17"/>
  <c r="AD148" i="17" s="1"/>
  <c r="AL148" i="17" s="1"/>
  <c r="V137" i="17"/>
  <c r="AQ137" i="17" s="1"/>
  <c r="Q111" i="17"/>
  <c r="M145" i="17"/>
  <c r="AD145" i="17" s="1"/>
  <c r="AL145" i="17" s="1"/>
  <c r="Q161" i="17"/>
  <c r="M85" i="17"/>
  <c r="AD85" i="17" s="1"/>
  <c r="AL85" i="17" s="1"/>
  <c r="R153" i="17"/>
  <c r="V172" i="17"/>
  <c r="AQ172" i="17" s="1"/>
  <c r="P185" i="17"/>
  <c r="R198" i="17"/>
  <c r="T209" i="17"/>
  <c r="AH209" i="17" s="1"/>
  <c r="T217" i="17"/>
  <c r="AH217" i="17" s="1"/>
  <c r="R226" i="17"/>
  <c r="Q104" i="17"/>
  <c r="U147" i="17"/>
  <c r="R165" i="17"/>
  <c r="Q193" i="17"/>
  <c r="U203" i="17"/>
  <c r="Q213" i="17"/>
  <c r="M223" i="17"/>
  <c r="AD223" i="17" s="1"/>
  <c r="AL223" i="17" s="1"/>
  <c r="S232" i="17"/>
  <c r="AP232" i="17" s="1"/>
  <c r="Q132" i="17"/>
  <c r="T153" i="17"/>
  <c r="AH153" i="17" s="1"/>
  <c r="L168" i="17"/>
  <c r="N179" i="17"/>
  <c r="N189" i="17"/>
  <c r="T198" i="17"/>
  <c r="AH198" i="17" s="1"/>
  <c r="P208" i="17"/>
  <c r="N217" i="17"/>
  <c r="V223" i="17"/>
  <c r="AQ223" i="17" s="1"/>
  <c r="S125" i="17"/>
  <c r="AP125" i="17" s="1"/>
  <c r="U152" i="17"/>
  <c r="N168" i="17"/>
  <c r="N180" i="17"/>
  <c r="R188" i="17"/>
  <c r="L199" i="17"/>
  <c r="R208" i="17"/>
  <c r="P217" i="17"/>
  <c r="P223" i="17"/>
  <c r="N232" i="17"/>
  <c r="V238" i="17"/>
  <c r="AQ238" i="17" s="1"/>
  <c r="L143" i="17"/>
  <c r="V165" i="17"/>
  <c r="AQ165" i="17" s="1"/>
  <c r="Q177" i="17"/>
  <c r="L194" i="17"/>
  <c r="U208" i="17"/>
  <c r="V221" i="17"/>
  <c r="AQ221" i="17" s="1"/>
  <c r="P232" i="17"/>
  <c r="M242" i="17"/>
  <c r="AD242" i="17" s="1"/>
  <c r="AL242" i="17" s="1"/>
  <c r="U250" i="17"/>
  <c r="O261" i="17"/>
  <c r="T113" i="17"/>
  <c r="AH113" i="17" s="1"/>
  <c r="V151" i="17"/>
  <c r="AQ151" i="17" s="1"/>
  <c r="M176" i="17"/>
  <c r="AD176" i="17" s="1"/>
  <c r="AL176" i="17" s="1"/>
  <c r="R189" i="17"/>
  <c r="O209" i="17"/>
  <c r="L222" i="17"/>
  <c r="S233" i="17"/>
  <c r="AP233" i="17" s="1"/>
  <c r="L241" i="17"/>
  <c r="R248" i="17"/>
  <c r="P257" i="17"/>
  <c r="V264" i="17"/>
  <c r="AQ264" i="17" s="1"/>
  <c r="P269" i="17"/>
  <c r="Q124" i="17"/>
  <c r="S169" i="17"/>
  <c r="AP169" i="17" s="1"/>
  <c r="M193" i="17"/>
  <c r="AD193" i="17" s="1"/>
  <c r="AL193" i="17" s="1"/>
  <c r="P212" i="17"/>
  <c r="U226" i="17"/>
  <c r="L236" i="17"/>
  <c r="M243" i="17"/>
  <c r="AD243" i="17" s="1"/>
  <c r="AL243" i="17" s="1"/>
  <c r="Q255" i="17"/>
  <c r="U261" i="17"/>
  <c r="Q269" i="17"/>
  <c r="V157" i="17"/>
  <c r="AQ157" i="17" s="1"/>
  <c r="Q176" i="17"/>
  <c r="S199" i="17"/>
  <c r="AP199" i="17" s="1"/>
  <c r="T216" i="17"/>
  <c r="AH216" i="17" s="1"/>
  <c r="P234" i="17"/>
  <c r="V241" i="17"/>
  <c r="AQ241" i="17" s="1"/>
  <c r="T248" i="17"/>
  <c r="AH248" i="17" s="1"/>
  <c r="N259" i="17"/>
  <c r="N265" i="17"/>
  <c r="P270" i="17"/>
  <c r="T276" i="17"/>
  <c r="AH276" i="17" s="1"/>
  <c r="R283" i="17"/>
  <c r="L136" i="17"/>
  <c r="P180" i="17"/>
  <c r="M227" i="17"/>
  <c r="AD227" i="17" s="1"/>
  <c r="AL227" i="17" s="1"/>
  <c r="Q252" i="17"/>
  <c r="L269" i="17"/>
  <c r="R279" i="17"/>
  <c r="S287" i="17"/>
  <c r="AP287" i="17" s="1"/>
  <c r="Q294" i="17"/>
  <c r="S301" i="17"/>
  <c r="AP301" i="17" s="1"/>
  <c r="Q308" i="17"/>
  <c r="O317" i="17"/>
  <c r="R159" i="17"/>
  <c r="N207" i="17"/>
  <c r="V239" i="17"/>
  <c r="AQ239" i="17" s="1"/>
  <c r="V257" i="17"/>
  <c r="AQ257" i="17" s="1"/>
  <c r="M269" i="17"/>
  <c r="AD269" i="17" s="1"/>
  <c r="AL269" i="17" s="1"/>
  <c r="S279" i="17"/>
  <c r="AP279" i="17" s="1"/>
  <c r="N286" i="17"/>
  <c r="P291" i="17"/>
  <c r="P297" i="17"/>
  <c r="N302" i="17"/>
  <c r="R137" i="17"/>
  <c r="O207" i="17"/>
  <c r="L232" i="17"/>
  <c r="Q250" i="17"/>
  <c r="Q261" i="17"/>
  <c r="L270" i="17"/>
  <c r="N280" i="17"/>
  <c r="Q289" i="17"/>
  <c r="S296" i="17"/>
  <c r="AP296" i="17" s="1"/>
  <c r="M305" i="17"/>
  <c r="AD305" i="17" s="1"/>
  <c r="AL305" i="17" s="1"/>
  <c r="S188" i="17"/>
  <c r="AP188" i="17" s="1"/>
  <c r="N219" i="17"/>
  <c r="P238" i="17"/>
  <c r="T252" i="17"/>
  <c r="AH252" i="17" s="1"/>
  <c r="T264" i="17"/>
  <c r="AH264" i="17" s="1"/>
  <c r="R273" i="17"/>
  <c r="O280" i="17"/>
  <c r="V287" i="17"/>
  <c r="AQ287" i="17" s="1"/>
  <c r="V293" i="17"/>
  <c r="AQ293" i="17" s="1"/>
  <c r="R299" i="17"/>
  <c r="V305" i="17"/>
  <c r="AQ305" i="17" s="1"/>
  <c r="P312" i="17"/>
  <c r="Q136" i="17"/>
  <c r="U176" i="17"/>
  <c r="O237" i="17"/>
  <c r="S213" i="17"/>
  <c r="AP213" i="17" s="1"/>
  <c r="U247" i="17"/>
  <c r="Q96" i="17"/>
  <c r="U188" i="17"/>
  <c r="Q238" i="17"/>
  <c r="M184" i="17"/>
  <c r="AD184" i="17" s="1"/>
  <c r="AL184" i="17" s="1"/>
  <c r="N185" i="17"/>
  <c r="N257" i="17"/>
  <c r="M284" i="17"/>
  <c r="AD284" i="17" s="1"/>
  <c r="AL284" i="17" s="1"/>
  <c r="U296" i="17"/>
  <c r="P308" i="17"/>
  <c r="O318" i="17"/>
  <c r="P324" i="17"/>
  <c r="R329" i="17"/>
  <c r="L336" i="17"/>
  <c r="N341" i="17"/>
  <c r="O346" i="17"/>
  <c r="U164" i="17"/>
  <c r="O259" i="17"/>
  <c r="V87" i="17"/>
  <c r="AQ87" i="17" s="1"/>
  <c r="O140" i="17"/>
  <c r="N131" i="17"/>
  <c r="N132" i="17"/>
  <c r="M120" i="17"/>
  <c r="AD120" i="17" s="1"/>
  <c r="AL120" i="17" s="1"/>
  <c r="S116" i="17"/>
  <c r="AP116" i="17" s="1"/>
  <c r="T156" i="17"/>
  <c r="AH156" i="17" s="1"/>
  <c r="U148" i="17"/>
  <c r="L140" i="17"/>
  <c r="U120" i="17"/>
  <c r="V145" i="17"/>
  <c r="AQ145" i="17" s="1"/>
  <c r="M163" i="17"/>
  <c r="AD163" i="17" s="1"/>
  <c r="AL163" i="17" s="1"/>
  <c r="S159" i="17"/>
  <c r="AP159" i="17" s="1"/>
  <c r="N173" i="17"/>
  <c r="N188" i="17"/>
  <c r="N200" i="17"/>
  <c r="L211" i="17"/>
  <c r="R218" i="17"/>
  <c r="P227" i="17"/>
  <c r="M108" i="17"/>
  <c r="AD108" i="17" s="1"/>
  <c r="AL108" i="17" s="1"/>
  <c r="V149" i="17"/>
  <c r="AQ149" i="17" s="1"/>
  <c r="S167" i="17"/>
  <c r="AP167" i="17" s="1"/>
  <c r="U179" i="17"/>
  <c r="O194" i="17"/>
  <c r="S204" i="17"/>
  <c r="AP204" i="17" s="1"/>
  <c r="O214" i="17"/>
  <c r="U223" i="17"/>
  <c r="U68" i="17"/>
  <c r="R135" i="17"/>
  <c r="Q157" i="17"/>
  <c r="U168" i="17"/>
  <c r="V179" i="17"/>
  <c r="AQ179" i="17" s="1"/>
  <c r="V189" i="17"/>
  <c r="AQ189" i="17" s="1"/>
  <c r="R199" i="17"/>
  <c r="V209" i="17"/>
  <c r="AQ209" i="17" s="1"/>
  <c r="V217" i="17"/>
  <c r="AQ217" i="17" s="1"/>
  <c r="R225" i="17"/>
  <c r="L127" i="17"/>
  <c r="P156" i="17"/>
  <c r="P169" i="17"/>
  <c r="V180" i="17"/>
  <c r="AQ180" i="17" s="1"/>
  <c r="N190" i="17"/>
  <c r="T199" i="17"/>
  <c r="AH199" i="17" s="1"/>
  <c r="P209" i="17"/>
  <c r="N218" i="17"/>
  <c r="L225" i="17"/>
  <c r="V232" i="17"/>
  <c r="AQ232" i="17" s="1"/>
  <c r="R83" i="17"/>
  <c r="V144" i="17"/>
  <c r="AQ144" i="17" s="1"/>
  <c r="N167" i="17"/>
  <c r="Q180" i="17"/>
  <c r="R195" i="17"/>
  <c r="O211" i="17"/>
  <c r="Q223" i="17"/>
  <c r="R233" i="17"/>
  <c r="O242" i="17"/>
  <c r="M252" i="17"/>
  <c r="AD252" i="17" s="1"/>
  <c r="AL252" i="17" s="1"/>
  <c r="S261" i="17"/>
  <c r="AP261" i="17" s="1"/>
  <c r="P124" i="17"/>
  <c r="R177" i="17"/>
  <c r="M194" i="17"/>
  <c r="AD194" i="17" s="1"/>
  <c r="AL194" i="17" s="1"/>
  <c r="O212" i="17"/>
  <c r="R223" i="17"/>
  <c r="M234" i="17"/>
  <c r="AD234" i="17" s="1"/>
  <c r="AL234" i="17" s="1"/>
  <c r="T241" i="17"/>
  <c r="AH241" i="17" s="1"/>
  <c r="N250" i="17"/>
  <c r="L259" i="17"/>
  <c r="L265" i="17"/>
  <c r="N270" i="17"/>
  <c r="T131" i="17"/>
  <c r="AH131" i="17" s="1"/>
  <c r="T173" i="17"/>
  <c r="AH173" i="17" s="1"/>
  <c r="Q194" i="17"/>
  <c r="L214" i="17"/>
  <c r="V227" i="17"/>
  <c r="AQ227" i="17" s="1"/>
  <c r="U236" i="17"/>
  <c r="U243" i="17"/>
  <c r="O256" i="17"/>
  <c r="Q263" i="17"/>
  <c r="O270" i="17"/>
  <c r="M159" i="17"/>
  <c r="AD159" i="17" s="1"/>
  <c r="AL159" i="17" s="1"/>
  <c r="R179" i="17"/>
  <c r="U200" i="17"/>
  <c r="P218" i="17"/>
  <c r="M236" i="17"/>
  <c r="AD236" i="17" s="1"/>
  <c r="AL236" i="17" s="1"/>
  <c r="P242" i="17"/>
  <c r="P250" i="17"/>
  <c r="V259" i="17"/>
  <c r="AQ259" i="17" s="1"/>
  <c r="V265" i="17"/>
  <c r="AQ265" i="17" s="1"/>
  <c r="R271" i="17"/>
  <c r="P278" i="17"/>
  <c r="P284" i="17"/>
  <c r="N145" i="17"/>
  <c r="P190" i="17"/>
  <c r="L228" i="17"/>
  <c r="L255" i="17"/>
  <c r="U270" i="17"/>
  <c r="U280" i="17"/>
  <c r="Q288" i="17"/>
  <c r="O295" i="17"/>
  <c r="M302" i="17"/>
  <c r="AD302" i="17" s="1"/>
  <c r="AL302" i="17" s="1"/>
  <c r="M310" i="17"/>
  <c r="AD310" i="17" s="1"/>
  <c r="M318" i="17"/>
  <c r="AD318" i="17" s="1"/>
  <c r="AL318" i="17" s="1"/>
  <c r="L163" i="17"/>
  <c r="S208" i="17"/>
  <c r="AP208" i="17" s="1"/>
  <c r="Q241" i="17"/>
  <c r="Q259" i="17"/>
  <c r="N271" i="17"/>
  <c r="M280" i="17"/>
  <c r="AD280" i="17" s="1"/>
  <c r="AL280" i="17" s="1"/>
  <c r="V286" i="17"/>
  <c r="AQ286" i="17" s="1"/>
  <c r="L105" i="17"/>
  <c r="R72" i="17"/>
  <c r="N85" i="17"/>
  <c r="L139" i="17"/>
  <c r="Q127" i="17"/>
  <c r="M101" i="17"/>
  <c r="AD101" i="17" s="1"/>
  <c r="AL101" i="17" s="1"/>
  <c r="M156" i="17"/>
  <c r="AD156" i="17" s="1"/>
  <c r="AL156" i="17" s="1"/>
  <c r="N148" i="17"/>
  <c r="P125" i="17"/>
  <c r="S164" i="17"/>
  <c r="AP164" i="17" s="1"/>
  <c r="M132" i="17"/>
  <c r="AD132" i="17" s="1"/>
  <c r="AL132" i="17" s="1"/>
  <c r="Q160" i="17"/>
  <c r="N176" i="17"/>
  <c r="V188" i="17"/>
  <c r="AQ188" i="17" s="1"/>
  <c r="V202" i="17"/>
  <c r="AQ202" i="17" s="1"/>
  <c r="T211" i="17"/>
  <c r="AH211" i="17" s="1"/>
  <c r="N220" i="17"/>
  <c r="V228" i="17"/>
  <c r="AQ228" i="17" s="1"/>
  <c r="S121" i="17"/>
  <c r="AP121" i="17" s="1"/>
  <c r="S153" i="17"/>
  <c r="AP153" i="17" s="1"/>
  <c r="L169" i="17"/>
  <c r="S180" i="17"/>
  <c r="AP180" i="17" s="1"/>
  <c r="M195" i="17"/>
  <c r="AD195" i="17" s="1"/>
  <c r="AL195" i="17" s="1"/>
  <c r="Q207" i="17"/>
  <c r="M217" i="17"/>
  <c r="AD217" i="17" s="1"/>
  <c r="AL217" i="17" s="1"/>
  <c r="O226" i="17"/>
  <c r="AJ226" i="17" s="1"/>
  <c r="T79" i="17"/>
  <c r="AH79" i="17" s="1"/>
  <c r="R139" i="17"/>
  <c r="U159" i="17"/>
  <c r="N169" i="17"/>
  <c r="L180" i="17"/>
  <c r="L190" i="17"/>
  <c r="P202" i="17"/>
  <c r="N211" i="17"/>
  <c r="L218" i="17"/>
  <c r="L226" i="17"/>
  <c r="T128" i="17"/>
  <c r="AH128" i="17" s="1"/>
  <c r="R161" i="17"/>
  <c r="Q172" i="17"/>
  <c r="T181" i="17"/>
  <c r="AH181" i="17" s="1"/>
  <c r="V190" i="17"/>
  <c r="AQ190" i="17" s="1"/>
  <c r="R200" i="17"/>
  <c r="P211" i="17"/>
  <c r="V218" i="17"/>
  <c r="AQ218" i="17" s="1"/>
  <c r="T225" i="17"/>
  <c r="AH225" i="17" s="1"/>
  <c r="L233" i="17"/>
  <c r="N93" i="17"/>
  <c r="Q169" i="17"/>
  <c r="O183" i="17"/>
  <c r="U198" i="17"/>
  <c r="M212" i="17"/>
  <c r="AD212" i="17" s="1"/>
  <c r="AL212" i="17" s="1"/>
  <c r="N225" i="17"/>
  <c r="L234" i="17"/>
  <c r="U242" i="17"/>
  <c r="U252" i="17"/>
  <c r="O263" i="17"/>
  <c r="V135" i="17"/>
  <c r="AQ135" i="17" s="1"/>
  <c r="V163" i="17"/>
  <c r="AQ163" i="17" s="1"/>
  <c r="U180" i="17"/>
  <c r="S195" i="17"/>
  <c r="AP195" i="17" s="1"/>
  <c r="V213" i="17"/>
  <c r="AQ213" i="17" s="1"/>
  <c r="O225" i="17"/>
  <c r="T236" i="17"/>
  <c r="AH236" i="17" s="1"/>
  <c r="N242" i="17"/>
  <c r="V250" i="17"/>
  <c r="AQ250" i="17" s="1"/>
  <c r="T259" i="17"/>
  <c r="AH259" i="17" s="1"/>
  <c r="T265" i="17"/>
  <c r="AH265" i="17" s="1"/>
  <c r="V270" i="17"/>
  <c r="AQ270" i="17" s="1"/>
  <c r="N137" i="17"/>
  <c r="P175" i="17"/>
  <c r="O199" i="17"/>
  <c r="S216" i="17"/>
  <c r="AP216" i="17" s="1"/>
  <c r="T228" i="17"/>
  <c r="AH228" i="17" s="1"/>
  <c r="M237" i="17"/>
  <c r="AD237" i="17" s="1"/>
  <c r="AL237" i="17" s="1"/>
  <c r="S246" i="17"/>
  <c r="AP246" i="17" s="1"/>
  <c r="S256" i="17"/>
  <c r="AP256" i="17" s="1"/>
  <c r="O264" i="17"/>
  <c r="Q271" i="17"/>
  <c r="L160" i="17"/>
  <c r="T202" i="17"/>
  <c r="AH202" i="17" s="1"/>
  <c r="L220" i="17"/>
  <c r="O236" i="17"/>
  <c r="N243" i="17"/>
  <c r="R251" i="17"/>
  <c r="L260" i="17"/>
  <c r="P266" i="17"/>
  <c r="N273" i="17"/>
  <c r="N279" i="17"/>
  <c r="N285" i="17"/>
  <c r="L152" i="17"/>
  <c r="V193" i="17"/>
  <c r="AQ193" i="17" s="1"/>
  <c r="Q237" i="17"/>
  <c r="U257" i="17"/>
  <c r="M271" i="17"/>
  <c r="AD271" i="17" s="1"/>
  <c r="AL271" i="17" s="1"/>
  <c r="R281" i="17"/>
  <c r="O289" i="17"/>
  <c r="Q296" i="17"/>
  <c r="O302" i="17"/>
  <c r="U310" i="17"/>
  <c r="U318" i="17"/>
  <c r="V168" i="17"/>
  <c r="AQ168" i="17" s="1"/>
  <c r="Q214" i="17"/>
  <c r="S242" i="17"/>
  <c r="AP242" i="17" s="1"/>
  <c r="P261" i="17"/>
  <c r="S271" i="17"/>
  <c r="AP271" i="17" s="1"/>
  <c r="V280" i="17"/>
  <c r="AQ280" i="17" s="1"/>
  <c r="L287" i="17"/>
  <c r="V292" i="17"/>
  <c r="AQ292" i="17" s="1"/>
  <c r="V298" i="17"/>
  <c r="AQ298" i="17" s="1"/>
  <c r="R304" i="17"/>
  <c r="Q163" i="17"/>
  <c r="M213" i="17"/>
  <c r="AD213" i="17" s="1"/>
  <c r="AL213" i="17" s="1"/>
  <c r="S237" i="17"/>
  <c r="AP237" i="17" s="1"/>
  <c r="S252" i="17"/>
  <c r="AP252" i="17" s="1"/>
  <c r="S264" i="17"/>
  <c r="AP264" i="17" s="1"/>
  <c r="Q273" i="17"/>
  <c r="P283" i="17"/>
  <c r="Q291" i="17"/>
  <c r="O298" i="17"/>
  <c r="P83" i="17"/>
  <c r="P198" i="17"/>
  <c r="S222" i="17"/>
  <c r="AP222" i="17" s="1"/>
  <c r="O239" i="17"/>
  <c r="N256" i="17"/>
  <c r="Q266" i="17"/>
  <c r="T275" i="17"/>
  <c r="AH275" i="17" s="1"/>
  <c r="U281" i="17"/>
  <c r="T288" i="17"/>
  <c r="AH288" i="17" s="1"/>
  <c r="T294" i="17"/>
  <c r="AH294" i="17" s="1"/>
  <c r="N301" i="17"/>
  <c r="T306" i="17"/>
  <c r="AH306" i="17" s="1"/>
  <c r="V313" i="17"/>
  <c r="AQ313" i="17" s="1"/>
  <c r="S147" i="17"/>
  <c r="AP147" i="17" s="1"/>
  <c r="O191" i="17"/>
  <c r="N247" i="17"/>
  <c r="M221" i="17"/>
  <c r="AD221" i="17" s="1"/>
  <c r="P248" i="17"/>
  <c r="N141" i="17"/>
  <c r="M208" i="17"/>
  <c r="AD208" i="17" s="1"/>
  <c r="AL208" i="17" s="1"/>
  <c r="N248" i="17"/>
  <c r="O217" i="17"/>
  <c r="R211" i="17"/>
  <c r="U273" i="17"/>
  <c r="T286" i="17"/>
  <c r="AH286" i="17" s="1"/>
  <c r="V299" i="17"/>
  <c r="AQ299" i="17" s="1"/>
  <c r="S311" i="17"/>
  <c r="AP311" i="17" s="1"/>
  <c r="S320" i="17"/>
  <c r="AP320" i="17" s="1"/>
  <c r="V325" i="17"/>
  <c r="AQ325" i="17" s="1"/>
  <c r="P332" i="17"/>
  <c r="R337" i="17"/>
  <c r="L342" i="17"/>
  <c r="R347" i="17"/>
  <c r="M107" i="17"/>
  <c r="AD107" i="17" s="1"/>
  <c r="AL107" i="17" s="1"/>
  <c r="U76" i="17"/>
  <c r="Q89" i="17"/>
  <c r="T139" i="17"/>
  <c r="AH139" i="17" s="1"/>
  <c r="S128" i="17"/>
  <c r="AP128" i="17" s="1"/>
  <c r="M128" i="17"/>
  <c r="AD128" i="17" s="1"/>
  <c r="AL128" i="17" s="1"/>
  <c r="Q101" i="17"/>
  <c r="U156" i="17"/>
  <c r="V148" i="17"/>
  <c r="AQ148" i="17" s="1"/>
  <c r="T129" i="17"/>
  <c r="AH129" i="17" s="1"/>
  <c r="M151" i="17"/>
  <c r="AD151" i="17" s="1"/>
  <c r="AL151" i="17" s="1"/>
  <c r="N136" i="17"/>
  <c r="V161" i="17"/>
  <c r="AQ161" i="17" s="1"/>
  <c r="T177" i="17"/>
  <c r="AH177" i="17" s="1"/>
  <c r="L189" i="17"/>
  <c r="L203" i="17"/>
  <c r="R212" i="17"/>
  <c r="V220" i="17"/>
  <c r="AQ220" i="17" s="1"/>
  <c r="L231" i="17"/>
  <c r="S123" i="17"/>
  <c r="AP123" i="17" s="1"/>
  <c r="V155" i="17"/>
  <c r="AQ155" i="17" s="1"/>
  <c r="V169" i="17"/>
  <c r="AQ169" i="17" s="1"/>
  <c r="Q181" i="17"/>
  <c r="U195" i="17"/>
  <c r="O208" i="17"/>
  <c r="S218" i="17"/>
  <c r="AP218" i="17" s="1"/>
  <c r="S226" i="17"/>
  <c r="AP226" i="17" s="1"/>
  <c r="Q140" i="17"/>
  <c r="S160" i="17"/>
  <c r="AP160" i="17" s="1"/>
  <c r="T180" i="17"/>
  <c r="AH180" i="17" s="1"/>
  <c r="R193" i="17"/>
  <c r="N203" i="17"/>
  <c r="V211" i="17"/>
  <c r="AQ211" i="17" s="1"/>
  <c r="T218" i="17"/>
  <c r="AH218" i="17" s="1"/>
  <c r="T226" i="17"/>
  <c r="AH226" i="17" s="1"/>
  <c r="L129" i="17"/>
  <c r="R163" i="17"/>
  <c r="L175" i="17"/>
  <c r="L183" i="17"/>
  <c r="L193" i="17"/>
  <c r="R202" i="17"/>
  <c r="N212" i="17"/>
  <c r="L219" i="17"/>
  <c r="N226" i="17"/>
  <c r="T233" i="17"/>
  <c r="AH233" i="17" s="1"/>
  <c r="M113" i="17"/>
  <c r="AD113" i="17" s="1"/>
  <c r="AL113" i="17" s="1"/>
  <c r="Q151" i="17"/>
  <c r="U172" i="17"/>
  <c r="T184" i="17"/>
  <c r="AH184" i="17" s="1"/>
  <c r="M199" i="17"/>
  <c r="AD199" i="17" s="1"/>
  <c r="AL199" i="17" s="1"/>
  <c r="U213" i="17"/>
  <c r="M226" i="17"/>
  <c r="AD226" i="17" s="1"/>
  <c r="AL226" i="17" s="1"/>
  <c r="V234" i="17"/>
  <c r="AQ234" i="17" s="1"/>
  <c r="S243" i="17"/>
  <c r="AP243" i="17" s="1"/>
  <c r="O255" i="17"/>
  <c r="M264" i="17"/>
  <c r="AD264" i="17" s="1"/>
  <c r="AL264" i="17" s="1"/>
  <c r="T140" i="17"/>
  <c r="AH140" i="17" s="1"/>
  <c r="M164" i="17"/>
  <c r="AD164" i="17" s="1"/>
  <c r="M181" i="17"/>
  <c r="AD181" i="17" s="1"/>
  <c r="AL181" i="17" s="1"/>
  <c r="N199" i="17"/>
  <c r="M216" i="17"/>
  <c r="AD216" i="17" s="1"/>
  <c r="AL216" i="17" s="1"/>
  <c r="Q226" i="17"/>
  <c r="L237" i="17"/>
  <c r="V242" i="17"/>
  <c r="AQ242" i="17" s="1"/>
  <c r="P251" i="17"/>
  <c r="R260" i="17"/>
  <c r="N266" i="17"/>
  <c r="P271" i="17"/>
  <c r="S148" i="17"/>
  <c r="AP148" i="17" s="1"/>
  <c r="S177" i="17"/>
  <c r="AP177" i="17" s="1"/>
  <c r="T200" i="17"/>
  <c r="AH200" i="17" s="1"/>
  <c r="O218" i="17"/>
  <c r="O231" i="17"/>
  <c r="V237" i="17"/>
  <c r="AQ237" i="17" s="1"/>
  <c r="Q247" i="17"/>
  <c r="Q257" i="17"/>
  <c r="M265" i="17"/>
  <c r="AD265" i="17" s="1"/>
  <c r="AL265" i="17" s="1"/>
  <c r="M273" i="17"/>
  <c r="AD273" i="17" s="1"/>
  <c r="AL273" i="17" s="1"/>
  <c r="R164" i="17"/>
  <c r="V183" i="17"/>
  <c r="AQ183" i="17" s="1"/>
  <c r="P204" i="17"/>
  <c r="Q222" i="17"/>
  <c r="V236" i="17"/>
  <c r="AQ236" i="17" s="1"/>
  <c r="V243" i="17"/>
  <c r="AQ243" i="17" s="1"/>
  <c r="P252" i="17"/>
  <c r="T260" i="17"/>
  <c r="AH260" i="17" s="1"/>
  <c r="N267" i="17"/>
  <c r="V273" i="17"/>
  <c r="AQ273" i="17" s="1"/>
  <c r="V279" i="17"/>
  <c r="AQ279" i="17" s="1"/>
  <c r="V285" i="17"/>
  <c r="AQ285" i="17" s="1"/>
  <c r="U199" i="17"/>
  <c r="U239" i="17"/>
  <c r="P259" i="17"/>
  <c r="O273" i="17"/>
  <c r="N283" i="17"/>
  <c r="M290" i="17"/>
  <c r="AD290" i="17" s="1"/>
  <c r="AL290" i="17" s="1"/>
  <c r="O297" i="17"/>
  <c r="U302" i="17"/>
  <c r="M312" i="17"/>
  <c r="AD312" i="17" s="1"/>
  <c r="AL312" i="17" s="1"/>
  <c r="S319" i="17"/>
  <c r="AP319" i="17" s="1"/>
  <c r="L173" i="17"/>
  <c r="M220" i="17"/>
  <c r="AD220" i="17" s="1"/>
  <c r="AL220" i="17" s="1"/>
  <c r="U246" i="17"/>
  <c r="M263" i="17"/>
  <c r="AD263" i="17" s="1"/>
  <c r="AL263" i="17" s="1"/>
  <c r="P273" i="17"/>
  <c r="O281" i="17"/>
  <c r="T287" i="17"/>
  <c r="AH287" i="17" s="1"/>
  <c r="L293" i="17"/>
  <c r="P299" i="17"/>
  <c r="L305" i="17"/>
  <c r="L167" i="17"/>
  <c r="S214" i="17"/>
  <c r="AP214" i="17" s="1"/>
  <c r="R241" i="17"/>
  <c r="N255" i="17"/>
  <c r="R265" i="17"/>
  <c r="N274" i="17"/>
  <c r="R284" i="17"/>
  <c r="O292" i="17"/>
  <c r="Q299" i="17"/>
  <c r="R147" i="17"/>
  <c r="O223" i="17"/>
  <c r="AI223" i="17" s="1"/>
  <c r="O243" i="17"/>
  <c r="V256" i="17"/>
  <c r="AQ256" i="17" s="1"/>
  <c r="P267" i="17"/>
  <c r="R276" i="17"/>
  <c r="Q283" i="17"/>
  <c r="R289" i="17"/>
  <c r="R295" i="17"/>
  <c r="V301" i="17"/>
  <c r="AQ301" i="17" s="1"/>
  <c r="R307" i="17"/>
  <c r="R315" i="17"/>
  <c r="M153" i="17"/>
  <c r="AD153" i="17" s="1"/>
  <c r="AL153" i="17" s="1"/>
  <c r="S193" i="17"/>
  <c r="AP193" i="17" s="1"/>
  <c r="O251" i="17"/>
  <c r="T186" i="17"/>
  <c r="AH186" i="17" s="1"/>
  <c r="S221" i="17"/>
  <c r="AP221" i="17" s="1"/>
  <c r="S250" i="17"/>
  <c r="AP250" i="17" s="1"/>
  <c r="S156" i="17"/>
  <c r="AP156" i="17" s="1"/>
  <c r="P210" i="17"/>
  <c r="AK210" i="17" s="1"/>
  <c r="N133" i="17"/>
  <c r="U234" i="17"/>
  <c r="U214" i="17"/>
  <c r="P274" i="17"/>
  <c r="U288" i="17"/>
  <c r="Q301" i="17"/>
  <c r="N312" i="17"/>
  <c r="N321" i="17"/>
  <c r="L121" i="17"/>
  <c r="U108" i="17"/>
  <c r="S111" i="17"/>
  <c r="AP111" i="17" s="1"/>
  <c r="L79" i="17"/>
  <c r="O136" i="17"/>
  <c r="V139" i="17"/>
  <c r="AQ139" i="17" s="1"/>
  <c r="V124" i="17"/>
  <c r="AQ124" i="17" s="1"/>
  <c r="L73" i="17"/>
  <c r="L155" i="17"/>
  <c r="S152" i="17"/>
  <c r="AP152" i="17" s="1"/>
  <c r="U169" i="17"/>
  <c r="N143" i="17"/>
  <c r="N163" i="17"/>
  <c r="L179" i="17"/>
  <c r="R190" i="17"/>
  <c r="T203" i="17"/>
  <c r="AH203" i="17" s="1"/>
  <c r="N214" i="17"/>
  <c r="N222" i="17"/>
  <c r="T231" i="17"/>
  <c r="AH231" i="17" s="1"/>
  <c r="R133" i="17"/>
  <c r="T159" i="17"/>
  <c r="AH159" i="17" s="1"/>
  <c r="N172" i="17"/>
  <c r="O184" i="17"/>
  <c r="S198" i="17"/>
  <c r="AP198" i="17" s="1"/>
  <c r="U209" i="17"/>
  <c r="Q219" i="17"/>
  <c r="Q227" i="17"/>
  <c r="U104" i="17"/>
  <c r="V141" i="17"/>
  <c r="AQ141" i="17" s="1"/>
  <c r="M161" i="17"/>
  <c r="AD161" i="17" s="1"/>
  <c r="AL161" i="17" s="1"/>
  <c r="P173" i="17"/>
  <c r="R183" i="17"/>
  <c r="P194" i="17"/>
  <c r="V203" i="17"/>
  <c r="AQ203" i="17" s="1"/>
  <c r="L212" i="17"/>
  <c r="R219" i="17"/>
  <c r="Q83" i="17"/>
  <c r="T135" i="17"/>
  <c r="AH135" i="17" s="1"/>
  <c r="L165" i="17"/>
  <c r="V175" i="17"/>
  <c r="AQ175" i="17" s="1"/>
  <c r="T183" i="17"/>
  <c r="AH183" i="17" s="1"/>
  <c r="T193" i="17"/>
  <c r="AH193" i="17" s="1"/>
  <c r="P203" i="17"/>
  <c r="V212" i="17"/>
  <c r="AQ212" i="17" s="1"/>
  <c r="T219" i="17"/>
  <c r="AH219" i="17" s="1"/>
  <c r="L227" i="17"/>
  <c r="R234" i="17"/>
  <c r="U121" i="17"/>
  <c r="V152" i="17"/>
  <c r="AQ152" i="17" s="1"/>
  <c r="M173" i="17"/>
  <c r="AD173" i="17" s="1"/>
  <c r="AL173" i="17" s="1"/>
  <c r="U185" i="17"/>
  <c r="Q200" i="17"/>
  <c r="L216" i="17"/>
  <c r="P226" i="17"/>
  <c r="S236" i="17"/>
  <c r="AP236" i="17" s="1"/>
  <c r="Q246" i="17"/>
  <c r="Q256" i="17"/>
  <c r="V29" i="17"/>
  <c r="AQ29" i="17" s="1"/>
  <c r="AR29" i="17" s="1"/>
  <c r="V143" i="17"/>
  <c r="AQ143" i="17" s="1"/>
  <c r="S183" i="17"/>
  <c r="AP183" i="17" s="1"/>
  <c r="S200" i="17"/>
  <c r="AP200" i="17" s="1"/>
  <c r="Q216" i="17"/>
  <c r="U227" i="17"/>
  <c r="U237" i="17"/>
  <c r="L243" i="17"/>
  <c r="N252" i="17"/>
  <c r="L261" i="17"/>
  <c r="V266" i="17"/>
  <c r="AQ266" i="17" s="1"/>
  <c r="L273" i="17"/>
  <c r="N157" i="17"/>
  <c r="Q179" i="17"/>
  <c r="S202" i="17"/>
  <c r="AP202" i="17" s="1"/>
  <c r="V219" i="17"/>
  <c r="AQ219" i="17" s="1"/>
  <c r="V231" i="17"/>
  <c r="AQ231" i="17" s="1"/>
  <c r="M238" i="17"/>
  <c r="AD238" i="17" s="1"/>
  <c r="AL238" i="17" s="1"/>
  <c r="S248" i="17"/>
  <c r="AP248" i="17" s="1"/>
  <c r="M259" i="17"/>
  <c r="AD259" i="17" s="1"/>
  <c r="AL259" i="17" s="1"/>
  <c r="U265" i="17"/>
  <c r="O137" i="17"/>
  <c r="U167" i="17"/>
  <c r="Q188" i="17"/>
  <c r="L208" i="17"/>
  <c r="U225" i="17"/>
  <c r="N237" i="17"/>
  <c r="L246" i="17"/>
  <c r="R255" i="17"/>
  <c r="N261" i="17"/>
  <c r="V267" i="17"/>
  <c r="AQ267" i="17" s="1"/>
  <c r="L274" i="17"/>
  <c r="L280" i="17"/>
  <c r="U105" i="17"/>
  <c r="T160" i="17"/>
  <c r="AH160" i="17" s="1"/>
  <c r="M200" i="17"/>
  <c r="AD200" i="17" s="1"/>
  <c r="AL200" i="17" s="1"/>
  <c r="P241" i="17"/>
  <c r="L263" i="17"/>
  <c r="V274" i="17"/>
  <c r="AQ274" i="17" s="1"/>
  <c r="O284" i="17"/>
  <c r="U290" i="17"/>
  <c r="M298" i="17"/>
  <c r="AD298" i="17" s="1"/>
  <c r="AL298" i="17" s="1"/>
  <c r="Q304" i="17"/>
  <c r="U312" i="17"/>
  <c r="Q320" i="17"/>
  <c r="S179" i="17"/>
  <c r="AP179" i="17" s="1"/>
  <c r="N227" i="17"/>
  <c r="L250" i="17"/>
  <c r="R264" i="17"/>
  <c r="M274" i="17"/>
  <c r="AD274" i="17" s="1"/>
  <c r="AL274" i="17" s="1"/>
  <c r="S281" i="17"/>
  <c r="AP281" i="17" s="1"/>
  <c r="R288" i="17"/>
  <c r="T293" i="17"/>
  <c r="AH293" i="17" s="1"/>
  <c r="N300" i="17"/>
  <c r="T305" i="17"/>
  <c r="AH305" i="17" s="1"/>
  <c r="V173" i="17"/>
  <c r="AQ173" i="17" s="1"/>
  <c r="M219" i="17"/>
  <c r="AD219" i="17" s="1"/>
  <c r="AL219" i="17" s="1"/>
  <c r="T242" i="17"/>
  <c r="AH242" i="17" s="1"/>
  <c r="M256" i="17"/>
  <c r="AD256" i="17" s="1"/>
  <c r="AL256" i="17" s="1"/>
  <c r="M266" i="17"/>
  <c r="AD266" i="17" s="1"/>
  <c r="AL266" i="17" s="1"/>
  <c r="S275" i="17"/>
  <c r="AP275" i="17" s="1"/>
  <c r="R285" i="17"/>
  <c r="M293" i="17"/>
  <c r="AD293" i="17" s="1"/>
  <c r="AL293" i="17" s="1"/>
  <c r="T104" i="17"/>
  <c r="AH104" i="17" s="1"/>
  <c r="L123" i="17"/>
  <c r="P111" i="17"/>
  <c r="M112" i="17"/>
  <c r="AD112" i="17" s="1"/>
  <c r="AL112" i="17" s="1"/>
  <c r="S136" i="17"/>
  <c r="AP136" i="17" s="1"/>
  <c r="U140" i="17"/>
  <c r="R127" i="17"/>
  <c r="T80" i="17"/>
  <c r="AH80" i="17" s="1"/>
  <c r="T155" i="17"/>
  <c r="AH155" i="17" s="1"/>
  <c r="N139" i="17"/>
  <c r="Q153" i="17"/>
  <c r="S172" i="17"/>
  <c r="AP172" i="17" s="1"/>
  <c r="P165" i="17"/>
  <c r="T179" i="17"/>
  <c r="AH179" i="17" s="1"/>
  <c r="V194" i="17"/>
  <c r="AQ194" i="17" s="1"/>
  <c r="R204" i="17"/>
  <c r="V214" i="17"/>
  <c r="AQ214" i="17" s="1"/>
  <c r="V222" i="17"/>
  <c r="AQ222" i="17" s="1"/>
  <c r="R232" i="17"/>
  <c r="P139" i="17"/>
  <c r="R160" i="17"/>
  <c r="Q185" i="17"/>
  <c r="O200" i="17"/>
  <c r="M211" i="17"/>
  <c r="AD211" i="17" s="1"/>
  <c r="AL211" i="17" s="1"/>
  <c r="O220" i="17"/>
  <c r="O228" i="17"/>
  <c r="T143" i="17"/>
  <c r="AH143" i="17" s="1"/>
  <c r="P163" i="17"/>
  <c r="P176" i="17"/>
  <c r="P184" i="17"/>
  <c r="N195" i="17"/>
  <c r="L204" i="17"/>
  <c r="T212" i="17"/>
  <c r="AH212" i="17" s="1"/>
  <c r="P220" i="17"/>
  <c r="T88" i="17"/>
  <c r="AH88" i="17" s="1"/>
  <c r="N144" i="17"/>
  <c r="U165" i="17"/>
  <c r="R176" i="17"/>
  <c r="R184" i="17"/>
  <c r="R194" i="17"/>
  <c r="N204" i="17"/>
  <c r="L213" i="17"/>
  <c r="L221" i="17"/>
  <c r="T227" i="17"/>
  <c r="AH227" i="17" s="1"/>
  <c r="R236" i="17"/>
  <c r="M125" i="17"/>
  <c r="AD125" i="17" s="1"/>
  <c r="AL125" i="17" s="1"/>
  <c r="U161" i="17"/>
  <c r="N175" i="17"/>
  <c r="L188" i="17"/>
  <c r="M202" i="17"/>
  <c r="AD202" i="17" s="1"/>
  <c r="AL202" i="17" s="1"/>
  <c r="S217" i="17"/>
  <c r="AP217" i="17" s="1"/>
  <c r="S227" i="17"/>
  <c r="AP227" i="17" s="1"/>
  <c r="T237" i="17"/>
  <c r="AH237" i="17" s="1"/>
  <c r="O247" i="17"/>
  <c r="O257" i="17"/>
  <c r="Q59" i="17"/>
  <c r="Q148" i="17"/>
  <c r="R169" i="17"/>
  <c r="U184" i="17"/>
  <c r="Q202" i="17"/>
  <c r="M218" i="17"/>
  <c r="AD218" i="17" s="1"/>
  <c r="AL218" i="17" s="1"/>
  <c r="S228" i="17"/>
  <c r="AP228" i="17" s="1"/>
  <c r="L238" i="17"/>
  <c r="T243" i="17"/>
  <c r="AH243" i="17" s="1"/>
  <c r="V252" i="17"/>
  <c r="AQ252" i="17" s="1"/>
  <c r="T261" i="17"/>
  <c r="AH261" i="17" s="1"/>
  <c r="L267" i="17"/>
  <c r="T273" i="17"/>
  <c r="AH273" i="17" s="1"/>
  <c r="L159" i="17"/>
  <c r="N181" i="17"/>
  <c r="M222" i="17"/>
  <c r="AD222" i="17" s="1"/>
  <c r="AL222" i="17" s="1"/>
  <c r="T232" i="17"/>
  <c r="AH232" i="17" s="1"/>
  <c r="Q239" i="17"/>
  <c r="O250" i="17"/>
  <c r="U259" i="17"/>
  <c r="M267" i="17"/>
  <c r="AD267" i="17" s="1"/>
  <c r="AL267" i="17" s="1"/>
  <c r="M147" i="17"/>
  <c r="AD147" i="17" s="1"/>
  <c r="AL147" i="17" s="1"/>
  <c r="M168" i="17"/>
  <c r="AD168" i="17" s="1"/>
  <c r="M190" i="17"/>
  <c r="AD190" i="17" s="1"/>
  <c r="AL190" i="17" s="1"/>
  <c r="R209" i="17"/>
  <c r="L112" i="17"/>
  <c r="M131" i="17"/>
  <c r="AD131" i="17" s="1"/>
  <c r="AL131" i="17" s="1"/>
  <c r="M121" i="17"/>
  <c r="AD121" i="17" s="1"/>
  <c r="AL121" i="17" s="1"/>
  <c r="V120" i="17"/>
  <c r="AQ120" i="17" s="1"/>
  <c r="T105" i="17"/>
  <c r="AH105" i="17" s="1"/>
  <c r="R37" i="17"/>
  <c r="L148" i="17"/>
  <c r="U136" i="17"/>
  <c r="V119" i="17"/>
  <c r="AQ119" i="17" s="1"/>
  <c r="V160" i="17"/>
  <c r="AQ160" i="17" s="1"/>
  <c r="U155" i="17"/>
  <c r="M175" i="17"/>
  <c r="AD175" i="17" s="1"/>
  <c r="AL175" i="17" s="1"/>
  <c r="T147" i="17"/>
  <c r="AH147" i="17" s="1"/>
  <c r="T169" i="17"/>
  <c r="AH169" i="17" s="1"/>
  <c r="R180" i="17"/>
  <c r="L195" i="17"/>
  <c r="N208" i="17"/>
  <c r="V216" i="17"/>
  <c r="AQ216" i="17" s="1"/>
  <c r="L223" i="17"/>
  <c r="N234" i="17"/>
  <c r="L161" i="17"/>
  <c r="M177" i="17"/>
  <c r="AD177" i="17" s="1"/>
  <c r="AL177" i="17" s="1"/>
  <c r="U189" i="17"/>
  <c r="U211" i="17"/>
  <c r="Q221" i="17"/>
  <c r="M231" i="17"/>
  <c r="AD231" i="17" s="1"/>
  <c r="AL231" i="17" s="1"/>
  <c r="R145" i="17"/>
  <c r="S165" i="17"/>
  <c r="AP165" i="17" s="1"/>
  <c r="N177" i="17"/>
  <c r="R185" i="17"/>
  <c r="V195" i="17"/>
  <c r="AQ195" i="17" s="1"/>
  <c r="T204" i="17"/>
  <c r="AH204" i="17" s="1"/>
  <c r="R213" i="17"/>
  <c r="R221" i="17"/>
  <c r="L147" i="17"/>
  <c r="M167" i="17"/>
  <c r="AD167" i="17" s="1"/>
  <c r="AL167" i="17" s="1"/>
  <c r="P177" i="17"/>
  <c r="L185" i="17"/>
  <c r="P195" i="17"/>
  <c r="V204" i="17"/>
  <c r="AQ204" i="17" s="1"/>
  <c r="R214" i="17"/>
  <c r="T221" i="17"/>
  <c r="AH221" i="17" s="1"/>
  <c r="R228" i="17"/>
  <c r="P237" i="17"/>
  <c r="S135" i="17"/>
  <c r="AP135" i="17" s="1"/>
  <c r="T163" i="17"/>
  <c r="AH163" i="17" s="1"/>
  <c r="L176" i="17"/>
  <c r="O188" i="17"/>
  <c r="S203" i="17"/>
  <c r="AP203" i="17" s="1"/>
  <c r="S219" i="17"/>
  <c r="AP219" i="17" s="1"/>
  <c r="Q228" i="17"/>
  <c r="S259" i="17"/>
  <c r="AP259" i="17" s="1"/>
  <c r="U238" i="17"/>
  <c r="V207" i="17"/>
  <c r="AQ207" i="17" s="1"/>
  <c r="U173" i="17"/>
  <c r="R247" i="17"/>
  <c r="R275" i="17"/>
  <c r="Q208" i="17"/>
  <c r="M286" i="17"/>
  <c r="AD286" i="17" s="1"/>
  <c r="AL286" i="17" s="1"/>
  <c r="O315" i="17"/>
  <c r="M255" i="17"/>
  <c r="AD255" i="17" s="1"/>
  <c r="AL255" i="17" s="1"/>
  <c r="N290" i="17"/>
  <c r="R306" i="17"/>
  <c r="N233" i="17"/>
  <c r="O268" i="17"/>
  <c r="U293" i="17"/>
  <c r="S163" i="17"/>
  <c r="AP163" i="17" s="1"/>
  <c r="M232" i="17"/>
  <c r="AD232" i="17" s="1"/>
  <c r="AL232" i="17" s="1"/>
  <c r="L257" i="17"/>
  <c r="U271" i="17"/>
  <c r="S285" i="17"/>
  <c r="AP285" i="17" s="1"/>
  <c r="L294" i="17"/>
  <c r="T304" i="17"/>
  <c r="AH304" i="17" s="1"/>
  <c r="L316" i="17"/>
  <c r="L174" i="17"/>
  <c r="U262" i="17"/>
  <c r="T220" i="17"/>
  <c r="AH220" i="17" s="1"/>
  <c r="U260" i="17"/>
  <c r="N221" i="17"/>
  <c r="P182" i="17"/>
  <c r="AK182" i="17" s="1"/>
  <c r="Q231" i="17"/>
  <c r="O286" i="17"/>
  <c r="V307" i="17"/>
  <c r="AQ307" i="17" s="1"/>
  <c r="V321" i="17"/>
  <c r="AQ321" i="17" s="1"/>
  <c r="L328" i="17"/>
  <c r="T336" i="17"/>
  <c r="AH336" i="17" s="1"/>
  <c r="R343" i="17"/>
  <c r="T247" i="17"/>
  <c r="AH247" i="17" s="1"/>
  <c r="L275" i="17"/>
  <c r="L289" i="17"/>
  <c r="Q298" i="17"/>
  <c r="R308" i="17"/>
  <c r="V315" i="17"/>
  <c r="AQ315" i="17" s="1"/>
  <c r="S323" i="17"/>
  <c r="AP323" i="17" s="1"/>
  <c r="O331" i="17"/>
  <c r="U336" i="17"/>
  <c r="S343" i="17"/>
  <c r="AP343" i="17" s="1"/>
  <c r="Q268" i="17"/>
  <c r="M279" i="17"/>
  <c r="AD279" i="17" s="1"/>
  <c r="AL279" i="17" s="1"/>
  <c r="V295" i="17"/>
  <c r="AQ295" i="17" s="1"/>
  <c r="N306" i="17"/>
  <c r="M315" i="17"/>
  <c r="AD315" i="17" s="1"/>
  <c r="AL315" i="17" s="1"/>
  <c r="U320" i="17"/>
  <c r="R326" i="17"/>
  <c r="R332" i="17"/>
  <c r="L337" i="17"/>
  <c r="V342" i="17"/>
  <c r="AQ342" i="17" s="1"/>
  <c r="R348" i="17"/>
  <c r="S209" i="17"/>
  <c r="AP209" i="17" s="1"/>
  <c r="R258" i="17"/>
  <c r="Q270" i="17"/>
  <c r="L283" i="17"/>
  <c r="U202" i="17"/>
  <c r="P288" i="17"/>
  <c r="P301" i="17"/>
  <c r="S318" i="17"/>
  <c r="AP318" i="17" s="1"/>
  <c r="U326" i="17"/>
  <c r="R336" i="17"/>
  <c r="N346" i="17"/>
  <c r="R243" i="17"/>
  <c r="P293" i="17"/>
  <c r="S307" i="17"/>
  <c r="AP307" i="17" s="1"/>
  <c r="Q322" i="17"/>
  <c r="V329" i="17"/>
  <c r="AQ329" i="17" s="1"/>
  <c r="R340" i="17"/>
  <c r="U349" i="17"/>
  <c r="R270" i="17"/>
  <c r="N295" i="17"/>
  <c r="N310" i="17"/>
  <c r="S321" i="17"/>
  <c r="AP321" i="17" s="1"/>
  <c r="V338" i="17"/>
  <c r="AQ338" i="17" s="1"/>
  <c r="N347" i="17"/>
  <c r="M185" i="17"/>
  <c r="AD185" i="17" s="1"/>
  <c r="AL185" i="17" s="1"/>
  <c r="U291" i="17"/>
  <c r="Q305" i="17"/>
  <c r="L319" i="17"/>
  <c r="M329" i="17"/>
  <c r="AD329" i="17" s="1"/>
  <c r="AL329" i="17" s="1"/>
  <c r="Q342" i="17"/>
  <c r="M311" i="17"/>
  <c r="AD311" i="17" s="1"/>
  <c r="AL311" i="17" s="1"/>
  <c r="Q329" i="17"/>
  <c r="L21" i="14"/>
  <c r="L286" i="17"/>
  <c r="P317" i="17"/>
  <c r="D21" i="14"/>
  <c r="M21" i="14" s="1"/>
  <c r="D31" i="14"/>
  <c r="M31" i="14" s="1"/>
  <c r="D41" i="14"/>
  <c r="M41" i="14" s="1"/>
  <c r="C51" i="14"/>
  <c r="L272" i="17"/>
  <c r="M326" i="17"/>
  <c r="AD326" i="17" s="1"/>
  <c r="AL326" i="17" s="1"/>
  <c r="S346" i="17"/>
  <c r="AP346" i="17" s="1"/>
  <c r="L18" i="14"/>
  <c r="V181" i="17"/>
  <c r="AQ181" i="17" s="1"/>
  <c r="V277" i="17"/>
  <c r="AQ277" i="17" s="1"/>
  <c r="N326" i="17"/>
  <c r="L346" i="17"/>
  <c r="H21" i="14"/>
  <c r="G31" i="14"/>
  <c r="C88" i="14"/>
  <c r="L32" i="14"/>
  <c r="L35" i="14"/>
  <c r="C27" i="14"/>
  <c r="O277" i="17"/>
  <c r="P296" i="17"/>
  <c r="L206" i="17"/>
  <c r="AE206" i="17" s="1"/>
  <c r="T187" i="17"/>
  <c r="AH187" i="17" s="1"/>
  <c r="R187" i="17"/>
  <c r="T4" i="17"/>
  <c r="AH4" i="17" s="1"/>
  <c r="Q8" i="17"/>
  <c r="T39" i="17"/>
  <c r="AH39" i="17" s="1"/>
  <c r="T37" i="17"/>
  <c r="AH37" i="17" s="1"/>
  <c r="E82" i="14"/>
  <c r="G66" i="14"/>
  <c r="J55" i="14"/>
  <c r="G46" i="14"/>
  <c r="G38" i="14"/>
  <c r="E26" i="14"/>
  <c r="N314" i="17"/>
  <c r="I84" i="14"/>
  <c r="H60" i="14"/>
  <c r="C36" i="14"/>
  <c r="R333" i="17"/>
  <c r="C77" i="14"/>
  <c r="C67" i="14"/>
  <c r="D57" i="14"/>
  <c r="M57" i="14" s="1"/>
  <c r="E46" i="14"/>
  <c r="L93" i="14"/>
  <c r="E85" i="14"/>
  <c r="F75" i="14"/>
  <c r="F65" i="14"/>
  <c r="D56" i="14"/>
  <c r="M56" i="14" s="1"/>
  <c r="C47" i="14"/>
  <c r="R69" i="17"/>
  <c r="R246" i="17"/>
  <c r="S223" i="17"/>
  <c r="AP223" i="17" s="1"/>
  <c r="N193" i="17"/>
  <c r="L256" i="17"/>
  <c r="T280" i="17"/>
  <c r="AH280" i="17" s="1"/>
  <c r="R242" i="17"/>
  <c r="M292" i="17"/>
  <c r="AD292" i="17" s="1"/>
  <c r="AL292" i="17" s="1"/>
  <c r="Q115" i="17"/>
  <c r="Q265" i="17"/>
  <c r="N292" i="17"/>
  <c r="P307" i="17"/>
  <c r="V246" i="17"/>
  <c r="AQ246" i="17" s="1"/>
  <c r="T271" i="17"/>
  <c r="AH271" i="17" s="1"/>
  <c r="S294" i="17"/>
  <c r="AP294" i="17" s="1"/>
  <c r="L172" i="17"/>
  <c r="O233" i="17"/>
  <c r="N260" i="17"/>
  <c r="O274" i="17"/>
  <c r="P286" i="17"/>
  <c r="L296" i="17"/>
  <c r="N305" i="17"/>
  <c r="T316" i="17"/>
  <c r="AH316" i="17" s="1"/>
  <c r="M183" i="17"/>
  <c r="AD183" i="17" s="1"/>
  <c r="AL183" i="17" s="1"/>
  <c r="S234" i="17"/>
  <c r="AP234" i="17" s="1"/>
  <c r="R266" i="17"/>
  <c r="U221" i="17"/>
  <c r="U212" i="17"/>
  <c r="S247" i="17"/>
  <c r="AP247" i="17" s="1"/>
  <c r="L290" i="17"/>
  <c r="N308" i="17"/>
  <c r="L322" i="17"/>
  <c r="T328" i="17"/>
  <c r="AH328" i="17" s="1"/>
  <c r="P338" i="17"/>
  <c r="P344" i="17"/>
  <c r="T251" i="17"/>
  <c r="AH251" i="17" s="1"/>
  <c r="U276" i="17"/>
  <c r="Q290" i="17"/>
  <c r="L299" i="17"/>
  <c r="S310" i="17"/>
  <c r="AP310" i="17" s="1"/>
  <c r="M316" i="17"/>
  <c r="AD316" i="17" s="1"/>
  <c r="AL316" i="17" s="1"/>
  <c r="Q324" i="17"/>
  <c r="S331" i="17"/>
  <c r="AP331" i="17" s="1"/>
  <c r="S337" i="17"/>
  <c r="AP337" i="17" s="1"/>
  <c r="Q344" i="17"/>
  <c r="V164" i="17"/>
  <c r="AQ164" i="17" s="1"/>
  <c r="S269" i="17"/>
  <c r="AP269" i="17" s="1"/>
  <c r="T284" i="17"/>
  <c r="AH284" i="17" s="1"/>
  <c r="M297" i="17"/>
  <c r="AD297" i="17" s="1"/>
  <c r="AL297" i="17" s="1"/>
  <c r="M307" i="17"/>
  <c r="AD307" i="17" s="1"/>
  <c r="AL307" i="17" s="1"/>
  <c r="N316" i="17"/>
  <c r="P321" i="17"/>
  <c r="P327" i="17"/>
  <c r="P333" i="17"/>
  <c r="T337" i="17"/>
  <c r="AH337" i="17" s="1"/>
  <c r="L343" i="17"/>
  <c r="P349" i="17"/>
  <c r="O219" i="17"/>
  <c r="T263" i="17"/>
  <c r="AH263" i="17" s="1"/>
  <c r="U274" i="17"/>
  <c r="U284" i="17"/>
  <c r="O213" i="17"/>
  <c r="U289" i="17"/>
  <c r="P303" i="17"/>
  <c r="U319" i="17"/>
  <c r="S327" i="17"/>
  <c r="AP327" i="17" s="1"/>
  <c r="U337" i="17"/>
  <c r="V348" i="17"/>
  <c r="AQ348" i="17" s="1"/>
  <c r="V128" i="17"/>
  <c r="AQ128" i="17" s="1"/>
  <c r="N246" i="17"/>
  <c r="U294" i="17"/>
  <c r="L310" i="17"/>
  <c r="Q323" i="17"/>
  <c r="L332" i="17"/>
  <c r="M341" i="17"/>
  <c r="AD341" i="17" s="1"/>
  <c r="AL341" i="17" s="1"/>
  <c r="Q279" i="17"/>
  <c r="S297" i="17"/>
  <c r="AP297" i="17" s="1"/>
  <c r="V312" i="17"/>
  <c r="AQ312" i="17" s="1"/>
  <c r="R322" i="17"/>
  <c r="T339" i="17"/>
  <c r="AH339" i="17" s="1"/>
  <c r="M348" i="17"/>
  <c r="AD348" i="17" s="1"/>
  <c r="AL348" i="17" s="1"/>
  <c r="Q217" i="17"/>
  <c r="T292" i="17"/>
  <c r="AH292" i="17" s="1"/>
  <c r="U307" i="17"/>
  <c r="M320" i="17"/>
  <c r="AD320" i="17" s="1"/>
  <c r="AL320" i="17" s="1"/>
  <c r="N332" i="17"/>
  <c r="Q343" i="17"/>
  <c r="S315" i="17"/>
  <c r="AP315" i="17" s="1"/>
  <c r="U332" i="17"/>
  <c r="J22" i="14"/>
  <c r="Q286" i="17"/>
  <c r="N318" i="17"/>
  <c r="J23" i="14"/>
  <c r="I33" i="14"/>
  <c r="I43" i="14"/>
  <c r="L51" i="14"/>
  <c r="U277" i="17"/>
  <c r="T326" i="17"/>
  <c r="AH326" i="17" s="1"/>
  <c r="U347" i="17"/>
  <c r="J19" i="14"/>
  <c r="S238" i="17"/>
  <c r="AP238" i="17" s="1"/>
  <c r="V284" i="17"/>
  <c r="AQ284" i="17" s="1"/>
  <c r="P331" i="17"/>
  <c r="V347" i="17"/>
  <c r="AQ347" i="17" s="1"/>
  <c r="F22" i="14"/>
  <c r="E32" i="14"/>
  <c r="I85" i="14"/>
  <c r="G27" i="14"/>
  <c r="L34" i="14"/>
  <c r="L24" i="14"/>
  <c r="O323" i="17"/>
  <c r="R305" i="17"/>
  <c r="U272" i="17"/>
  <c r="T206" i="17"/>
  <c r="AH206" i="17" s="1"/>
  <c r="U206" i="17"/>
  <c r="P206" i="17"/>
  <c r="M187" i="17"/>
  <c r="AD187" i="17" s="1"/>
  <c r="AL187" i="17" s="1"/>
  <c r="S187" i="17"/>
  <c r="AP187" i="17" s="1"/>
  <c r="T19" i="17"/>
  <c r="AH19" i="17" s="1"/>
  <c r="T12" i="17"/>
  <c r="AH12" i="17" s="1"/>
  <c r="T60" i="17"/>
  <c r="AH60" i="17" s="1"/>
  <c r="T59" i="17"/>
  <c r="AH59" i="17" s="1"/>
  <c r="L4" i="17"/>
  <c r="I80" i="14"/>
  <c r="I65" i="14"/>
  <c r="C53" i="14"/>
  <c r="H45" i="14"/>
  <c r="F37" i="14"/>
  <c r="D25" i="14"/>
  <c r="M25" i="14" s="1"/>
  <c r="S338" i="17"/>
  <c r="AP338" i="17" s="1"/>
  <c r="V310" i="17"/>
  <c r="AQ310" i="17" s="1"/>
  <c r="H80" i="14"/>
  <c r="C58" i="14"/>
  <c r="J31" i="14"/>
  <c r="G95" i="14"/>
  <c r="G75" i="14"/>
  <c r="E66" i="14"/>
  <c r="E56" i="14"/>
  <c r="D45" i="14"/>
  <c r="M45" i="14" s="1"/>
  <c r="D93" i="14"/>
  <c r="M93" i="14" s="1"/>
  <c r="G84" i="14"/>
  <c r="G74" i="14"/>
  <c r="H64" i="14"/>
  <c r="F55" i="14"/>
  <c r="P149" i="17"/>
  <c r="P255" i="17"/>
  <c r="U233" i="17"/>
  <c r="Q212" i="17"/>
  <c r="T256" i="17"/>
  <c r="AH256" i="17" s="1"/>
  <c r="N281" i="17"/>
  <c r="P246" i="17"/>
  <c r="U292" i="17"/>
  <c r="N149" i="17"/>
  <c r="L266" i="17"/>
  <c r="R294" i="17"/>
  <c r="V159" i="17"/>
  <c r="AQ159" i="17" s="1"/>
  <c r="L247" i="17"/>
  <c r="Q276" i="17"/>
  <c r="Q297" i="17"/>
  <c r="O189" i="17"/>
  <c r="L239" i="17"/>
  <c r="R261" i="17"/>
  <c r="L278" i="17"/>
  <c r="N287" i="17"/>
  <c r="T296" i="17"/>
  <c r="AH296" i="17" s="1"/>
  <c r="L306" i="17"/>
  <c r="R317" i="17"/>
  <c r="O195" i="17"/>
  <c r="R156" i="17"/>
  <c r="Q236" i="17"/>
  <c r="S103" i="17"/>
  <c r="AP103" i="17" s="1"/>
  <c r="O232" i="17"/>
  <c r="R238" i="17"/>
  <c r="T255" i="17"/>
  <c r="AH255" i="17" s="1"/>
  <c r="Q292" i="17"/>
  <c r="R310" i="17"/>
  <c r="T322" i="17"/>
  <c r="AH322" i="17" s="1"/>
  <c r="R331" i="17"/>
  <c r="N339" i="17"/>
  <c r="N345" i="17"/>
  <c r="V255" i="17"/>
  <c r="AQ255" i="17" s="1"/>
  <c r="L277" i="17"/>
  <c r="L291" i="17"/>
  <c r="L300" i="17"/>
  <c r="O311" i="17"/>
  <c r="U317" i="17"/>
  <c r="O325" i="17"/>
  <c r="Q332" i="17"/>
  <c r="Q338" i="17"/>
  <c r="O345" i="17"/>
  <c r="S186" i="17"/>
  <c r="AP186" i="17" s="1"/>
  <c r="S274" i="17"/>
  <c r="AP274" i="17" s="1"/>
  <c r="P287" i="17"/>
  <c r="R298" i="17"/>
  <c r="S308" i="17"/>
  <c r="AP308" i="17" s="1"/>
  <c r="P316" i="17"/>
  <c r="N322" i="17"/>
  <c r="N328" i="17"/>
  <c r="N334" i="17"/>
  <c r="R338" i="17"/>
  <c r="T343" i="17"/>
  <c r="AH343" i="17" s="1"/>
  <c r="N231" i="17"/>
  <c r="L264" i="17"/>
  <c r="N275" i="17"/>
  <c r="L128" i="17"/>
  <c r="M246" i="17"/>
  <c r="AD246" i="17" s="1"/>
  <c r="AL246" i="17" s="1"/>
  <c r="T290" i="17"/>
  <c r="AH290" i="17" s="1"/>
  <c r="M304" i="17"/>
  <c r="AD304" i="17" s="1"/>
  <c r="AL304" i="17" s="1"/>
  <c r="V320" i="17"/>
  <c r="AQ320" i="17" s="1"/>
  <c r="R328" i="17"/>
  <c r="T338" i="17"/>
  <c r="AH338" i="17" s="1"/>
  <c r="T349" i="17"/>
  <c r="AH349" i="17" s="1"/>
  <c r="L252" i="17"/>
  <c r="M295" i="17"/>
  <c r="AD295" i="17" s="1"/>
  <c r="AL295" i="17" s="1"/>
  <c r="T312" i="17"/>
  <c r="AH312" i="17" s="1"/>
  <c r="S324" i="17"/>
  <c r="AP324" i="17" s="1"/>
  <c r="U333" i="17"/>
  <c r="O342" i="17"/>
  <c r="L285" i="17"/>
  <c r="Q302" i="17"/>
  <c r="L313" i="17"/>
  <c r="U323" i="17"/>
  <c r="S340" i="17"/>
  <c r="AP340" i="17" s="1"/>
  <c r="N262" i="17"/>
  <c r="R293" i="17"/>
  <c r="O310" i="17"/>
  <c r="AJ310" i="17" s="1"/>
  <c r="O321" i="17"/>
  <c r="L333" i="17"/>
  <c r="S344" i="17"/>
  <c r="AP344" i="17" s="1"/>
  <c r="P260" i="17"/>
  <c r="L318" i="17"/>
  <c r="S333" i="17"/>
  <c r="AP333" i="17" s="1"/>
  <c r="H23" i="14"/>
  <c r="M288" i="17"/>
  <c r="AD288" i="17" s="1"/>
  <c r="AL288" i="17" s="1"/>
  <c r="M321" i="17"/>
  <c r="AD321" i="17" s="1"/>
  <c r="AL321" i="17" s="1"/>
  <c r="H24" i="14"/>
  <c r="G34" i="14"/>
  <c r="G44" i="14"/>
  <c r="I53" i="14"/>
  <c r="U285" i="17"/>
  <c r="R327" i="17"/>
  <c r="S348" i="17"/>
  <c r="AP348" i="17" s="1"/>
  <c r="H20" i="14"/>
  <c r="N239" i="17"/>
  <c r="O306" i="17"/>
  <c r="O334" i="17"/>
  <c r="T348" i="17"/>
  <c r="AH348" i="17" s="1"/>
  <c r="D23" i="14"/>
  <c r="M23" i="14" s="1"/>
  <c r="D33" i="14"/>
  <c r="M33" i="14" s="1"/>
  <c r="C83" i="14"/>
  <c r="F42" i="14"/>
  <c r="J33" i="14"/>
  <c r="F23" i="14"/>
  <c r="P336" i="17"/>
  <c r="S299" i="17"/>
  <c r="AP299" i="17" s="1"/>
  <c r="S342" i="17"/>
  <c r="AP342" i="17" s="1"/>
  <c r="O266" i="17"/>
  <c r="V249" i="17"/>
  <c r="AQ249" i="17" s="1"/>
  <c r="M206" i="17"/>
  <c r="AD206" i="17" s="1"/>
  <c r="AL206" i="17" s="1"/>
  <c r="U187" i="17"/>
  <c r="M138" i="17"/>
  <c r="AD138" i="17" s="1"/>
  <c r="AL138" i="17" s="1"/>
  <c r="Q7" i="17"/>
  <c r="T48" i="17"/>
  <c r="AH48" i="17" s="1"/>
  <c r="T43" i="17"/>
  <c r="AH43" i="17" s="1"/>
  <c r="AM43" i="17" s="1"/>
  <c r="T24" i="17"/>
  <c r="AH24" i="17" s="1"/>
  <c r="I95" i="14"/>
  <c r="E77" i="14"/>
  <c r="D63" i="14"/>
  <c r="M63" i="14" s="1"/>
  <c r="D52" i="14"/>
  <c r="M52" i="14" s="1"/>
  <c r="H44" i="14"/>
  <c r="E36" i="14"/>
  <c r="C22" i="14"/>
  <c r="F76" i="14"/>
  <c r="H55" i="14"/>
  <c r="F28" i="14"/>
  <c r="H92" i="14"/>
  <c r="L72" i="14"/>
  <c r="G65" i="14"/>
  <c r="G55" i="14"/>
  <c r="E44" i="14"/>
  <c r="G92" i="14"/>
  <c r="I83" i="14"/>
  <c r="I73" i="14"/>
  <c r="J63" i="14"/>
  <c r="H54" i="14"/>
  <c r="D44" i="14"/>
  <c r="M44" i="14" s="1"/>
  <c r="H33" i="14"/>
  <c r="J24" i="14"/>
  <c r="R346" i="17"/>
  <c r="O332" i="17"/>
  <c r="C94" i="14"/>
  <c r="L68" i="14"/>
  <c r="E47" i="14"/>
  <c r="O341" i="17"/>
  <c r="J94" i="14"/>
  <c r="J73" i="14"/>
  <c r="J82" i="14"/>
  <c r="D75" i="14"/>
  <c r="M75" i="14" s="1"/>
  <c r="H68" i="14"/>
  <c r="L61" i="14"/>
  <c r="E55" i="14"/>
  <c r="L45" i="14"/>
  <c r="J35" i="14"/>
  <c r="R173" i="17"/>
  <c r="P263" i="17"/>
  <c r="M241" i="17"/>
  <c r="AD241" i="17" s="1"/>
  <c r="AL241" i="17" s="1"/>
  <c r="U228" i="17"/>
  <c r="V261" i="17"/>
  <c r="AQ261" i="17" s="1"/>
  <c r="M116" i="17"/>
  <c r="AD116" i="17" s="1"/>
  <c r="AL116" i="17" s="1"/>
  <c r="Q264" i="17"/>
  <c r="U298" i="17"/>
  <c r="Q190" i="17"/>
  <c r="Q275" i="17"/>
  <c r="P295" i="17"/>
  <c r="U190" i="17"/>
  <c r="L251" i="17"/>
  <c r="T278" i="17"/>
  <c r="AH278" i="17" s="1"/>
  <c r="O300" i="17"/>
  <c r="U204" i="17"/>
  <c r="M247" i="17"/>
  <c r="AD247" i="17" s="1"/>
  <c r="AL247" i="17" s="1"/>
  <c r="S263" i="17"/>
  <c r="AP263" i="17" s="1"/>
  <c r="U278" i="17"/>
  <c r="L288" i="17"/>
  <c r="R297" i="17"/>
  <c r="L308" i="17"/>
  <c r="P318" i="17"/>
  <c r="Q211" i="17"/>
  <c r="R172" i="17"/>
  <c r="P243" i="17"/>
  <c r="T172" i="17"/>
  <c r="AH172" i="17" s="1"/>
  <c r="T234" i="17"/>
  <c r="AH234" i="17" s="1"/>
  <c r="S109" i="17"/>
  <c r="AP109" i="17" s="1"/>
  <c r="P262" i="17"/>
  <c r="N294" i="17"/>
  <c r="R313" i="17"/>
  <c r="R323" i="17"/>
  <c r="N333" i="17"/>
  <c r="V339" i="17"/>
  <c r="AQ339" i="17" s="1"/>
  <c r="V345" i="17"/>
  <c r="AQ345" i="17" s="1"/>
  <c r="T257" i="17"/>
  <c r="AH257" i="17" s="1"/>
  <c r="Q278" i="17"/>
  <c r="R292" i="17"/>
  <c r="R301" i="17"/>
  <c r="T311" i="17"/>
  <c r="AH311" i="17" s="1"/>
  <c r="Q318" i="17"/>
  <c r="Q326" i="17"/>
  <c r="O333" i="17"/>
  <c r="O339" i="17"/>
  <c r="U346" i="17"/>
  <c r="O193" i="17"/>
  <c r="M275" i="17"/>
  <c r="AD275" i="17" s="1"/>
  <c r="AL275" i="17" s="1"/>
  <c r="M289" i="17"/>
  <c r="AD289" i="17" s="1"/>
  <c r="AL289" i="17" s="1"/>
  <c r="M299" i="17"/>
  <c r="AD299" i="17" s="1"/>
  <c r="AL299" i="17" s="1"/>
  <c r="T310" i="17"/>
  <c r="AH310" i="17" s="1"/>
  <c r="L317" i="17"/>
  <c r="V322" i="17"/>
  <c r="AQ322" i="17" s="1"/>
  <c r="V328" i="17"/>
  <c r="AQ328" i="17" s="1"/>
  <c r="V334" i="17"/>
  <c r="AQ334" i="17" s="1"/>
  <c r="P339" i="17"/>
  <c r="R344" i="17"/>
  <c r="L242" i="17"/>
  <c r="O265" i="17"/>
  <c r="O276" i="17"/>
  <c r="U128" i="17"/>
  <c r="T258" i="17"/>
  <c r="AH258" i="17" s="1"/>
  <c r="O293" i="17"/>
  <c r="V306" i="17"/>
  <c r="AQ306" i="17" s="1"/>
  <c r="Q321" i="17"/>
  <c r="U329" i="17"/>
  <c r="R339" i="17"/>
  <c r="O190" i="17"/>
  <c r="V271" i="17"/>
  <c r="AQ271" i="17" s="1"/>
  <c r="O296" i="17"/>
  <c r="U314" i="17"/>
  <c r="Q325" i="17"/>
  <c r="O336" i="17"/>
  <c r="O343" i="17"/>
  <c r="N291" i="17"/>
  <c r="R303" i="17"/>
  <c r="V314" i="17"/>
  <c r="AQ314" i="17" s="1"/>
  <c r="T324" i="17"/>
  <c r="AH324" i="17" s="1"/>
  <c r="Q341" i="17"/>
  <c r="U264" i="17"/>
  <c r="S295" i="17"/>
  <c r="AP295" i="17" s="1"/>
  <c r="L311" i="17"/>
  <c r="T321" i="17"/>
  <c r="AH321" i="17" s="1"/>
  <c r="N335" i="17"/>
  <c r="Q345" i="17"/>
  <c r="V263" i="17"/>
  <c r="AQ263" i="17" s="1"/>
  <c r="P319" i="17"/>
  <c r="V344" i="17"/>
  <c r="AQ344" i="17" s="1"/>
  <c r="G24" i="14"/>
  <c r="U297" i="17"/>
  <c r="M327" i="17"/>
  <c r="AD327" i="17" s="1"/>
  <c r="AL327" i="17" s="1"/>
  <c r="F25" i="14"/>
  <c r="F35" i="14"/>
  <c r="E45" i="14"/>
  <c r="Q55" i="17"/>
  <c r="O288" i="17"/>
  <c r="O337" i="17"/>
  <c r="Q349" i="17"/>
  <c r="F21" i="14"/>
  <c r="S239" i="17"/>
  <c r="AP239" i="17" s="1"/>
  <c r="Q310" i="17"/>
  <c r="O335" i="17"/>
  <c r="R349" i="17"/>
  <c r="I25" i="14"/>
  <c r="I35" i="14"/>
  <c r="G81" i="14"/>
  <c r="G41" i="14"/>
  <c r="I32" i="14"/>
  <c r="J21" i="14"/>
  <c r="Q333" i="17"/>
  <c r="N299" i="17"/>
  <c r="M210" i="17"/>
  <c r="AD210" i="17" s="1"/>
  <c r="AL210" i="17" s="1"/>
  <c r="L249" i="17"/>
  <c r="AE249" i="17" s="1"/>
  <c r="O206" i="17"/>
  <c r="AI206" i="17" s="1"/>
  <c r="Q206" i="17"/>
  <c r="N187" i="17"/>
  <c r="T11" i="17"/>
  <c r="AH11" i="17" s="1"/>
  <c r="T16" i="17"/>
  <c r="AH16" i="17" s="1"/>
  <c r="T2" i="17"/>
  <c r="AH2" i="17" s="1"/>
  <c r="T23" i="17"/>
  <c r="AH23" i="17" s="1"/>
  <c r="T31" i="17"/>
  <c r="AH31" i="17" s="1"/>
  <c r="G93" i="14"/>
  <c r="I75" i="14"/>
  <c r="F62" i="14"/>
  <c r="D51" i="14"/>
  <c r="M51" i="14" s="1"/>
  <c r="H43" i="14"/>
  <c r="C35" i="14"/>
  <c r="G20" i="14"/>
  <c r="P335" i="17"/>
  <c r="L73" i="14"/>
  <c r="C52" i="14"/>
  <c r="G23" i="14"/>
  <c r="Q317" i="17"/>
  <c r="H89" i="14"/>
  <c r="C72" i="14"/>
  <c r="I64" i="14"/>
  <c r="I54" i="14"/>
  <c r="F43" i="14"/>
  <c r="J91" i="14"/>
  <c r="D81" i="14"/>
  <c r="M81" i="14" s="1"/>
  <c r="D71" i="14"/>
  <c r="M71" i="14" s="1"/>
  <c r="D61" i="14"/>
  <c r="M61" i="14" s="1"/>
  <c r="J53" i="14"/>
  <c r="D43" i="14"/>
  <c r="M43" i="14" s="1"/>
  <c r="H32" i="14"/>
  <c r="E23" i="14"/>
  <c r="O329" i="17"/>
  <c r="O313" i="17"/>
  <c r="L325" i="17"/>
  <c r="L91" i="14"/>
  <c r="D67" i="14"/>
  <c r="M67" i="14" s="1"/>
  <c r="F44" i="14"/>
  <c r="C91" i="14"/>
  <c r="V185" i="17"/>
  <c r="AQ185" i="17" s="1"/>
  <c r="T267" i="17"/>
  <c r="AH267" i="17" s="1"/>
  <c r="Q251" i="17"/>
  <c r="U232" i="17"/>
  <c r="R263" i="17"/>
  <c r="V125" i="17"/>
  <c r="AQ125" i="17" s="1"/>
  <c r="P265" i="17"/>
  <c r="M300" i="17"/>
  <c r="AD300" i="17" s="1"/>
  <c r="AL300" i="17" s="1"/>
  <c r="M198" i="17"/>
  <c r="AD198" i="17" s="1"/>
  <c r="AL198" i="17" s="1"/>
  <c r="P276" i="17"/>
  <c r="N298" i="17"/>
  <c r="O198" i="17"/>
  <c r="U256" i="17"/>
  <c r="T281" i="17"/>
  <c r="AH281" i="17" s="1"/>
  <c r="M301" i="17"/>
  <c r="AD301" i="17" s="1"/>
  <c r="AL301" i="17" s="1"/>
  <c r="N213" i="17"/>
  <c r="R250" i="17"/>
  <c r="S265" i="17"/>
  <c r="AP265" i="17" s="1"/>
  <c r="L279" i="17"/>
  <c r="P290" i="17"/>
  <c r="P298" i="17"/>
  <c r="T308" i="17"/>
  <c r="AH308" i="17" s="1"/>
  <c r="P144" i="17"/>
  <c r="T222" i="17"/>
  <c r="AH222" i="17" s="1"/>
  <c r="T188" i="17"/>
  <c r="AH188" i="17" s="1"/>
  <c r="O246" i="17"/>
  <c r="O177" i="17"/>
  <c r="Q243" i="17"/>
  <c r="P172" i="17"/>
  <c r="S276" i="17"/>
  <c r="AP276" i="17" s="1"/>
  <c r="T295" i="17"/>
  <c r="AH295" i="17" s="1"/>
  <c r="O314" i="17"/>
  <c r="AI314" i="17" s="1"/>
  <c r="N325" i="17"/>
  <c r="V333" i="17"/>
  <c r="AQ333" i="17" s="1"/>
  <c r="L340" i="17"/>
  <c r="T346" i="17"/>
  <c r="AH346" i="17" s="1"/>
  <c r="S266" i="17"/>
  <c r="AP266" i="17" s="1"/>
  <c r="S280" i="17"/>
  <c r="AP280" i="17" s="1"/>
  <c r="O294" i="17"/>
  <c r="AJ294" i="17" s="1"/>
  <c r="T302" i="17"/>
  <c r="AH302" i="17" s="1"/>
  <c r="O312" i="17"/>
  <c r="R319" i="17"/>
  <c r="O327" i="17"/>
  <c r="M334" i="17"/>
  <c r="AD334" i="17" s="1"/>
  <c r="AL334" i="17" s="1"/>
  <c r="M340" i="17"/>
  <c r="AD340" i="17" s="1"/>
  <c r="AL340" i="17" s="1"/>
  <c r="S347" i="17"/>
  <c r="AP347" i="17" s="1"/>
  <c r="O224" i="17"/>
  <c r="M276" i="17"/>
  <c r="AD276" i="17" s="1"/>
  <c r="AL276" i="17" s="1"/>
  <c r="R290" i="17"/>
  <c r="O299" i="17"/>
  <c r="U311" i="17"/>
  <c r="V317" i="17"/>
  <c r="AQ317" i="17" s="1"/>
  <c r="L323" i="17"/>
  <c r="L329" i="17"/>
  <c r="L335" i="17"/>
  <c r="N340" i="17"/>
  <c r="P345" i="17"/>
  <c r="P136" i="17"/>
  <c r="T250" i="17"/>
  <c r="AH250" i="17" s="1"/>
  <c r="U266" i="17"/>
  <c r="N277" i="17"/>
  <c r="U153" i="17"/>
  <c r="V268" i="17"/>
  <c r="AQ268" i="17" s="1"/>
  <c r="M294" i="17"/>
  <c r="AD294" i="17" s="1"/>
  <c r="AL294" i="17" s="1"/>
  <c r="Q307" i="17"/>
  <c r="P322" i="17"/>
  <c r="V332" i="17"/>
  <c r="AQ332" i="17" s="1"/>
  <c r="Q340" i="17"/>
  <c r="U222" i="17"/>
  <c r="P279" i="17"/>
  <c r="N297" i="17"/>
  <c r="U316" i="17"/>
  <c r="O326" i="17"/>
  <c r="S336" i="17"/>
  <c r="AP336" i="17" s="1"/>
  <c r="N344" i="17"/>
  <c r="T291" i="17"/>
  <c r="AH291" i="17" s="1"/>
  <c r="O304" i="17"/>
  <c r="O316" i="17"/>
  <c r="R325" i="17"/>
  <c r="P342" i="17"/>
  <c r="S270" i="17"/>
  <c r="AP270" i="17" s="1"/>
  <c r="M296" i="17"/>
  <c r="AD296" i="17" s="1"/>
  <c r="AL296" i="17" s="1"/>
  <c r="P311" i="17"/>
  <c r="S322" i="17"/>
  <c r="AP322" i="17" s="1"/>
  <c r="M337" i="17"/>
  <c r="AD337" i="17" s="1"/>
  <c r="AL337" i="17" s="1"/>
  <c r="O347" i="17"/>
  <c r="T270" i="17"/>
  <c r="AH270" i="17" s="1"/>
  <c r="L321" i="17"/>
  <c r="S345" i="17"/>
  <c r="AP345" i="17" s="1"/>
  <c r="I18" i="14"/>
  <c r="N183" i="17"/>
  <c r="U308" i="17"/>
  <c r="Q328" i="17"/>
  <c r="D26" i="14"/>
  <c r="M26" i="14" s="1"/>
  <c r="D36" i="14"/>
  <c r="M36" i="14" s="1"/>
  <c r="C46" i="14"/>
  <c r="U181" i="17"/>
  <c r="S300" i="17"/>
  <c r="AP300" i="17" s="1"/>
  <c r="N338" i="17"/>
  <c r="E22" i="14"/>
  <c r="Q242" i="17"/>
  <c r="Q313" i="17"/>
  <c r="P337" i="17"/>
  <c r="G26" i="14"/>
  <c r="G36" i="14"/>
  <c r="C97" i="14"/>
  <c r="C78" i="14"/>
  <c r="G40" i="14"/>
  <c r="H31" i="14"/>
  <c r="C20" i="14"/>
  <c r="T298" i="17"/>
  <c r="AH298" i="17" s="1"/>
  <c r="U249" i="17"/>
  <c r="S206" i="17"/>
  <c r="AP206" i="17" s="1"/>
  <c r="V187" i="17"/>
  <c r="AQ187" i="17" s="1"/>
  <c r="T8" i="17"/>
  <c r="AH8" i="17" s="1"/>
  <c r="T28" i="17"/>
  <c r="AH28" i="17" s="1"/>
  <c r="T15" i="17"/>
  <c r="AH15" i="17" s="1"/>
  <c r="AM15" i="17" s="1"/>
  <c r="T29" i="17"/>
  <c r="AH29" i="17" s="1"/>
  <c r="AM29" i="17" s="1"/>
  <c r="T44" i="17"/>
  <c r="AH44" i="17" s="1"/>
  <c r="H90" i="14"/>
  <c r="D73" i="14"/>
  <c r="M73" i="14" s="1"/>
  <c r="I60" i="14"/>
  <c r="D50" i="14"/>
  <c r="M50" i="14" s="1"/>
  <c r="I42" i="14"/>
  <c r="M204" i="17"/>
  <c r="AD204" i="17" s="1"/>
  <c r="AL204" i="17" s="1"/>
  <c r="R274" i="17"/>
  <c r="S260" i="17"/>
  <c r="AP260" i="17" s="1"/>
  <c r="O238" i="17"/>
  <c r="L268" i="17"/>
  <c r="N161" i="17"/>
  <c r="P275" i="17"/>
  <c r="S305" i="17"/>
  <c r="AP305" i="17" s="1"/>
  <c r="M228" i="17"/>
  <c r="AD228" i="17" s="1"/>
  <c r="AL228" i="17" s="1"/>
  <c r="O283" i="17"/>
  <c r="V300" i="17"/>
  <c r="AQ300" i="17" s="1"/>
  <c r="T208" i="17"/>
  <c r="AH208" i="17" s="1"/>
  <c r="R259" i="17"/>
  <c r="M287" i="17"/>
  <c r="AD287" i="17" s="1"/>
  <c r="AL287" i="17" s="1"/>
  <c r="U301" i="17"/>
  <c r="T214" i="17"/>
  <c r="AH214" i="17" s="1"/>
  <c r="M251" i="17"/>
  <c r="AD251" i="17" s="1"/>
  <c r="AL251" i="17" s="1"/>
  <c r="P268" i="17"/>
  <c r="U279" i="17"/>
  <c r="R291" i="17"/>
  <c r="P300" i="17"/>
  <c r="P310" i="17"/>
  <c r="P155" i="17"/>
  <c r="M225" i="17"/>
  <c r="AD225" i="17" s="1"/>
  <c r="AL225" i="17" s="1"/>
  <c r="T194" i="17"/>
  <c r="AH194" i="17" s="1"/>
  <c r="M248" i="17"/>
  <c r="AD248" i="17" s="1"/>
  <c r="AL248" i="17" s="1"/>
  <c r="O185" i="17"/>
  <c r="P160" i="17"/>
  <c r="Q184" i="17"/>
  <c r="O278" i="17"/>
  <c r="AJ278" i="17" s="1"/>
  <c r="L298" i="17"/>
  <c r="U315" i="17"/>
  <c r="P326" i="17"/>
  <c r="L334" i="17"/>
  <c r="T340" i="17"/>
  <c r="AH340" i="17" s="1"/>
  <c r="P348" i="17"/>
  <c r="S184" i="17"/>
  <c r="AP184" i="17" s="1"/>
  <c r="Q267" i="17"/>
  <c r="N284" i="17"/>
  <c r="U295" i="17"/>
  <c r="U304" i="17"/>
  <c r="T313" i="17"/>
  <c r="AH313" i="17" s="1"/>
  <c r="T320" i="17"/>
  <c r="AH320" i="17" s="1"/>
  <c r="M328" i="17"/>
  <c r="AD328" i="17" s="1"/>
  <c r="AL328" i="17" s="1"/>
  <c r="U334" i="17"/>
  <c r="U340" i="17"/>
  <c r="Q348" i="17"/>
  <c r="U251" i="17"/>
  <c r="V276" i="17"/>
  <c r="AQ276" i="17" s="1"/>
  <c r="M291" i="17"/>
  <c r="AD291" i="17" s="1"/>
  <c r="AL291" i="17" s="1"/>
  <c r="Q300" i="17"/>
  <c r="Q312" i="17"/>
  <c r="R318" i="17"/>
  <c r="T323" i="17"/>
  <c r="AH323" i="17" s="1"/>
  <c r="T329" i="17"/>
  <c r="AH329" i="17" s="1"/>
  <c r="T335" i="17"/>
  <c r="AH335" i="17" s="1"/>
  <c r="V340" i="17"/>
  <c r="AQ340" i="17" s="1"/>
  <c r="V346" i="17"/>
  <c r="AQ346" i="17" s="1"/>
  <c r="M144" i="17"/>
  <c r="AD144" i="17" s="1"/>
  <c r="AL144" i="17" s="1"/>
  <c r="N251" i="17"/>
  <c r="S267" i="17"/>
  <c r="AP267" i="17" s="1"/>
  <c r="O279" i="17"/>
  <c r="N165" i="17"/>
  <c r="P280" i="17"/>
  <c r="L295" i="17"/>
  <c r="S312" i="17"/>
  <c r="AP312" i="17" s="1"/>
  <c r="P323" i="17"/>
  <c r="T333" i="17"/>
  <c r="AH333" i="17" s="1"/>
  <c r="L341" i="17"/>
  <c r="N236" i="17"/>
  <c r="Q280" i="17"/>
  <c r="L302" i="17"/>
  <c r="T318" i="17"/>
  <c r="AH318" i="17" s="1"/>
  <c r="V326" i="17"/>
  <c r="AQ326" i="17" s="1"/>
  <c r="V337" i="17"/>
  <c r="AQ337" i="17" s="1"/>
  <c r="L345" i="17"/>
  <c r="L292" i="17"/>
  <c r="P305" i="17"/>
  <c r="V316" i="17"/>
  <c r="AQ316" i="17" s="1"/>
  <c r="U327" i="17"/>
  <c r="P343" i="17"/>
  <c r="G18" i="14"/>
  <c r="L271" i="17"/>
  <c r="T297" i="17"/>
  <c r="AH297" i="17" s="1"/>
  <c r="M313" i="17"/>
  <c r="AD313" i="17" s="1"/>
  <c r="AL313" i="17" s="1"/>
  <c r="V323" i="17"/>
  <c r="AQ323" i="17" s="1"/>
  <c r="L338" i="17"/>
  <c r="N348" i="17"/>
  <c r="S273" i="17"/>
  <c r="AP273" i="17" s="1"/>
  <c r="U321" i="17"/>
  <c r="P346" i="17"/>
  <c r="G19" i="14"/>
  <c r="V260" i="17"/>
  <c r="AQ260" i="17" s="1"/>
  <c r="N311" i="17"/>
  <c r="T345" i="17"/>
  <c r="AH345" i="17" s="1"/>
  <c r="J18" i="14"/>
  <c r="I28" i="14"/>
  <c r="I38" i="14"/>
  <c r="I48" i="14"/>
  <c r="Q218" i="17"/>
  <c r="P313" i="17"/>
  <c r="M339" i="17"/>
  <c r="AD339" i="17" s="1"/>
  <c r="AL339" i="17" s="1"/>
  <c r="C23" i="14"/>
  <c r="V248" i="17"/>
  <c r="AQ248" i="17" s="1"/>
  <c r="N320" i="17"/>
  <c r="O338" i="17"/>
  <c r="F27" i="14"/>
  <c r="E37" i="14"/>
  <c r="L94" i="14"/>
  <c r="G76" i="14"/>
  <c r="E39" i="14"/>
  <c r="T238" i="17"/>
  <c r="AH238" i="17" s="1"/>
  <c r="U219" i="17"/>
  <c r="N164" i="17"/>
  <c r="U267" i="17"/>
  <c r="R239" i="17"/>
  <c r="T268" i="17"/>
  <c r="AH268" i="17" s="1"/>
  <c r="T161" i="17"/>
  <c r="AH161" i="17" s="1"/>
  <c r="N276" i="17"/>
  <c r="Q306" i="17"/>
  <c r="M233" i="17"/>
  <c r="AD233" i="17" s="1"/>
  <c r="AL233" i="17" s="1"/>
  <c r="Q284" i="17"/>
  <c r="L301" i="17"/>
  <c r="Q220" i="17"/>
  <c r="N263" i="17"/>
  <c r="U287" i="17"/>
  <c r="O305" i="17"/>
  <c r="S220" i="17"/>
  <c r="AP220" i="17" s="1"/>
  <c r="S251" i="17"/>
  <c r="AP251" i="17" s="1"/>
  <c r="O269" i="17"/>
  <c r="L281" i="17"/>
  <c r="P292" i="17"/>
  <c r="P302" i="17"/>
  <c r="R311" i="17"/>
  <c r="T165" i="17"/>
  <c r="AH165" i="17" s="1"/>
  <c r="M239" i="17"/>
  <c r="AD239" i="17" s="1"/>
  <c r="AL239" i="17" s="1"/>
  <c r="L200" i="17"/>
  <c r="Q253" i="17"/>
  <c r="U186" i="17"/>
  <c r="M165" i="17"/>
  <c r="AD165" i="17" s="1"/>
  <c r="AL165" i="17" s="1"/>
  <c r="Q203" i="17"/>
  <c r="R280" i="17"/>
  <c r="S302" i="17"/>
  <c r="AP302" i="17" s="1"/>
  <c r="T317" i="17"/>
  <c r="AH317" i="17" s="1"/>
  <c r="N327" i="17"/>
  <c r="T334" i="17"/>
  <c r="AH334" i="17" s="1"/>
  <c r="V341" i="17"/>
  <c r="AQ341" i="17" s="1"/>
  <c r="N349" i="17"/>
  <c r="R203" i="17"/>
  <c r="O271" i="17"/>
  <c r="O287" i="17"/>
  <c r="V296" i="17"/>
  <c r="AQ296" i="17" s="1"/>
  <c r="M306" i="17"/>
  <c r="AD306" i="17" s="1"/>
  <c r="AL306" i="17" s="1"/>
  <c r="P314" i="17"/>
  <c r="M322" i="17"/>
  <c r="AD322" i="17" s="1"/>
  <c r="AL322" i="17" s="1"/>
  <c r="U328" i="17"/>
  <c r="S335" i="17"/>
  <c r="AP335" i="17" s="1"/>
  <c r="M342" i="17"/>
  <c r="AD342" i="17" s="1"/>
  <c r="AL342" i="17" s="1"/>
  <c r="O349" i="17"/>
  <c r="T266" i="17"/>
  <c r="AH266" i="17" s="1"/>
  <c r="M277" i="17"/>
  <c r="AD277" i="17" s="1"/>
  <c r="AL277" i="17" s="1"/>
  <c r="S292" i="17"/>
  <c r="AP292" i="17" s="1"/>
  <c r="O303" i="17"/>
  <c r="U313" i="17"/>
  <c r="T319" i="17"/>
  <c r="AH319" i="17" s="1"/>
  <c r="R324" i="17"/>
  <c r="L331" i="17"/>
  <c r="N336" i="17"/>
  <c r="P341" i="17"/>
  <c r="L347" i="17"/>
  <c r="S161" i="17"/>
  <c r="AP161" i="17" s="1"/>
  <c r="V251" i="17"/>
  <c r="AQ251" i="17" s="1"/>
  <c r="U268" i="17"/>
  <c r="M281" i="17"/>
  <c r="AD281" i="17" s="1"/>
  <c r="AL281" i="17" s="1"/>
  <c r="Q168" i="17"/>
  <c r="U283" i="17"/>
  <c r="U299" i="17"/>
  <c r="S314" i="17"/>
  <c r="AP314" i="17" s="1"/>
  <c r="O324" i="17"/>
  <c r="S334" i="17"/>
  <c r="AP334" i="17" s="1"/>
  <c r="N343" i="17"/>
  <c r="P236" i="17"/>
  <c r="V289" i="17"/>
  <c r="AQ289" i="17" s="1"/>
  <c r="Q303" i="17"/>
  <c r="V319" i="17"/>
  <c r="AQ319" i="17" s="1"/>
  <c r="T327" i="17"/>
  <c r="AH327" i="17" s="1"/>
  <c r="U338" i="17"/>
  <c r="M347" i="17"/>
  <c r="AD347" i="17" s="1"/>
  <c r="AL347" i="17" s="1"/>
  <c r="Q293" i="17"/>
  <c r="T307" i="17"/>
  <c r="AH307" i="17" s="1"/>
  <c r="M317" i="17"/>
  <c r="AD317" i="17" s="1"/>
  <c r="AL317" i="17" s="1"/>
  <c r="M332" i="17"/>
  <c r="AD332" i="17" s="1"/>
  <c r="AL332" i="17" s="1"/>
  <c r="O344" i="17"/>
  <c r="L284" i="17"/>
  <c r="S298" i="17"/>
  <c r="AP298" i="17" s="1"/>
  <c r="N315" i="17"/>
  <c r="U324" i="17"/>
  <c r="U339" i="17"/>
  <c r="L349" i="17"/>
  <c r="N278" i="17"/>
  <c r="L327" i="17"/>
  <c r="E20" i="14"/>
  <c r="S283" i="17"/>
  <c r="AP283" i="17" s="1"/>
  <c r="M314" i="17"/>
  <c r="AD314" i="17" s="1"/>
  <c r="AL314" i="17" s="1"/>
  <c r="Q346" i="17"/>
  <c r="H19" i="14"/>
  <c r="H29" i="14"/>
  <c r="G39" i="14"/>
  <c r="G49" i="14"/>
  <c r="U248" i="17"/>
  <c r="S317" i="17"/>
  <c r="AP317" i="17" s="1"/>
  <c r="P340" i="17"/>
  <c r="L23" i="14"/>
  <c r="Q248" i="17"/>
  <c r="S231" i="17"/>
  <c r="AP231" i="17" s="1"/>
  <c r="U183" i="17"/>
  <c r="N155" i="17"/>
  <c r="T246" i="17"/>
  <c r="AH246" i="17" s="1"/>
  <c r="T274" i="17"/>
  <c r="AH274" i="17" s="1"/>
  <c r="M207" i="17"/>
  <c r="AD207" i="17" s="1"/>
  <c r="AL207" i="17" s="1"/>
  <c r="P285" i="17"/>
  <c r="S313" i="17"/>
  <c r="AP313" i="17" s="1"/>
  <c r="R252" i="17"/>
  <c r="P289" i="17"/>
  <c r="V302" i="17"/>
  <c r="AQ302" i="17" s="1"/>
  <c r="O227" i="17"/>
  <c r="O267" i="17"/>
  <c r="O290" i="17"/>
  <c r="L153" i="17"/>
  <c r="R227" i="17"/>
  <c r="S255" i="17"/>
  <c r="AP255" i="17" s="1"/>
  <c r="M270" i="17"/>
  <c r="AD270" i="17" s="1"/>
  <c r="AL270" i="17" s="1"/>
  <c r="S284" i="17"/>
  <c r="AP284" i="17" s="1"/>
  <c r="N293" i="17"/>
  <c r="L304" i="17"/>
  <c r="N313" i="17"/>
  <c r="P168" i="17"/>
  <c r="S257" i="17"/>
  <c r="AP257" i="17" s="1"/>
  <c r="O210" i="17"/>
  <c r="U255" i="17"/>
  <c r="U194" i="17"/>
  <c r="S181" i="17"/>
  <c r="AP181" i="17" s="1"/>
  <c r="U218" i="17"/>
  <c r="V283" i="17"/>
  <c r="AQ283" i="17" s="1"/>
  <c r="P304" i="17"/>
  <c r="Q319" i="17"/>
  <c r="V327" i="17"/>
  <c r="AQ327" i="17" s="1"/>
  <c r="R335" i="17"/>
  <c r="T342" i="17"/>
  <c r="AH342" i="17" s="1"/>
  <c r="V349" i="17"/>
  <c r="AQ349" i="17" s="1"/>
  <c r="S211" i="17"/>
  <c r="AP211" i="17" s="1"/>
  <c r="Q274" i="17"/>
  <c r="V288" i="17"/>
  <c r="AQ288" i="17" s="1"/>
  <c r="L297" i="17"/>
  <c r="L307" i="17"/>
  <c r="L315" i="17"/>
  <c r="U322" i="17"/>
  <c r="S329" i="17"/>
  <c r="AP329" i="17" s="1"/>
  <c r="M336" i="17"/>
  <c r="AD336" i="17" s="1"/>
  <c r="AL336" i="17" s="1"/>
  <c r="U342" i="17"/>
  <c r="R97" i="17"/>
  <c r="R267" i="17"/>
  <c r="V278" i="17"/>
  <c r="AQ278" i="17" s="1"/>
  <c r="P294" i="17"/>
  <c r="V304" i="17"/>
  <c r="AQ304" i="17" s="1"/>
  <c r="R314" i="17"/>
  <c r="L320" i="17"/>
  <c r="P325" i="17"/>
  <c r="T331" i="17"/>
  <c r="AH331" i="17" s="1"/>
  <c r="V336" i="17"/>
  <c r="AQ336" i="17" s="1"/>
  <c r="N342" i="17"/>
  <c r="T347" i="17"/>
  <c r="AH347" i="17" s="1"/>
  <c r="U193" i="17"/>
  <c r="O253" i="17"/>
  <c r="T269" i="17"/>
  <c r="AH269" i="17" s="1"/>
  <c r="P281" i="17"/>
  <c r="Q198" i="17"/>
  <c r="S286" i="17"/>
  <c r="AP286" i="17" s="1"/>
  <c r="T300" i="17"/>
  <c r="AH300" i="17" s="1"/>
  <c r="S316" i="17"/>
  <c r="AP316" i="17" s="1"/>
  <c r="M325" i="17"/>
  <c r="AD325" i="17" s="1"/>
  <c r="AL325" i="17" s="1"/>
  <c r="V335" i="17"/>
  <c r="AQ335" i="17" s="1"/>
  <c r="M344" i="17"/>
  <c r="AD344" i="17" s="1"/>
  <c r="AL344" i="17" s="1"/>
  <c r="O241" i="17"/>
  <c r="S291" i="17"/>
  <c r="AP291" i="17" s="1"/>
  <c r="N304" i="17"/>
  <c r="R321" i="17"/>
  <c r="S328" i="17"/>
  <c r="AP328" i="17" s="1"/>
  <c r="S339" i="17"/>
  <c r="AP339" i="17" s="1"/>
  <c r="L348" i="17"/>
  <c r="S185" i="17"/>
  <c r="AP185" i="17" s="1"/>
  <c r="V294" i="17"/>
  <c r="AQ294" i="17" s="1"/>
  <c r="O308" i="17"/>
  <c r="V318" i="17"/>
  <c r="AQ318" i="17" s="1"/>
  <c r="M335" i="17"/>
  <c r="AD335" i="17" s="1"/>
  <c r="AL335" i="17" s="1"/>
  <c r="M345" i="17"/>
  <c r="AD345" i="17" s="1"/>
  <c r="AL345" i="17" s="1"/>
  <c r="Q182" i="17"/>
  <c r="M285" i="17"/>
  <c r="AD285" i="17" s="1"/>
  <c r="AL285" i="17" s="1"/>
  <c r="R302" i="17"/>
  <c r="N317" i="17"/>
  <c r="S325" i="17"/>
  <c r="AP325" i="17" s="1"/>
  <c r="R341" i="17"/>
  <c r="M283" i="17"/>
  <c r="AD283" i="17" s="1"/>
  <c r="AL283" i="17" s="1"/>
  <c r="P328" i="17"/>
  <c r="C21" i="14"/>
  <c r="O285" i="17"/>
  <c r="T315" i="17"/>
  <c r="AH315" i="17" s="1"/>
  <c r="P347" i="17"/>
  <c r="F20" i="14"/>
  <c r="F30" i="14"/>
  <c r="E40" i="14"/>
  <c r="E50" i="14"/>
  <c r="V269" i="17"/>
  <c r="AQ269" i="17" s="1"/>
  <c r="L324" i="17"/>
  <c r="S341" i="17"/>
  <c r="AP341" i="17" s="1"/>
  <c r="S176" i="17"/>
  <c r="AP176" i="17" s="1"/>
  <c r="T272" i="17"/>
  <c r="AH272" i="17" s="1"/>
  <c r="M324" i="17"/>
  <c r="AD324" i="17" s="1"/>
  <c r="AL324" i="17" s="1"/>
  <c r="T341" i="17"/>
  <c r="AH341" i="17" s="1"/>
  <c r="I20" i="14"/>
  <c r="I30" i="14"/>
  <c r="I40" i="14"/>
  <c r="J89" i="14"/>
  <c r="P330" i="17"/>
  <c r="P329" i="17"/>
  <c r="G30" i="14"/>
  <c r="C18" i="14"/>
  <c r="M257" i="17"/>
  <c r="AD257" i="17" s="1"/>
  <c r="AL257" i="17" s="1"/>
  <c r="M338" i="17"/>
  <c r="AD338" i="17" s="1"/>
  <c r="AL338" i="17" s="1"/>
  <c r="F39" i="14"/>
  <c r="D87" i="14"/>
  <c r="M87" i="14" s="1"/>
  <c r="C34" i="14"/>
  <c r="F57" i="14"/>
  <c r="T55" i="17"/>
  <c r="AH55" i="17" s="1"/>
  <c r="T32" i="17"/>
  <c r="AH32" i="17" s="1"/>
  <c r="M330" i="17"/>
  <c r="AD330" i="17" s="1"/>
  <c r="AL330" i="17" s="1"/>
  <c r="N330" i="17"/>
  <c r="R330" i="17"/>
  <c r="V330" i="17"/>
  <c r="AQ330" i="17" s="1"/>
  <c r="L330" i="17"/>
  <c r="Q330" i="17"/>
  <c r="T330" i="17"/>
  <c r="AH330" i="17" s="1"/>
  <c r="C37" i="14"/>
  <c r="C28" i="14"/>
  <c r="F41" i="14"/>
  <c r="J58" i="14"/>
  <c r="I78" i="14"/>
  <c r="F95" i="14"/>
  <c r="G60" i="14"/>
  <c r="C82" i="14"/>
  <c r="G42" i="14"/>
  <c r="D91" i="14"/>
  <c r="M91" i="14" s="1"/>
  <c r="V343" i="17"/>
  <c r="AQ343" i="17" s="1"/>
  <c r="H39" i="14"/>
  <c r="D58" i="14"/>
  <c r="M58" i="14" s="1"/>
  <c r="T57" i="17"/>
  <c r="AH57" i="17" s="1"/>
  <c r="T7" i="17"/>
  <c r="AH7" i="17" s="1"/>
  <c r="AK206" i="17"/>
  <c r="S171" i="17"/>
  <c r="AP171" i="17" s="1"/>
  <c r="T285" i="17"/>
  <c r="AH285" i="17" s="1"/>
  <c r="E38" i="14"/>
  <c r="AL323" i="17"/>
  <c r="AL164" i="17"/>
  <c r="AL221" i="17"/>
  <c r="AL310" i="17"/>
  <c r="AL152" i="17"/>
  <c r="AL168" i="17"/>
  <c r="AL79" i="17"/>
  <c r="AL157" i="17"/>
  <c r="AL141" i="17"/>
  <c r="AL117" i="17"/>
  <c r="AL84" i="17"/>
  <c r="AL97" i="17"/>
  <c r="AL61" i="17"/>
  <c r="AL48" i="17"/>
  <c r="AL32" i="17"/>
  <c r="J27" i="14"/>
  <c r="J37" i="14"/>
  <c r="I50" i="14"/>
  <c r="F59" i="14"/>
  <c r="E69" i="14"/>
  <c r="G78" i="14"/>
  <c r="C85" i="14"/>
  <c r="E92" i="14"/>
  <c r="D85" i="14"/>
  <c r="M85" i="14" s="1"/>
  <c r="L77" i="14"/>
  <c r="M4" i="17"/>
  <c r="AD4" i="17" s="1"/>
  <c r="AL4" i="17" s="1"/>
  <c r="O320" i="17"/>
  <c r="D37" i="14"/>
  <c r="M37" i="14" s="1"/>
  <c r="F61" i="14"/>
  <c r="F86" i="14"/>
  <c r="M146" i="17"/>
  <c r="AD146" i="17" s="1"/>
  <c r="AL146" i="17" s="1"/>
  <c r="H28" i="14"/>
  <c r="I44" i="14"/>
  <c r="Q281" i="17"/>
  <c r="N329" i="17"/>
  <c r="E21" i="14"/>
  <c r="K21" i="14" s="1"/>
  <c r="G33" i="14"/>
  <c r="C44" i="14"/>
  <c r="C56" i="14"/>
  <c r="H63" i="14"/>
  <c r="C71" i="14"/>
  <c r="H78" i="14"/>
  <c r="F92" i="14"/>
  <c r="J88" i="14"/>
  <c r="L33" i="14"/>
  <c r="J64" i="14"/>
  <c r="O260" i="17"/>
  <c r="M333" i="17"/>
  <c r="AD333" i="17" s="1"/>
  <c r="AL333" i="17" s="1"/>
  <c r="D29" i="14"/>
  <c r="M29" i="14" s="1"/>
  <c r="E42" i="14"/>
  <c r="H59" i="14"/>
  <c r="G79" i="14"/>
  <c r="C96" i="14"/>
  <c r="E61" i="14"/>
  <c r="H84" i="14"/>
  <c r="F45" i="14"/>
  <c r="F93" i="14"/>
  <c r="J40" i="14"/>
  <c r="F67" i="14"/>
  <c r="T56" i="17"/>
  <c r="AH56" i="17" s="1"/>
  <c r="T51" i="17"/>
  <c r="AH51" i="17" s="1"/>
  <c r="Q187" i="17"/>
  <c r="M343" i="17"/>
  <c r="AD343" i="17" s="1"/>
  <c r="AL343" i="17" s="1"/>
  <c r="H61" i="14"/>
  <c r="I24" i="14"/>
  <c r="I34" i="14"/>
  <c r="L47" i="14"/>
  <c r="L56" i="14"/>
  <c r="G64" i="14"/>
  <c r="L71" i="14"/>
  <c r="F79" i="14"/>
  <c r="H94" i="14"/>
  <c r="L96" i="14"/>
  <c r="F38" i="14"/>
  <c r="F71" i="14"/>
  <c r="V291" i="17"/>
  <c r="AQ291" i="17" s="1"/>
  <c r="S290" i="17"/>
  <c r="AP290" i="17" s="1"/>
  <c r="E30" i="14"/>
  <c r="C45" i="14"/>
  <c r="F60" i="14"/>
  <c r="E80" i="14"/>
  <c r="K80" i="14" s="1"/>
  <c r="C62" i="14"/>
  <c r="C87" i="14"/>
  <c r="D48" i="14"/>
  <c r="M48" i="14" s="1"/>
  <c r="H95" i="14"/>
  <c r="I41" i="14"/>
  <c r="D68" i="14"/>
  <c r="M68" i="14" s="1"/>
  <c r="T61" i="17"/>
  <c r="AH61" i="17" s="1"/>
  <c r="T40" i="17"/>
  <c r="AH40" i="17" s="1"/>
  <c r="O187" i="17"/>
  <c r="AJ206" i="17"/>
  <c r="S330" i="17"/>
  <c r="AP330" i="17" s="1"/>
  <c r="R320" i="17"/>
  <c r="N307" i="17"/>
  <c r="U348" i="17"/>
  <c r="E72" i="14"/>
  <c r="I92" i="14"/>
  <c r="G71" i="14"/>
  <c r="L312" i="17"/>
  <c r="L31" i="14"/>
  <c r="G47" i="14"/>
  <c r="M331" i="17"/>
  <c r="AD331" i="17" s="1"/>
  <c r="AL331" i="17" s="1"/>
  <c r="U341" i="17"/>
  <c r="J25" i="14"/>
  <c r="L37" i="14"/>
  <c r="J49" i="14"/>
  <c r="J57" i="14"/>
  <c r="E65" i="14"/>
  <c r="J72" i="14"/>
  <c r="D80" i="14"/>
  <c r="M80" i="14" s="1"/>
  <c r="J96" i="14"/>
  <c r="M278" i="17"/>
  <c r="AD278" i="17" s="1"/>
  <c r="AL278" i="17" s="1"/>
  <c r="H41" i="14"/>
  <c r="J74" i="14"/>
  <c r="U344" i="17"/>
  <c r="D18" i="14"/>
  <c r="M18" i="14" s="1"/>
  <c r="F31" i="14"/>
  <c r="L48" i="14"/>
  <c r="D66" i="14"/>
  <c r="M66" i="14" s="1"/>
  <c r="C86" i="14"/>
  <c r="D47" i="14"/>
  <c r="M47" i="14" s="1"/>
  <c r="L67" i="14"/>
  <c r="C63" i="14"/>
  <c r="F47" i="14"/>
  <c r="I70" i="14"/>
  <c r="T53" i="17"/>
  <c r="AH53" i="17" s="1"/>
  <c r="Q2" i="17"/>
  <c r="P187" i="17"/>
  <c r="Q327" i="17"/>
  <c r="E18" i="14"/>
  <c r="K18" i="14" s="1"/>
  <c r="J92" i="14"/>
  <c r="I69" i="14"/>
  <c r="T299" i="17"/>
  <c r="AH299" i="17" s="1"/>
  <c r="H65" i="14"/>
  <c r="G28" i="14"/>
  <c r="E48" i="14"/>
  <c r="L83" i="14"/>
  <c r="T52" i="17"/>
  <c r="AH52" i="17" s="1"/>
  <c r="T36" i="17"/>
  <c r="AH36" i="17" s="1"/>
  <c r="L187" i="17"/>
  <c r="V311" i="17"/>
  <c r="AQ311" i="17" s="1"/>
  <c r="E28" i="14"/>
  <c r="C38" i="14"/>
  <c r="Q339" i="17"/>
  <c r="AL254" i="17"/>
  <c r="AK197" i="17"/>
  <c r="Q254" i="17"/>
  <c r="M245" i="17"/>
  <c r="AD245" i="17" s="1"/>
  <c r="AL245" i="17" s="1"/>
  <c r="AI197" i="17"/>
  <c r="AL197" i="17"/>
  <c r="U254" i="17"/>
  <c r="P254" i="17"/>
  <c r="T254" i="17"/>
  <c r="AH254" i="17" s="1"/>
  <c r="V254" i="17"/>
  <c r="AQ254" i="17" s="1"/>
  <c r="L254" i="17"/>
  <c r="R254" i="17"/>
  <c r="T245" i="17"/>
  <c r="AH245" i="17" s="1"/>
  <c r="M254" i="17"/>
  <c r="AD254" i="17" s="1"/>
  <c r="O254" i="17"/>
  <c r="AJ254" i="17" s="1"/>
  <c r="L245" i="17"/>
  <c r="AE245" i="17" s="1"/>
  <c r="F49" i="14"/>
  <c r="S289" i="17"/>
  <c r="AP289" i="17" s="1"/>
  <c r="P315" i="17"/>
  <c r="P334" i="17"/>
  <c r="Q347" i="17"/>
  <c r="H22" i="14"/>
  <c r="I27" i="14"/>
  <c r="G35" i="14"/>
  <c r="L39" i="14"/>
  <c r="L42" i="14"/>
  <c r="H48" i="14"/>
  <c r="F52" i="14"/>
  <c r="L55" i="14"/>
  <c r="D59" i="14"/>
  <c r="M59" i="14" s="1"/>
  <c r="H62" i="14"/>
  <c r="J66" i="14"/>
  <c r="J71" i="14"/>
  <c r="I76" i="14"/>
  <c r="I81" i="14"/>
  <c r="I86" i="14"/>
  <c r="J90" i="14"/>
  <c r="I93" i="14"/>
  <c r="T239" i="17"/>
  <c r="AH239" i="17" s="1"/>
  <c r="N296" i="17"/>
  <c r="O322" i="17"/>
  <c r="T332" i="17"/>
  <c r="AH332" i="17" s="1"/>
  <c r="U345" i="17"/>
  <c r="D19" i="14"/>
  <c r="M19" i="14" s="1"/>
  <c r="G25" i="14"/>
  <c r="C32" i="14"/>
  <c r="H36" i="14"/>
  <c r="L40" i="14"/>
  <c r="I46" i="14"/>
  <c r="G50" i="14"/>
  <c r="E54" i="14"/>
  <c r="H57" i="14"/>
  <c r="L60" i="14"/>
  <c r="D64" i="14"/>
  <c r="M64" i="14" s="1"/>
  <c r="F68" i="14"/>
  <c r="F73" i="14"/>
  <c r="F78" i="14"/>
  <c r="F83" i="14"/>
  <c r="E88" i="14"/>
  <c r="D92" i="14"/>
  <c r="M92" i="14" s="1"/>
  <c r="C95" i="14"/>
  <c r="R286" i="17"/>
  <c r="R312" i="17"/>
  <c r="U325" i="17"/>
  <c r="N337" i="17"/>
  <c r="M349" i="17"/>
  <c r="AD349" i="17" s="1"/>
  <c r="AL349" i="17" s="1"/>
  <c r="D24" i="14"/>
  <c r="M24" i="14" s="1"/>
  <c r="L29" i="14"/>
  <c r="E34" i="14"/>
  <c r="J38" i="14"/>
  <c r="J45" i="14"/>
  <c r="H49" i="14"/>
  <c r="E53" i="14"/>
  <c r="J56" i="14"/>
  <c r="C60" i="14"/>
  <c r="F63" i="14"/>
  <c r="H67" i="14"/>
  <c r="H72" i="14"/>
  <c r="H77" i="14"/>
  <c r="G82" i="14"/>
  <c r="G87" i="14"/>
  <c r="G91" i="14"/>
  <c r="F94" i="14"/>
  <c r="O275" i="17"/>
  <c r="P306" i="17"/>
  <c r="N324" i="17"/>
  <c r="U335" i="17"/>
  <c r="M346" i="17"/>
  <c r="AD346" i="17" s="1"/>
  <c r="AL346" i="17" s="1"/>
  <c r="L20" i="14"/>
  <c r="I26" i="14"/>
  <c r="E33" i="14"/>
  <c r="I37" i="14"/>
  <c r="L41" i="14"/>
  <c r="H47" i="14"/>
  <c r="G51" i="14"/>
  <c r="C55" i="14"/>
  <c r="F58" i="14"/>
  <c r="J61" i="14"/>
  <c r="L65" i="14"/>
  <c r="D69" i="14"/>
  <c r="M69" i="14" s="1"/>
  <c r="D74" i="14"/>
  <c r="M74" i="14" s="1"/>
  <c r="D79" i="14"/>
  <c r="M79" i="14" s="1"/>
  <c r="D84" i="14"/>
  <c r="M84" i="14" s="1"/>
  <c r="D89" i="14"/>
  <c r="M89" i="14" s="1"/>
  <c r="L92" i="14"/>
  <c r="H96" i="14"/>
  <c r="H86" i="14"/>
  <c r="U235" i="17"/>
  <c r="U245" i="17"/>
  <c r="N254" i="17"/>
  <c r="R245" i="17"/>
  <c r="O245" i="17"/>
  <c r="AJ245" i="17" s="1"/>
  <c r="F50" i="14"/>
  <c r="S254" i="17"/>
  <c r="AP254" i="17" s="1"/>
  <c r="Q235" i="17"/>
  <c r="AR142" i="17" l="1"/>
  <c r="AI173" i="17"/>
  <c r="AE186" i="17"/>
  <c r="AK186" i="17"/>
  <c r="AN29" i="17"/>
  <c r="AI170" i="17"/>
  <c r="AI34" i="17"/>
  <c r="AN110" i="17"/>
  <c r="AI7" i="17"/>
  <c r="AJ7" i="17"/>
  <c r="AR138" i="17"/>
  <c r="AR178" i="17"/>
  <c r="AN26" i="17"/>
  <c r="AN86" i="17"/>
  <c r="AJ46" i="17"/>
  <c r="AM229" i="17"/>
  <c r="AI182" i="17"/>
  <c r="AJ182" i="17"/>
  <c r="K28" i="14"/>
  <c r="AJ330" i="17"/>
  <c r="AN54" i="17"/>
  <c r="AJ102" i="17"/>
  <c r="AJ17" i="17"/>
  <c r="AJ47" i="17"/>
  <c r="AI47" i="17"/>
  <c r="AE191" i="17"/>
  <c r="AK191" i="17"/>
  <c r="K40" i="14"/>
  <c r="AJ9" i="17"/>
  <c r="AN9" i="17" s="1"/>
  <c r="AI9" i="17"/>
  <c r="AI258" i="17"/>
  <c r="AJ258" i="17"/>
  <c r="AI186" i="17"/>
  <c r="AJ186" i="17"/>
  <c r="AM146" i="17"/>
  <c r="AN58" i="17"/>
  <c r="AJ94" i="17"/>
  <c r="K48" i="14"/>
  <c r="K54" i="14"/>
  <c r="K61" i="14"/>
  <c r="K50" i="14"/>
  <c r="K88" i="14"/>
  <c r="K92" i="14"/>
  <c r="K85" i="14"/>
  <c r="K20" i="14"/>
  <c r="K42" i="14"/>
  <c r="K53" i="14"/>
  <c r="K33" i="14"/>
  <c r="K55" i="14"/>
  <c r="AR210" i="17"/>
  <c r="AN78" i="17"/>
  <c r="AN62" i="17"/>
  <c r="AN94" i="17"/>
  <c r="AG187" i="17"/>
  <c r="AF187" i="17"/>
  <c r="AG327" i="17"/>
  <c r="AF327" i="17"/>
  <c r="AF281" i="17"/>
  <c r="AG281" i="17"/>
  <c r="K69" i="14"/>
  <c r="AJ210" i="17"/>
  <c r="AI210" i="17"/>
  <c r="AG293" i="17"/>
  <c r="AF293" i="17"/>
  <c r="AG267" i="17"/>
  <c r="AF267" i="17"/>
  <c r="AE334" i="17"/>
  <c r="AK334" i="17"/>
  <c r="AJ283" i="17"/>
  <c r="AI283" i="17"/>
  <c r="AI304" i="17"/>
  <c r="AJ304" i="17"/>
  <c r="AK323" i="17"/>
  <c r="AE323" i="17"/>
  <c r="AJ343" i="17"/>
  <c r="AI343" i="17"/>
  <c r="AG326" i="17"/>
  <c r="AF326" i="17"/>
  <c r="AG211" i="17"/>
  <c r="AF211" i="17"/>
  <c r="AG7" i="17"/>
  <c r="AF7" i="17"/>
  <c r="AR7" i="17" s="1"/>
  <c r="AI334" i="17"/>
  <c r="AJ334" i="17"/>
  <c r="AK333" i="17"/>
  <c r="AE333" i="17"/>
  <c r="AR333" i="17" s="1"/>
  <c r="AK313" i="17"/>
  <c r="AE313" i="17"/>
  <c r="AI342" i="17"/>
  <c r="AJ342" i="17"/>
  <c r="AG292" i="17"/>
  <c r="AF292" i="17"/>
  <c r="AG297" i="17"/>
  <c r="AF297" i="17"/>
  <c r="AG286" i="17"/>
  <c r="AF286" i="17"/>
  <c r="AI219" i="17"/>
  <c r="AJ219" i="17"/>
  <c r="AI233" i="17"/>
  <c r="AJ233" i="17"/>
  <c r="AG115" i="17"/>
  <c r="AF115" i="17"/>
  <c r="AE346" i="17"/>
  <c r="AK346" i="17"/>
  <c r="AF342" i="17"/>
  <c r="AG342" i="17"/>
  <c r="AE174" i="17"/>
  <c r="AK174" i="17"/>
  <c r="AG228" i="17"/>
  <c r="AF228" i="17"/>
  <c r="AK147" i="17"/>
  <c r="AE147" i="17"/>
  <c r="AE223" i="17"/>
  <c r="AK223" i="17"/>
  <c r="AE267" i="17"/>
  <c r="AK267" i="17"/>
  <c r="AK221" i="17"/>
  <c r="AE221" i="17"/>
  <c r="AF153" i="17"/>
  <c r="AG153" i="17"/>
  <c r="AM153" i="17" s="1"/>
  <c r="AE261" i="17"/>
  <c r="AK261" i="17"/>
  <c r="AK212" i="17"/>
  <c r="AE212" i="17"/>
  <c r="AG227" i="17"/>
  <c r="AF227" i="17"/>
  <c r="AI251" i="17"/>
  <c r="AJ251" i="17"/>
  <c r="AG283" i="17"/>
  <c r="AF283" i="17"/>
  <c r="AI292" i="17"/>
  <c r="AJ292" i="17"/>
  <c r="AK305" i="17"/>
  <c r="AE305" i="17"/>
  <c r="AR305" i="17" s="1"/>
  <c r="AJ273" i="17"/>
  <c r="AI273" i="17"/>
  <c r="AG226" i="17"/>
  <c r="AF226" i="17"/>
  <c r="AK175" i="17"/>
  <c r="AE175" i="17"/>
  <c r="AJ191" i="17"/>
  <c r="AI191" i="17"/>
  <c r="AG291" i="17"/>
  <c r="AF291" i="17"/>
  <c r="AG214" i="17"/>
  <c r="AF214" i="17"/>
  <c r="AG271" i="17"/>
  <c r="AF271" i="17"/>
  <c r="AI225" i="17"/>
  <c r="AJ225" i="17"/>
  <c r="AE233" i="17"/>
  <c r="AK233" i="17"/>
  <c r="AI295" i="17"/>
  <c r="AJ295" i="17"/>
  <c r="AE259" i="17"/>
  <c r="AK259" i="17"/>
  <c r="AG180" i="17"/>
  <c r="AF180" i="17"/>
  <c r="AG96" i="17"/>
  <c r="AF96" i="17"/>
  <c r="AG250" i="17"/>
  <c r="AF250" i="17"/>
  <c r="AE136" i="17"/>
  <c r="AK136" i="17"/>
  <c r="AG132" i="17"/>
  <c r="AF132" i="17"/>
  <c r="AG104" i="17"/>
  <c r="AF104" i="17"/>
  <c r="AG119" i="17"/>
  <c r="AF119" i="17"/>
  <c r="AG204" i="17"/>
  <c r="AF204" i="17"/>
  <c r="AG156" i="17"/>
  <c r="AF156" i="17"/>
  <c r="AG232" i="17"/>
  <c r="AF232" i="17"/>
  <c r="AG149" i="17"/>
  <c r="AF149" i="17"/>
  <c r="AG97" i="17"/>
  <c r="AF97" i="17"/>
  <c r="AI192" i="17"/>
  <c r="AJ192" i="17"/>
  <c r="AE96" i="17"/>
  <c r="AK96" i="17"/>
  <c r="K63" i="14"/>
  <c r="AK68" i="17"/>
  <c r="AE68" i="17"/>
  <c r="AG107" i="17"/>
  <c r="AF107" i="17"/>
  <c r="AK116" i="17"/>
  <c r="AE116" i="17"/>
  <c r="AG60" i="17"/>
  <c r="AF60" i="17"/>
  <c r="AG196" i="17"/>
  <c r="AF196" i="17"/>
  <c r="AG233" i="17"/>
  <c r="AF233" i="17"/>
  <c r="AG103" i="17"/>
  <c r="AF103" i="17"/>
  <c r="AE115" i="17"/>
  <c r="AR115" i="17" s="1"/>
  <c r="AK115" i="17"/>
  <c r="AG144" i="17"/>
  <c r="AF144" i="17"/>
  <c r="K58" i="14"/>
  <c r="AG133" i="17"/>
  <c r="AF133" i="17"/>
  <c r="AK107" i="17"/>
  <c r="AE107" i="17"/>
  <c r="AE67" i="17"/>
  <c r="AK67" i="17"/>
  <c r="AE69" i="17"/>
  <c r="AK69" i="17"/>
  <c r="AG309" i="17"/>
  <c r="AF309" i="17"/>
  <c r="K83" i="14"/>
  <c r="AI294" i="17"/>
  <c r="AJ145" i="17"/>
  <c r="AI145" i="17"/>
  <c r="AI75" i="17"/>
  <c r="AJ75" i="17"/>
  <c r="AJ165" i="17"/>
  <c r="AI165" i="17"/>
  <c r="AJ91" i="17"/>
  <c r="AI91" i="17"/>
  <c r="K79" i="14"/>
  <c r="AG331" i="17"/>
  <c r="AF331" i="17"/>
  <c r="AG186" i="17"/>
  <c r="AM186" i="17" s="1"/>
  <c r="AF186" i="17"/>
  <c r="AK162" i="17"/>
  <c r="AE162" i="17"/>
  <c r="AM162" i="17" s="1"/>
  <c r="AJ156" i="17"/>
  <c r="AI156" i="17"/>
  <c r="AI105" i="17"/>
  <c r="AJ105" i="17"/>
  <c r="AK344" i="17"/>
  <c r="AE344" i="17"/>
  <c r="K24" i="14"/>
  <c r="AG311" i="17"/>
  <c r="AF311" i="17"/>
  <c r="K86" i="14"/>
  <c r="K76" i="14"/>
  <c r="AK215" i="17"/>
  <c r="AE215" i="17"/>
  <c r="AR215" i="17" s="1"/>
  <c r="AI125" i="17"/>
  <c r="AJ125" i="17"/>
  <c r="AF262" i="17"/>
  <c r="AG262" i="17"/>
  <c r="AG210" i="17"/>
  <c r="AF210" i="17"/>
  <c r="K19" i="14"/>
  <c r="AJ70" i="17"/>
  <c r="AN70" i="17" s="1"/>
  <c r="AI115" i="17"/>
  <c r="AJ115" i="17"/>
  <c r="AM44" i="17"/>
  <c r="AM11" i="17"/>
  <c r="AJ78" i="17"/>
  <c r="AJ229" i="17"/>
  <c r="AI229" i="17"/>
  <c r="AN28" i="17"/>
  <c r="AM47" i="17"/>
  <c r="AN17" i="17"/>
  <c r="AR158" i="17"/>
  <c r="AJ42" i="17"/>
  <c r="AN46" i="17"/>
  <c r="AJ104" i="17"/>
  <c r="AJ223" i="17"/>
  <c r="AN33" i="17"/>
  <c r="AJ12" i="17"/>
  <c r="AI12" i="17"/>
  <c r="AG235" i="17"/>
  <c r="AF235" i="17"/>
  <c r="AK187" i="17"/>
  <c r="AE187" i="17"/>
  <c r="AR187" i="17" s="1"/>
  <c r="AJ320" i="17"/>
  <c r="AI320" i="17"/>
  <c r="AK348" i="17"/>
  <c r="AE348" i="17"/>
  <c r="AG319" i="17"/>
  <c r="AF319" i="17"/>
  <c r="AR319" i="17" s="1"/>
  <c r="AG248" i="17"/>
  <c r="AF248" i="17"/>
  <c r="AG168" i="17"/>
  <c r="AF168" i="17"/>
  <c r="AG203" i="17"/>
  <c r="AF203" i="17"/>
  <c r="AJ326" i="17"/>
  <c r="AI326" i="17"/>
  <c r="AI312" i="17"/>
  <c r="AJ312" i="17"/>
  <c r="AG333" i="17"/>
  <c r="AF333" i="17"/>
  <c r="AJ335" i="17"/>
  <c r="AI335" i="17"/>
  <c r="AG349" i="17"/>
  <c r="AF349" i="17"/>
  <c r="AI336" i="17"/>
  <c r="AJ336" i="17"/>
  <c r="AJ293" i="17"/>
  <c r="AI293" i="17"/>
  <c r="AF318" i="17"/>
  <c r="AG318" i="17"/>
  <c r="AI300" i="17"/>
  <c r="AJ300" i="17"/>
  <c r="AG264" i="17"/>
  <c r="AF264" i="17"/>
  <c r="AJ341" i="17"/>
  <c r="AI341" i="17"/>
  <c r="AJ306" i="17"/>
  <c r="AI306" i="17"/>
  <c r="AJ321" i="17"/>
  <c r="AI321" i="17"/>
  <c r="AG302" i="17"/>
  <c r="AF302" i="17"/>
  <c r="AI311" i="17"/>
  <c r="AJ311" i="17"/>
  <c r="AK306" i="17"/>
  <c r="AE306" i="17"/>
  <c r="AG276" i="17"/>
  <c r="AF276" i="17"/>
  <c r="AG343" i="17"/>
  <c r="AF343" i="17"/>
  <c r="AK322" i="17"/>
  <c r="AE322" i="17"/>
  <c r="AK172" i="17"/>
  <c r="AE172" i="17"/>
  <c r="AJ277" i="17"/>
  <c r="AI277" i="17"/>
  <c r="AI286" i="17"/>
  <c r="AJ286" i="17"/>
  <c r="AK316" i="17"/>
  <c r="AE316" i="17"/>
  <c r="AG208" i="17"/>
  <c r="AF208" i="17"/>
  <c r="AI250" i="17"/>
  <c r="AJ250" i="17"/>
  <c r="AK213" i="17"/>
  <c r="AE213" i="17"/>
  <c r="AI228" i="17"/>
  <c r="AJ228" i="17"/>
  <c r="AK123" i="17"/>
  <c r="AE123" i="17"/>
  <c r="AK280" i="17"/>
  <c r="AE280" i="17"/>
  <c r="AK208" i="17"/>
  <c r="AE208" i="17"/>
  <c r="AG219" i="17"/>
  <c r="AF219" i="17"/>
  <c r="AK173" i="17"/>
  <c r="AE173" i="17"/>
  <c r="AJ217" i="17"/>
  <c r="AI217" i="17"/>
  <c r="AG266" i="17"/>
  <c r="AF266" i="17"/>
  <c r="AK260" i="17"/>
  <c r="AE260" i="17"/>
  <c r="AI264" i="17"/>
  <c r="AJ264" i="17"/>
  <c r="AE234" i="17"/>
  <c r="AK234" i="17"/>
  <c r="AE169" i="17"/>
  <c r="AK169" i="17"/>
  <c r="AG127" i="17"/>
  <c r="AF127" i="17"/>
  <c r="AG259" i="17"/>
  <c r="AF259" i="17"/>
  <c r="AG288" i="17"/>
  <c r="AF288" i="17"/>
  <c r="AI214" i="17"/>
  <c r="AJ214" i="17"/>
  <c r="AJ140" i="17"/>
  <c r="AI140" i="17"/>
  <c r="AE232" i="17"/>
  <c r="AK232" i="17"/>
  <c r="AF294" i="17"/>
  <c r="AG294" i="17"/>
  <c r="AE236" i="17"/>
  <c r="AK236" i="17"/>
  <c r="AE194" i="17"/>
  <c r="AK194" i="17"/>
  <c r="AG161" i="17"/>
  <c r="AF161" i="17"/>
  <c r="AG295" i="17"/>
  <c r="AF295" i="17"/>
  <c r="AI221" i="17"/>
  <c r="AJ221" i="17"/>
  <c r="AG159" i="17"/>
  <c r="AF159" i="17"/>
  <c r="AE75" i="17"/>
  <c r="AR75" i="17" s="1"/>
  <c r="AK75" i="17"/>
  <c r="AK92" i="17"/>
  <c r="AE92" i="17"/>
  <c r="AR44" i="17"/>
  <c r="AG64" i="17"/>
  <c r="AF64" i="17"/>
  <c r="AF52" i="17"/>
  <c r="AR52" i="17" s="1"/>
  <c r="AN52" i="17" s="1"/>
  <c r="AG52" i="17"/>
  <c r="AM52" i="17" s="1"/>
  <c r="AE192" i="17"/>
  <c r="AK192" i="17"/>
  <c r="AE88" i="17"/>
  <c r="AK88" i="17"/>
  <c r="AK80" i="17"/>
  <c r="AE80" i="17"/>
  <c r="AK108" i="17"/>
  <c r="AE108" i="17"/>
  <c r="AK181" i="17"/>
  <c r="AE181" i="17"/>
  <c r="AG225" i="17"/>
  <c r="AF225" i="17"/>
  <c r="AG87" i="17"/>
  <c r="AF87" i="17"/>
  <c r="AG80" i="17"/>
  <c r="AF80" i="17"/>
  <c r="AG125" i="17"/>
  <c r="AF125" i="17"/>
  <c r="AE71" i="17"/>
  <c r="AK71" i="17"/>
  <c r="AG244" i="17"/>
  <c r="AF244" i="17"/>
  <c r="AE149" i="17"/>
  <c r="AK149" i="17"/>
  <c r="AG109" i="17"/>
  <c r="AF109" i="17"/>
  <c r="AK113" i="17"/>
  <c r="AE113" i="17"/>
  <c r="AG25" i="17"/>
  <c r="AM25" i="17" s="1"/>
  <c r="AF25" i="17"/>
  <c r="AR25" i="17" s="1"/>
  <c r="AN25" i="17" s="1"/>
  <c r="K75" i="14"/>
  <c r="AI278" i="17"/>
  <c r="AI123" i="17"/>
  <c r="AJ123" i="17"/>
  <c r="AJ71" i="17"/>
  <c r="AI71" i="17"/>
  <c r="AI161" i="17"/>
  <c r="AJ161" i="17"/>
  <c r="AI92" i="17"/>
  <c r="AJ92" i="17"/>
  <c r="AK258" i="17"/>
  <c r="AE258" i="17"/>
  <c r="AM258" i="17" s="1"/>
  <c r="H97" i="14"/>
  <c r="AI150" i="17"/>
  <c r="AJ150" i="17"/>
  <c r="AI160" i="17"/>
  <c r="AJ160" i="17"/>
  <c r="AJ43" i="17"/>
  <c r="AI43" i="17"/>
  <c r="K74" i="14"/>
  <c r="AI328" i="17"/>
  <c r="AJ328" i="17"/>
  <c r="K95" i="14"/>
  <c r="AG215" i="17"/>
  <c r="AF215" i="17"/>
  <c r="AJ202" i="17"/>
  <c r="AI202" i="17"/>
  <c r="AI76" i="17"/>
  <c r="AJ76" i="17"/>
  <c r="AG337" i="17"/>
  <c r="AF337" i="17"/>
  <c r="AI272" i="17"/>
  <c r="AJ272" i="17"/>
  <c r="AM74" i="17"/>
  <c r="AI226" i="17"/>
  <c r="AN45" i="17"/>
  <c r="AJ249" i="17"/>
  <c r="AN134" i="17"/>
  <c r="AM45" i="17"/>
  <c r="AI38" i="17"/>
  <c r="AN38" i="17" s="1"/>
  <c r="AI322" i="17"/>
  <c r="AJ322" i="17"/>
  <c r="AK245" i="17"/>
  <c r="AI245" i="17"/>
  <c r="AG2" i="17"/>
  <c r="AF2" i="17"/>
  <c r="AR2" i="17" s="1"/>
  <c r="K65" i="14"/>
  <c r="AI187" i="17"/>
  <c r="AJ187" i="17"/>
  <c r="AJ308" i="17"/>
  <c r="AI308" i="17"/>
  <c r="AK153" i="17"/>
  <c r="AE153" i="17"/>
  <c r="AG303" i="17"/>
  <c r="AF303" i="17"/>
  <c r="AJ303" i="17"/>
  <c r="AI303" i="17"/>
  <c r="AG220" i="17"/>
  <c r="AF220" i="17"/>
  <c r="K37" i="14"/>
  <c r="AI338" i="17"/>
  <c r="AJ338" i="17"/>
  <c r="AK338" i="17"/>
  <c r="AE338" i="17"/>
  <c r="AK345" i="17"/>
  <c r="AE345" i="17"/>
  <c r="AG313" i="17"/>
  <c r="AF313" i="17"/>
  <c r="K23" i="14"/>
  <c r="AG310" i="17"/>
  <c r="AF310" i="17"/>
  <c r="AJ337" i="17"/>
  <c r="AI337" i="17"/>
  <c r="AE311" i="17"/>
  <c r="AR311" i="17" s="1"/>
  <c r="AK311" i="17"/>
  <c r="AG325" i="17"/>
  <c r="AF325" i="17"/>
  <c r="AK317" i="17"/>
  <c r="AE317" i="17"/>
  <c r="AK308" i="17"/>
  <c r="AE308" i="17"/>
  <c r="AK285" i="17"/>
  <c r="AE285" i="17"/>
  <c r="AK128" i="17"/>
  <c r="AE128" i="17"/>
  <c r="AR128" i="17" s="1"/>
  <c r="AE300" i="17"/>
  <c r="AK300" i="17"/>
  <c r="AK247" i="17"/>
  <c r="AE247" i="17"/>
  <c r="AG324" i="17"/>
  <c r="AF324" i="17"/>
  <c r="K26" i="14"/>
  <c r="AG8" i="17"/>
  <c r="AF8" i="17"/>
  <c r="AR8" i="17" s="1"/>
  <c r="AE319" i="17"/>
  <c r="AK319" i="17"/>
  <c r="AF231" i="17"/>
  <c r="AG231" i="17"/>
  <c r="AI268" i="17"/>
  <c r="AJ268" i="17"/>
  <c r="AG221" i="17"/>
  <c r="AF221" i="17"/>
  <c r="AK112" i="17"/>
  <c r="AE112" i="17"/>
  <c r="AR112" i="17" s="1"/>
  <c r="AG239" i="17"/>
  <c r="AF239" i="17"/>
  <c r="AG148" i="17"/>
  <c r="AF148" i="17"/>
  <c r="AK188" i="17"/>
  <c r="AE188" i="17"/>
  <c r="AJ220" i="17"/>
  <c r="AI220" i="17"/>
  <c r="AE250" i="17"/>
  <c r="AR250" i="17" s="1"/>
  <c r="AK250" i="17"/>
  <c r="AI284" i="17"/>
  <c r="AJ284" i="17"/>
  <c r="AK274" i="17"/>
  <c r="AE274" i="17"/>
  <c r="AG188" i="17"/>
  <c r="AF188" i="17"/>
  <c r="AE243" i="17"/>
  <c r="AR243" i="17" s="1"/>
  <c r="AK243" i="17"/>
  <c r="AG256" i="17"/>
  <c r="AF256" i="17"/>
  <c r="AE155" i="17"/>
  <c r="AK155" i="17"/>
  <c r="AK121" i="17"/>
  <c r="AE121" i="17"/>
  <c r="AK293" i="17"/>
  <c r="AE293" i="17"/>
  <c r="AR293" i="17" s="1"/>
  <c r="AG257" i="17"/>
  <c r="AF257" i="17"/>
  <c r="AK129" i="17"/>
  <c r="AE129" i="17"/>
  <c r="AF140" i="17"/>
  <c r="AG140" i="17"/>
  <c r="AM140" i="17" s="1"/>
  <c r="AG273" i="17"/>
  <c r="AF273" i="17"/>
  <c r="AG237" i="17"/>
  <c r="AF237" i="17"/>
  <c r="AK226" i="17"/>
  <c r="AE226" i="17"/>
  <c r="AR226" i="17" s="1"/>
  <c r="AR153" i="17"/>
  <c r="AG160" i="17"/>
  <c r="AM160" i="17" s="1"/>
  <c r="AF160" i="17"/>
  <c r="AK139" i="17"/>
  <c r="AE139" i="17"/>
  <c r="AR139" i="17" s="1"/>
  <c r="AG241" i="17"/>
  <c r="AF241" i="17"/>
  <c r="AK214" i="17"/>
  <c r="AE214" i="17"/>
  <c r="AR214" i="17" s="1"/>
  <c r="AR204" i="17"/>
  <c r="AE211" i="17"/>
  <c r="AR211" i="17" s="1"/>
  <c r="AK211" i="17"/>
  <c r="AK140" i="17"/>
  <c r="AE140" i="17"/>
  <c r="AJ346" i="17"/>
  <c r="AI346" i="17"/>
  <c r="AI207" i="17"/>
  <c r="AJ207" i="17"/>
  <c r="AG177" i="17"/>
  <c r="AF177" i="17"/>
  <c r="AK199" i="17"/>
  <c r="AE199" i="17"/>
  <c r="AK248" i="17"/>
  <c r="AE248" i="17"/>
  <c r="AE144" i="17"/>
  <c r="AR144" i="17" s="1"/>
  <c r="AK144" i="17"/>
  <c r="K68" i="14"/>
  <c r="AK84" i="17"/>
  <c r="AE84" i="17"/>
  <c r="AJ230" i="17"/>
  <c r="AI230" i="17"/>
  <c r="AK235" i="17"/>
  <c r="AE235" i="17"/>
  <c r="AR235" i="17" s="1"/>
  <c r="AG123" i="17"/>
  <c r="AF123" i="17"/>
  <c r="AE119" i="17"/>
  <c r="AR119" i="17" s="1"/>
  <c r="AK119" i="17"/>
  <c r="AK244" i="17"/>
  <c r="AE244" i="17"/>
  <c r="AR244" i="17" s="1"/>
  <c r="AK230" i="17"/>
  <c r="AE230" i="17"/>
  <c r="AR230" i="17" s="1"/>
  <c r="AE177" i="17"/>
  <c r="AR177" i="17" s="1"/>
  <c r="AK177" i="17"/>
  <c r="AG128" i="17"/>
  <c r="AF128" i="17"/>
  <c r="AG152" i="17"/>
  <c r="AF152" i="17"/>
  <c r="AG53" i="17"/>
  <c r="AF53" i="17"/>
  <c r="AR53" i="17" s="1"/>
  <c r="AJ196" i="17"/>
  <c r="AI196" i="17"/>
  <c r="AE100" i="17"/>
  <c r="AK100" i="17"/>
  <c r="AK87" i="17"/>
  <c r="AE87" i="17"/>
  <c r="AR87" i="17" s="1"/>
  <c r="AG183" i="17"/>
  <c r="AF183" i="17"/>
  <c r="AG173" i="17"/>
  <c r="AF173" i="17"/>
  <c r="AG92" i="17"/>
  <c r="AF92" i="17"/>
  <c r="AR92" i="17" s="1"/>
  <c r="K67" i="14"/>
  <c r="AM191" i="17"/>
  <c r="AI124" i="17"/>
  <c r="AJ124" i="17"/>
  <c r="AI72" i="17"/>
  <c r="AJ72" i="17"/>
  <c r="AJ93" i="17"/>
  <c r="AI93" i="17"/>
  <c r="AK205" i="17"/>
  <c r="AE205" i="17"/>
  <c r="AM205" i="17" s="1"/>
  <c r="AJ149" i="17"/>
  <c r="AI149" i="17"/>
  <c r="AF282" i="17"/>
  <c r="AR282" i="17" s="1"/>
  <c r="AG282" i="17"/>
  <c r="AI157" i="17"/>
  <c r="AJ157" i="17"/>
  <c r="AJ101" i="17"/>
  <c r="AI101" i="17"/>
  <c r="AI44" i="17"/>
  <c r="AN44" i="17" s="1"/>
  <c r="AJ44" i="17"/>
  <c r="AK326" i="17"/>
  <c r="AE326" i="17"/>
  <c r="AR326" i="17" s="1"/>
  <c r="K81" i="14"/>
  <c r="K31" i="14"/>
  <c r="AG336" i="17"/>
  <c r="AF336" i="17"/>
  <c r="K62" i="14"/>
  <c r="AJ81" i="17"/>
  <c r="AI81" i="17"/>
  <c r="AJ204" i="17"/>
  <c r="AI204" i="17"/>
  <c r="AE253" i="17"/>
  <c r="AR253" i="17" s="1"/>
  <c r="AK253" i="17"/>
  <c r="AM138" i="17"/>
  <c r="AI79" i="17"/>
  <c r="AJ79" i="17"/>
  <c r="AJ68" i="17"/>
  <c r="AI68" i="17"/>
  <c r="AI113" i="17"/>
  <c r="AJ113" i="17"/>
  <c r="AJ138" i="17"/>
  <c r="AN138" i="17" s="1"/>
  <c r="AI3" i="17"/>
  <c r="AN3" i="17" s="1"/>
  <c r="AM28" i="17"/>
  <c r="AM23" i="17"/>
  <c r="AJ22" i="17"/>
  <c r="AN22" i="17" s="1"/>
  <c r="AM36" i="17"/>
  <c r="AN36" i="17" s="1"/>
  <c r="AR40" i="17"/>
  <c r="AM12" i="17"/>
  <c r="AM150" i="17"/>
  <c r="AN5" i="17"/>
  <c r="AJ275" i="17"/>
  <c r="AI275" i="17"/>
  <c r="AG254" i="17"/>
  <c r="AF254" i="17"/>
  <c r="AG347" i="17"/>
  <c r="AF347" i="17"/>
  <c r="AG339" i="17"/>
  <c r="AF339" i="17"/>
  <c r="K72" i="14"/>
  <c r="AK324" i="17"/>
  <c r="AE324" i="17"/>
  <c r="AR286" i="17"/>
  <c r="AK320" i="17"/>
  <c r="AE320" i="17"/>
  <c r="AK315" i="17"/>
  <c r="AE315" i="17"/>
  <c r="AI290" i="17"/>
  <c r="AJ290" i="17"/>
  <c r="AG346" i="17"/>
  <c r="AF346" i="17"/>
  <c r="AK284" i="17"/>
  <c r="AE284" i="17"/>
  <c r="AK347" i="17"/>
  <c r="AE347" i="17"/>
  <c r="AR292" i="17"/>
  <c r="AJ349" i="17"/>
  <c r="AI349" i="17"/>
  <c r="AJ287" i="17"/>
  <c r="AI287" i="17"/>
  <c r="AE281" i="17"/>
  <c r="AK281" i="17"/>
  <c r="AE301" i="17"/>
  <c r="AR301" i="17" s="1"/>
  <c r="AK301" i="17"/>
  <c r="AK295" i="17"/>
  <c r="AE295" i="17"/>
  <c r="AE298" i="17"/>
  <c r="AK298" i="17"/>
  <c r="AG242" i="17"/>
  <c r="AF242" i="17"/>
  <c r="AJ299" i="17"/>
  <c r="AI299" i="17"/>
  <c r="AG243" i="17"/>
  <c r="AF243" i="17"/>
  <c r="AI198" i="17"/>
  <c r="AJ198" i="17"/>
  <c r="AR239" i="17"/>
  <c r="AJ288" i="17"/>
  <c r="AI288" i="17"/>
  <c r="AK251" i="17"/>
  <c r="AE251" i="17"/>
  <c r="K47" i="14"/>
  <c r="K44" i="14"/>
  <c r="K77" i="14"/>
  <c r="AK291" i="17"/>
  <c r="AE291" i="17"/>
  <c r="AR291" i="17" s="1"/>
  <c r="AJ232" i="17"/>
  <c r="AI232" i="17"/>
  <c r="AG212" i="17"/>
  <c r="AF212" i="17"/>
  <c r="AR212" i="17" s="1"/>
  <c r="AI323" i="17"/>
  <c r="AJ323" i="17"/>
  <c r="K32" i="14"/>
  <c r="AK332" i="17"/>
  <c r="AE332" i="17"/>
  <c r="AR332" i="17" s="1"/>
  <c r="AE290" i="17"/>
  <c r="AK290" i="17"/>
  <c r="AK272" i="17"/>
  <c r="AE272" i="17"/>
  <c r="AG305" i="17"/>
  <c r="AF305" i="17"/>
  <c r="AG322" i="17"/>
  <c r="AF322" i="17"/>
  <c r="AG298" i="17"/>
  <c r="AF298" i="17"/>
  <c r="AR298" i="17" s="1"/>
  <c r="AK294" i="17"/>
  <c r="AE294" i="17"/>
  <c r="AI188" i="17"/>
  <c r="AJ188" i="17"/>
  <c r="AE195" i="17"/>
  <c r="AK195" i="17"/>
  <c r="AG59" i="17"/>
  <c r="AF59" i="17"/>
  <c r="AR59" i="17" s="1"/>
  <c r="AK204" i="17"/>
  <c r="AE204" i="17"/>
  <c r="AG246" i="17"/>
  <c r="AF246" i="17"/>
  <c r="AK73" i="17"/>
  <c r="AE73" i="17"/>
  <c r="AR73" i="17" s="1"/>
  <c r="AG247" i="17"/>
  <c r="AF247" i="17"/>
  <c r="AK219" i="17"/>
  <c r="AE219" i="17"/>
  <c r="AR219" i="17" s="1"/>
  <c r="AE231" i="17"/>
  <c r="AK231" i="17"/>
  <c r="AG89" i="17"/>
  <c r="AF89" i="17"/>
  <c r="AI239" i="17"/>
  <c r="AJ239" i="17"/>
  <c r="AE287" i="17"/>
  <c r="AK287" i="17"/>
  <c r="AE218" i="17"/>
  <c r="AK218" i="17"/>
  <c r="AG194" i="17"/>
  <c r="AF194" i="17"/>
  <c r="AR194" i="17" s="1"/>
  <c r="AJ242" i="17"/>
  <c r="AI242" i="17"/>
  <c r="AJ194" i="17"/>
  <c r="AI194" i="17"/>
  <c r="AJ259" i="17"/>
  <c r="AI259" i="17"/>
  <c r="AJ237" i="17"/>
  <c r="AI237" i="17"/>
  <c r="AI280" i="17"/>
  <c r="AJ280" i="17"/>
  <c r="AG176" i="17"/>
  <c r="AF176" i="17"/>
  <c r="AK241" i="17"/>
  <c r="AE241" i="17"/>
  <c r="AR241" i="17" s="1"/>
  <c r="AI261" i="17"/>
  <c r="AJ261" i="17"/>
  <c r="AG213" i="17"/>
  <c r="AF213" i="17"/>
  <c r="AG111" i="17"/>
  <c r="AF111" i="17"/>
  <c r="AG139" i="17"/>
  <c r="AF139" i="17"/>
  <c r="AG316" i="17"/>
  <c r="AF316" i="17"/>
  <c r="AI252" i="17"/>
  <c r="AJ252" i="17"/>
  <c r="AI222" i="17"/>
  <c r="AJ222" i="17"/>
  <c r="AK217" i="17"/>
  <c r="AE217" i="17"/>
  <c r="AK89" i="17"/>
  <c r="AE89" i="17"/>
  <c r="AR89" i="17" s="1"/>
  <c r="AG76" i="17"/>
  <c r="AF76" i="17"/>
  <c r="K94" i="14"/>
  <c r="AF245" i="17"/>
  <c r="AR245" i="17" s="1"/>
  <c r="AG245" i="17"/>
  <c r="AF112" i="17"/>
  <c r="AG112" i="17"/>
  <c r="AE120" i="17"/>
  <c r="AK120" i="17"/>
  <c r="AE124" i="17"/>
  <c r="AR124" i="17" s="1"/>
  <c r="AK124" i="17"/>
  <c r="AE95" i="17"/>
  <c r="AK95" i="17"/>
  <c r="AG100" i="17"/>
  <c r="AF100" i="17"/>
  <c r="AR140" i="17"/>
  <c r="AK64" i="17"/>
  <c r="AE64" i="17"/>
  <c r="AR64" i="17" s="1"/>
  <c r="AG155" i="17"/>
  <c r="AM155" i="17" s="1"/>
  <c r="AF155" i="17"/>
  <c r="AG143" i="17"/>
  <c r="AF143" i="17"/>
  <c r="AG131" i="17"/>
  <c r="AF131" i="17"/>
  <c r="AK132" i="17"/>
  <c r="AE132" i="17"/>
  <c r="AR132" i="17" s="1"/>
  <c r="AG75" i="17"/>
  <c r="AF75" i="17"/>
  <c r="AG141" i="17"/>
  <c r="AF141" i="17"/>
  <c r="AK85" i="17"/>
  <c r="AE85" i="17"/>
  <c r="AG84" i="17"/>
  <c r="AF84" i="17"/>
  <c r="AG79" i="17"/>
  <c r="AF79" i="17"/>
  <c r="K59" i="14"/>
  <c r="AJ99" i="17"/>
  <c r="AI99" i="17"/>
  <c r="AJ73" i="17"/>
  <c r="AI73" i="17"/>
  <c r="AG334" i="17"/>
  <c r="AM334" i="17" s="1"/>
  <c r="AF334" i="17"/>
  <c r="AR334" i="17" s="1"/>
  <c r="AJ164" i="17"/>
  <c r="AI164" i="17"/>
  <c r="AJ119" i="17"/>
  <c r="AI148" i="17"/>
  <c r="AJ148" i="17"/>
  <c r="AI4" i="17"/>
  <c r="AJ4" i="17"/>
  <c r="AI159" i="17"/>
  <c r="AJ159" i="17"/>
  <c r="AJ89" i="17"/>
  <c r="AI89" i="17"/>
  <c r="K91" i="14"/>
  <c r="K49" i="14"/>
  <c r="K84" i="14"/>
  <c r="AE202" i="17"/>
  <c r="AR202" i="17" s="1"/>
  <c r="AK202" i="17"/>
  <c r="AR205" i="17"/>
  <c r="AI83" i="17"/>
  <c r="AJ83" i="17"/>
  <c r="AJ203" i="17"/>
  <c r="AI203" i="17"/>
  <c r="AK249" i="17"/>
  <c r="AI129" i="17"/>
  <c r="AJ129" i="17"/>
  <c r="AI80" i="17"/>
  <c r="AJ80" i="17"/>
  <c r="AJ172" i="17"/>
  <c r="AI172" i="17"/>
  <c r="AI69" i="17"/>
  <c r="AJ69" i="17"/>
  <c r="AI111" i="17"/>
  <c r="AM19" i="17"/>
  <c r="AN19" i="17" s="1"/>
  <c r="AI14" i="17"/>
  <c r="AM32" i="17"/>
  <c r="AN98" i="17"/>
  <c r="AM30" i="17"/>
  <c r="AN30" i="17" s="1"/>
  <c r="AI15" i="17"/>
  <c r="AJ15" i="17"/>
  <c r="AN21" i="17"/>
  <c r="AR146" i="17"/>
  <c r="AN146" i="17" s="1"/>
  <c r="AJ74" i="17"/>
  <c r="AK229" i="17"/>
  <c r="AJ114" i="17"/>
  <c r="AN114" i="17" s="1"/>
  <c r="AI35" i="17"/>
  <c r="AJ35" i="17"/>
  <c r="AM20" i="17"/>
  <c r="AN20" i="17" s="1"/>
  <c r="K34" i="14"/>
  <c r="AI254" i="17"/>
  <c r="AF330" i="17"/>
  <c r="AG330" i="17"/>
  <c r="AG198" i="17"/>
  <c r="AF198" i="17"/>
  <c r="AK307" i="17"/>
  <c r="AE307" i="17"/>
  <c r="AK304" i="17"/>
  <c r="AE304" i="17"/>
  <c r="AR304" i="17" s="1"/>
  <c r="AI267" i="17"/>
  <c r="AJ267" i="17"/>
  <c r="AK327" i="17"/>
  <c r="AE327" i="17"/>
  <c r="AR327" i="17" s="1"/>
  <c r="AJ344" i="17"/>
  <c r="AI344" i="17"/>
  <c r="AI271" i="17"/>
  <c r="AJ271" i="17"/>
  <c r="AF253" i="17"/>
  <c r="AG253" i="17"/>
  <c r="AI269" i="17"/>
  <c r="AJ269" i="17"/>
  <c r="AG284" i="17"/>
  <c r="AM284" i="17" s="1"/>
  <c r="AF284" i="17"/>
  <c r="AK292" i="17"/>
  <c r="AE292" i="17"/>
  <c r="K22" i="14"/>
  <c r="AG328" i="17"/>
  <c r="AF328" i="17"/>
  <c r="AR328" i="17" s="1"/>
  <c r="AG340" i="17"/>
  <c r="AF340" i="17"/>
  <c r="AK340" i="17"/>
  <c r="AE340" i="17"/>
  <c r="AJ177" i="17"/>
  <c r="AI177" i="17"/>
  <c r="AE279" i="17"/>
  <c r="AR279" i="17" s="1"/>
  <c r="AK279" i="17"/>
  <c r="AG251" i="17"/>
  <c r="AM251" i="17" s="1"/>
  <c r="AF251" i="17"/>
  <c r="AK325" i="17"/>
  <c r="AE325" i="17"/>
  <c r="AF206" i="17"/>
  <c r="AR206" i="17" s="1"/>
  <c r="AG206" i="17"/>
  <c r="AM206" i="17" s="1"/>
  <c r="AG55" i="17"/>
  <c r="AM55" i="17" s="1"/>
  <c r="AF55" i="17"/>
  <c r="AR55" i="17" s="1"/>
  <c r="AN55" i="17" s="1"/>
  <c r="AJ296" i="17"/>
  <c r="AI296" i="17"/>
  <c r="AJ276" i="17"/>
  <c r="AI276" i="17"/>
  <c r="AK288" i="17"/>
  <c r="AE288" i="17"/>
  <c r="AR288" i="17" s="1"/>
  <c r="AK264" i="17"/>
  <c r="AE264" i="17"/>
  <c r="AR264" i="17" s="1"/>
  <c r="AJ345" i="17"/>
  <c r="AI345" i="17"/>
  <c r="AK277" i="17"/>
  <c r="AE277" i="17"/>
  <c r="AR277" i="17" s="1"/>
  <c r="AE278" i="17"/>
  <c r="AK278" i="17"/>
  <c r="AG279" i="17"/>
  <c r="AF279" i="17"/>
  <c r="AF323" i="17"/>
  <c r="AR323" i="17" s="1"/>
  <c r="AG323" i="17"/>
  <c r="AJ213" i="17"/>
  <c r="AI213" i="17"/>
  <c r="AK296" i="17"/>
  <c r="AE296" i="17"/>
  <c r="AR296" i="17" s="1"/>
  <c r="AK256" i="17"/>
  <c r="AE256" i="17"/>
  <c r="AR256" i="17" s="1"/>
  <c r="AK283" i="17"/>
  <c r="AE283" i="17"/>
  <c r="AK289" i="17"/>
  <c r="AE289" i="17"/>
  <c r="AR289" i="17" s="1"/>
  <c r="AK176" i="17"/>
  <c r="AE176" i="17"/>
  <c r="AR176" i="17" s="1"/>
  <c r="AE148" i="17"/>
  <c r="AR148" i="17" s="1"/>
  <c r="AK148" i="17"/>
  <c r="AE238" i="17"/>
  <c r="AK238" i="17"/>
  <c r="AI257" i="17"/>
  <c r="AJ257" i="17"/>
  <c r="AJ200" i="17"/>
  <c r="AI200" i="17"/>
  <c r="AK263" i="17"/>
  <c r="AE263" i="17"/>
  <c r="AI137" i="17"/>
  <c r="AJ137" i="17"/>
  <c r="AG179" i="17"/>
  <c r="AF179" i="17"/>
  <c r="AK165" i="17"/>
  <c r="AE165" i="17"/>
  <c r="AI184" i="17"/>
  <c r="AJ184" i="17"/>
  <c r="AI243" i="17"/>
  <c r="AJ243" i="17"/>
  <c r="AI281" i="17"/>
  <c r="AJ281" i="17"/>
  <c r="AG222" i="17"/>
  <c r="AF222" i="17"/>
  <c r="AJ302" i="17"/>
  <c r="AI302" i="17"/>
  <c r="AK152" i="17"/>
  <c r="AE152" i="17"/>
  <c r="AI236" i="17"/>
  <c r="AJ236" i="17"/>
  <c r="AE163" i="17"/>
  <c r="AR163" i="17" s="1"/>
  <c r="AK163" i="17"/>
  <c r="AK255" i="17"/>
  <c r="AE255" i="17"/>
  <c r="AI270" i="17"/>
  <c r="AJ270" i="17"/>
  <c r="AE336" i="17"/>
  <c r="AR336" i="17" s="1"/>
  <c r="AK336" i="17"/>
  <c r="AG289" i="17"/>
  <c r="AF289" i="17"/>
  <c r="AK269" i="17"/>
  <c r="AE269" i="17"/>
  <c r="AR269" i="17" s="1"/>
  <c r="AR233" i="17"/>
  <c r="AE143" i="17"/>
  <c r="AR143" i="17" s="1"/>
  <c r="AK143" i="17"/>
  <c r="AG285" i="17"/>
  <c r="AF285" i="17"/>
  <c r="AJ307" i="17"/>
  <c r="AI307" i="17"/>
  <c r="AG189" i="17"/>
  <c r="AF189" i="17"/>
  <c r="AG120" i="17"/>
  <c r="AF120" i="17"/>
  <c r="AR120" i="17" s="1"/>
  <c r="AR60" i="17"/>
  <c r="AG77" i="17"/>
  <c r="AM77" i="17" s="1"/>
  <c r="AF77" i="17"/>
  <c r="AJ244" i="17"/>
  <c r="AI244" i="17"/>
  <c r="AG145" i="17"/>
  <c r="AF145" i="17"/>
  <c r="AR145" i="17" s="1"/>
  <c r="AK93" i="17"/>
  <c r="AE93" i="17"/>
  <c r="AR93" i="17" s="1"/>
  <c r="AG27" i="17"/>
  <c r="AF27" i="17"/>
  <c r="AR27" i="17" s="1"/>
  <c r="AE309" i="17"/>
  <c r="AR309" i="17" s="1"/>
  <c r="AK309" i="17"/>
  <c r="AE137" i="17"/>
  <c r="AK137" i="17"/>
  <c r="AR175" i="17"/>
  <c r="AG199" i="17"/>
  <c r="AM199" i="17" s="1"/>
  <c r="AF199" i="17"/>
  <c r="AG116" i="17"/>
  <c r="AM116" i="17" s="1"/>
  <c r="AF116" i="17"/>
  <c r="AG113" i="17"/>
  <c r="AF113" i="17"/>
  <c r="AG67" i="17"/>
  <c r="AF67" i="17"/>
  <c r="AG37" i="17"/>
  <c r="AF37" i="17"/>
  <c r="AR37" i="17" s="1"/>
  <c r="AG73" i="17"/>
  <c r="AF73" i="17"/>
  <c r="K25" i="14"/>
  <c r="AI139" i="17"/>
  <c r="AJ139" i="17"/>
  <c r="AK157" i="17"/>
  <c r="AE157" i="17"/>
  <c r="AR157" i="17" s="1"/>
  <c r="AE131" i="17"/>
  <c r="AK131" i="17"/>
  <c r="AG88" i="17"/>
  <c r="AF88" i="17"/>
  <c r="AR88" i="17" s="1"/>
  <c r="AG69" i="17"/>
  <c r="AF69" i="17"/>
  <c r="AR69" i="17" s="1"/>
  <c r="AE72" i="17"/>
  <c r="AK72" i="17"/>
  <c r="AG56" i="17"/>
  <c r="AM56" i="17" s="1"/>
  <c r="AF56" i="17"/>
  <c r="AR56" i="17" s="1"/>
  <c r="K51" i="14"/>
  <c r="AJ100" i="17"/>
  <c r="AI100" i="17"/>
  <c r="AM40" i="17"/>
  <c r="AN40" i="17" s="1"/>
  <c r="K64" i="14"/>
  <c r="AF315" i="17"/>
  <c r="AG315" i="17"/>
  <c r="AI109" i="17"/>
  <c r="AJ109" i="17"/>
  <c r="AJ340" i="17"/>
  <c r="AI340" i="17"/>
  <c r="AK314" i="17"/>
  <c r="AE314" i="17"/>
  <c r="AM314" i="17" s="1"/>
  <c r="AI155" i="17"/>
  <c r="AJ155" i="17"/>
  <c r="AI147" i="17"/>
  <c r="AJ147" i="17"/>
  <c r="AF335" i="17"/>
  <c r="AG335" i="17"/>
  <c r="AI88" i="17"/>
  <c r="AJ88" i="17"/>
  <c r="AJ120" i="17"/>
  <c r="AI120" i="17"/>
  <c r="AI348" i="17"/>
  <c r="AJ348" i="17"/>
  <c r="AJ180" i="17"/>
  <c r="AI180" i="17"/>
  <c r="K87" i="14"/>
  <c r="K41" i="14"/>
  <c r="K57" i="14"/>
  <c r="K90" i="14"/>
  <c r="AJ262" i="17"/>
  <c r="AI262" i="17"/>
  <c r="AK339" i="17"/>
  <c r="AE339" i="17"/>
  <c r="AR339" i="17" s="1"/>
  <c r="AJ319" i="17"/>
  <c r="AI319" i="17"/>
  <c r="AR162" i="17"/>
  <c r="AI85" i="17"/>
  <c r="AJ85" i="17"/>
  <c r="AK303" i="17"/>
  <c r="AE303" i="17"/>
  <c r="AR303" i="17" s="1"/>
  <c r="AJ128" i="17"/>
  <c r="AI128" i="17"/>
  <c r="AI77" i="17"/>
  <c r="AJ77" i="17"/>
  <c r="AJ175" i="17"/>
  <c r="AI175" i="17"/>
  <c r="AI64" i="17"/>
  <c r="AJ64" i="17"/>
  <c r="AJ167" i="17"/>
  <c r="AI167" i="17"/>
  <c r="AM10" i="17"/>
  <c r="AN10" i="17" s="1"/>
  <c r="AM126" i="17"/>
  <c r="AM31" i="17"/>
  <c r="AM14" i="17"/>
  <c r="AM39" i="17"/>
  <c r="AN39" i="17" s="1"/>
  <c r="AR126" i="17"/>
  <c r="AM48" i="17"/>
  <c r="AN48" i="17" s="1"/>
  <c r="AJ135" i="17"/>
  <c r="AI135" i="17"/>
  <c r="K38" i="14"/>
  <c r="AK330" i="17"/>
  <c r="AE330" i="17"/>
  <c r="AK297" i="17"/>
  <c r="AE297" i="17"/>
  <c r="AR297" i="17" s="1"/>
  <c r="AJ227" i="17"/>
  <c r="AI227" i="17"/>
  <c r="AR283" i="17"/>
  <c r="AJ324" i="17"/>
  <c r="AI324" i="17"/>
  <c r="AK200" i="17"/>
  <c r="AE200" i="17"/>
  <c r="AR251" i="17"/>
  <c r="AG218" i="17"/>
  <c r="AF218" i="17"/>
  <c r="AR218" i="17" s="1"/>
  <c r="AG312" i="17"/>
  <c r="AF312" i="17"/>
  <c r="AG184" i="17"/>
  <c r="AF184" i="17"/>
  <c r="AK268" i="17"/>
  <c r="AE268" i="17"/>
  <c r="AR268" i="17" s="1"/>
  <c r="AK321" i="17"/>
  <c r="AE321" i="17"/>
  <c r="AI246" i="17"/>
  <c r="AJ246" i="17"/>
  <c r="K45" i="14"/>
  <c r="AI265" i="17"/>
  <c r="AJ265" i="17"/>
  <c r="AG278" i="17"/>
  <c r="AF278" i="17"/>
  <c r="AI266" i="17"/>
  <c r="AJ266" i="17"/>
  <c r="AE318" i="17"/>
  <c r="AR318" i="17" s="1"/>
  <c r="AK318" i="17"/>
  <c r="AK252" i="17"/>
  <c r="AE252" i="17"/>
  <c r="AR252" i="17" s="1"/>
  <c r="AG338" i="17"/>
  <c r="AF338" i="17"/>
  <c r="AG236" i="17"/>
  <c r="AF236" i="17"/>
  <c r="AR236" i="17" s="1"/>
  <c r="AK266" i="17"/>
  <c r="AE266" i="17"/>
  <c r="AR266" i="17" s="1"/>
  <c r="K56" i="14"/>
  <c r="AE310" i="17"/>
  <c r="AR310" i="17" s="1"/>
  <c r="AK310" i="17"/>
  <c r="AK299" i="17"/>
  <c r="AE299" i="17"/>
  <c r="AR299" i="17" s="1"/>
  <c r="AG329" i="17"/>
  <c r="AF329" i="17"/>
  <c r="AG270" i="17"/>
  <c r="AF270" i="17"/>
  <c r="AK275" i="17"/>
  <c r="AE275" i="17"/>
  <c r="AK185" i="17"/>
  <c r="AE185" i="17"/>
  <c r="AR185" i="17" s="1"/>
  <c r="AI247" i="17"/>
  <c r="AJ247" i="17"/>
  <c r="AG185" i="17"/>
  <c r="AF185" i="17"/>
  <c r="AG320" i="17"/>
  <c r="AF320" i="17"/>
  <c r="AG216" i="17"/>
  <c r="AF216" i="17"/>
  <c r="AR216" i="17" s="1"/>
  <c r="AK227" i="17"/>
  <c r="AE227" i="17"/>
  <c r="AR227" i="17" s="1"/>
  <c r="AE179" i="17"/>
  <c r="AK179" i="17"/>
  <c r="AG301" i="17"/>
  <c r="AF301" i="17"/>
  <c r="AI297" i="17"/>
  <c r="AJ297" i="17"/>
  <c r="AI231" i="17"/>
  <c r="AJ231" i="17"/>
  <c r="AI208" i="17"/>
  <c r="AJ208" i="17"/>
  <c r="AG296" i="17"/>
  <c r="AF296" i="17"/>
  <c r="AK220" i="17"/>
  <c r="AE220" i="17"/>
  <c r="AR220" i="17" s="1"/>
  <c r="AI183" i="17"/>
  <c r="AJ183" i="17"/>
  <c r="AK105" i="17"/>
  <c r="AE105" i="17"/>
  <c r="AK228" i="17"/>
  <c r="AE228" i="17"/>
  <c r="AR228" i="17" s="1"/>
  <c r="AG263" i="17"/>
  <c r="AF263" i="17"/>
  <c r="AR263" i="17" s="1"/>
  <c r="AI212" i="17"/>
  <c r="AJ212" i="17"/>
  <c r="AG223" i="17"/>
  <c r="AF223" i="17"/>
  <c r="AK225" i="17"/>
  <c r="AE225" i="17"/>
  <c r="AE127" i="17"/>
  <c r="AR127" i="17" s="1"/>
  <c r="AK127" i="17"/>
  <c r="AG157" i="17"/>
  <c r="AF157" i="17"/>
  <c r="AR116" i="17"/>
  <c r="AG136" i="17"/>
  <c r="AF136" i="17"/>
  <c r="AG252" i="17"/>
  <c r="AF252" i="17"/>
  <c r="AG269" i="17"/>
  <c r="AM269" i="17" s="1"/>
  <c r="AF269" i="17"/>
  <c r="AK222" i="17"/>
  <c r="AE222" i="17"/>
  <c r="AG193" i="17"/>
  <c r="AF193" i="17"/>
  <c r="AG234" i="17"/>
  <c r="AF234" i="17"/>
  <c r="AJ234" i="17"/>
  <c r="AI234" i="17"/>
  <c r="AI176" i="17"/>
  <c r="AJ176" i="17"/>
  <c r="AK198" i="17"/>
  <c r="AE198" i="17"/>
  <c r="AR198" i="17" s="1"/>
  <c r="AG99" i="17"/>
  <c r="AF99" i="17"/>
  <c r="K73" i="14"/>
  <c r="AR155" i="17"/>
  <c r="AG135" i="17"/>
  <c r="AF135" i="17"/>
  <c r="AK76" i="17"/>
  <c r="AE76" i="17"/>
  <c r="AR76" i="17" s="1"/>
  <c r="AG51" i="17"/>
  <c r="AF51" i="17"/>
  <c r="AR51" i="17" s="1"/>
  <c r="AR107" i="17"/>
  <c r="AG164" i="17"/>
  <c r="AF164" i="17"/>
  <c r="AK125" i="17"/>
  <c r="AE125" i="17"/>
  <c r="AG95" i="17"/>
  <c r="AF95" i="17"/>
  <c r="AG105" i="17"/>
  <c r="AF105" i="17"/>
  <c r="AR105" i="17" s="1"/>
  <c r="AG65" i="17"/>
  <c r="AF65" i="17"/>
  <c r="AE151" i="17"/>
  <c r="AR151" i="17" s="1"/>
  <c r="AK151" i="17"/>
  <c r="AI309" i="17"/>
  <c r="AJ309" i="17"/>
  <c r="AK101" i="17"/>
  <c r="AE101" i="17"/>
  <c r="AG63" i="17"/>
  <c r="AF63" i="17"/>
  <c r="AG147" i="17"/>
  <c r="AF147" i="17"/>
  <c r="AR149" i="17"/>
  <c r="AG61" i="17"/>
  <c r="AM61" i="17" s="1"/>
  <c r="AF61" i="17"/>
  <c r="K96" i="14"/>
  <c r="AI144" i="17"/>
  <c r="AJ144" i="17"/>
  <c r="AI96" i="17"/>
  <c r="AJ96" i="17"/>
  <c r="AF287" i="17"/>
  <c r="AG287" i="17"/>
  <c r="AI107" i="17"/>
  <c r="AJ107" i="17"/>
  <c r="K93" i="14"/>
  <c r="AF170" i="17"/>
  <c r="AR170" i="17" s="1"/>
  <c r="AG170" i="17"/>
  <c r="AJ152" i="17"/>
  <c r="AI152" i="17"/>
  <c r="AJ181" i="17"/>
  <c r="AI181" i="17"/>
  <c r="K29" i="14"/>
  <c r="AR258" i="17"/>
  <c r="K70" i="14"/>
  <c r="K43" i="14"/>
  <c r="AJ291" i="17"/>
  <c r="AI291" i="17"/>
  <c r="AJ84" i="17"/>
  <c r="AI84" i="17"/>
  <c r="AJ117" i="17"/>
  <c r="AI117" i="17"/>
  <c r="AI171" i="17"/>
  <c r="AJ171" i="17"/>
  <c r="AI63" i="17"/>
  <c r="AJ63" i="17"/>
  <c r="AI168" i="17"/>
  <c r="AJ168" i="17"/>
  <c r="AM16" i="17"/>
  <c r="AN16" i="17" s="1"/>
  <c r="AI50" i="17"/>
  <c r="AN50" i="17" s="1"/>
  <c r="AI31" i="17"/>
  <c r="AJ31" i="17"/>
  <c r="AJ13" i="17"/>
  <c r="AI13" i="17"/>
  <c r="AI18" i="17"/>
  <c r="AJ18" i="17"/>
  <c r="AR36" i="17"/>
  <c r="AM90" i="17"/>
  <c r="AN90" i="17" s="1"/>
  <c r="AI131" i="17"/>
  <c r="AJ131" i="17"/>
  <c r="AJ260" i="17"/>
  <c r="AI260" i="17"/>
  <c r="AG182" i="17"/>
  <c r="AF182" i="17"/>
  <c r="AR284" i="17"/>
  <c r="AK349" i="17"/>
  <c r="AE349" i="17"/>
  <c r="AR349" i="17" s="1"/>
  <c r="AR314" i="17"/>
  <c r="AK331" i="17"/>
  <c r="AE331" i="17"/>
  <c r="AR331" i="17" s="1"/>
  <c r="AF306" i="17"/>
  <c r="AG306" i="17"/>
  <c r="AK271" i="17"/>
  <c r="AE271" i="17"/>
  <c r="AR271" i="17" s="1"/>
  <c r="AK302" i="17"/>
  <c r="AE302" i="17"/>
  <c r="AI279" i="17"/>
  <c r="AJ279" i="17"/>
  <c r="AG300" i="17"/>
  <c r="AF300" i="17"/>
  <c r="AR300" i="17" s="1"/>
  <c r="AJ238" i="17"/>
  <c r="AI238" i="17"/>
  <c r="AK335" i="17"/>
  <c r="AE335" i="17"/>
  <c r="AR335" i="17" s="1"/>
  <c r="AJ224" i="17"/>
  <c r="AI224" i="17"/>
  <c r="AI313" i="17"/>
  <c r="AJ313" i="17"/>
  <c r="AG341" i="17"/>
  <c r="AF341" i="17"/>
  <c r="AJ190" i="17"/>
  <c r="AI190" i="17"/>
  <c r="AE242" i="17"/>
  <c r="AK242" i="17"/>
  <c r="AI339" i="17"/>
  <c r="AJ339" i="17"/>
  <c r="AG275" i="17"/>
  <c r="AF275" i="17"/>
  <c r="AJ332" i="17"/>
  <c r="AI332" i="17"/>
  <c r="AR340" i="17"/>
  <c r="AR186" i="17"/>
  <c r="AG332" i="17"/>
  <c r="AF332" i="17"/>
  <c r="AK239" i="17"/>
  <c r="AE239" i="17"/>
  <c r="K66" i="14"/>
  <c r="AK4" i="17"/>
  <c r="AE4" i="17"/>
  <c r="AR4" i="17" s="1"/>
  <c r="AG217" i="17"/>
  <c r="AF217" i="17"/>
  <c r="AG290" i="17"/>
  <c r="AF290" i="17"/>
  <c r="AI274" i="17"/>
  <c r="AJ274" i="17"/>
  <c r="AR223" i="17"/>
  <c r="AK286" i="17"/>
  <c r="AE286" i="17"/>
  <c r="AE328" i="17"/>
  <c r="AK328" i="17"/>
  <c r="AK257" i="17"/>
  <c r="AE257" i="17"/>
  <c r="AR257" i="17" s="1"/>
  <c r="AR135" i="17"/>
  <c r="AK161" i="17"/>
  <c r="AE161" i="17"/>
  <c r="AR161" i="17" s="1"/>
  <c r="AK159" i="17"/>
  <c r="AE159" i="17"/>
  <c r="AK246" i="17"/>
  <c r="AE246" i="17"/>
  <c r="AR246" i="17" s="1"/>
  <c r="AK273" i="17"/>
  <c r="AE273" i="17"/>
  <c r="AR273" i="17" s="1"/>
  <c r="AK216" i="17"/>
  <c r="AE216" i="17"/>
  <c r="AG83" i="17"/>
  <c r="AF83" i="17"/>
  <c r="AJ136" i="17"/>
  <c r="AI136" i="17"/>
  <c r="AR221" i="17"/>
  <c r="AI218" i="17"/>
  <c r="AJ218" i="17"/>
  <c r="AK193" i="17"/>
  <c r="AE193" i="17"/>
  <c r="AE203" i="17"/>
  <c r="AR203" i="17" s="1"/>
  <c r="AK203" i="17"/>
  <c r="AI289" i="17"/>
  <c r="AJ289" i="17"/>
  <c r="AI263" i="17"/>
  <c r="AJ263" i="17"/>
  <c r="AG169" i="17"/>
  <c r="AF169" i="17"/>
  <c r="AK190" i="17"/>
  <c r="AE190" i="17"/>
  <c r="AG207" i="17"/>
  <c r="AF207" i="17"/>
  <c r="AJ256" i="17"/>
  <c r="AI256" i="17"/>
  <c r="AJ211" i="17"/>
  <c r="AI211" i="17"/>
  <c r="AR159" i="17"/>
  <c r="AG238" i="17"/>
  <c r="AF238" i="17"/>
  <c r="AK270" i="17"/>
  <c r="AE270" i="17"/>
  <c r="AR270" i="17" s="1"/>
  <c r="AI317" i="17"/>
  <c r="AJ317" i="17"/>
  <c r="AG124" i="17"/>
  <c r="AF124" i="17"/>
  <c r="AJ209" i="17"/>
  <c r="AI209" i="17"/>
  <c r="AE168" i="17"/>
  <c r="AR168" i="17" s="1"/>
  <c r="AK168" i="17"/>
  <c r="AK156" i="17"/>
  <c r="AE156" i="17"/>
  <c r="AR156" i="17" s="1"/>
  <c r="AI216" i="17"/>
  <c r="AJ216" i="17"/>
  <c r="AI248" i="17"/>
  <c r="AJ248" i="17"/>
  <c r="AK276" i="17"/>
  <c r="AE276" i="17"/>
  <c r="AR276" i="17" s="1"/>
  <c r="AR225" i="17"/>
  <c r="AG260" i="17"/>
  <c r="AF260" i="17"/>
  <c r="AE164" i="17"/>
  <c r="AK164" i="17"/>
  <c r="AE111" i="17"/>
  <c r="AR111" i="17" s="1"/>
  <c r="AK111" i="17"/>
  <c r="AE240" i="17"/>
  <c r="AK240" i="17"/>
  <c r="AG230" i="17"/>
  <c r="AF230" i="17"/>
  <c r="AK81" i="17"/>
  <c r="AE81" i="17"/>
  <c r="AR81" i="17" s="1"/>
  <c r="AE135" i="17"/>
  <c r="AK135" i="17"/>
  <c r="AK196" i="17"/>
  <c r="AE196" i="17"/>
  <c r="AR196" i="17" s="1"/>
  <c r="AE171" i="17"/>
  <c r="AK171" i="17"/>
  <c r="AK63" i="17"/>
  <c r="AE63" i="17"/>
  <c r="AR63" i="17" s="1"/>
  <c r="AG121" i="17"/>
  <c r="AF121" i="17"/>
  <c r="AR121" i="17" s="1"/>
  <c r="K52" i="14"/>
  <c r="K78" i="14"/>
  <c r="AK207" i="17"/>
  <c r="AE207" i="17"/>
  <c r="AK209" i="17"/>
  <c r="AE209" i="17"/>
  <c r="AR209" i="17" s="1"/>
  <c r="AG167" i="17"/>
  <c r="AF167" i="17"/>
  <c r="AK145" i="17"/>
  <c r="AE145" i="17"/>
  <c r="AG71" i="17"/>
  <c r="AF71" i="17"/>
  <c r="AR71" i="17" s="1"/>
  <c r="AG165" i="17"/>
  <c r="AF165" i="17"/>
  <c r="AR165" i="17" s="1"/>
  <c r="AK65" i="17"/>
  <c r="AE65" i="17"/>
  <c r="AR65" i="17" s="1"/>
  <c r="AR96" i="17"/>
  <c r="AG93" i="17"/>
  <c r="AF93" i="17"/>
  <c r="AK141" i="17"/>
  <c r="AE141" i="17"/>
  <c r="AR141" i="17" s="1"/>
  <c r="AG91" i="17"/>
  <c r="AF91" i="17"/>
  <c r="AE97" i="17"/>
  <c r="AR97" i="17" s="1"/>
  <c r="AK97" i="17"/>
  <c r="AG68" i="17"/>
  <c r="AF68" i="17"/>
  <c r="AR68" i="17" s="1"/>
  <c r="AG137" i="17"/>
  <c r="AF137" i="17"/>
  <c r="AE99" i="17"/>
  <c r="AK99" i="17"/>
  <c r="AK262" i="17"/>
  <c r="AE262" i="17"/>
  <c r="AR262" i="17" s="1"/>
  <c r="AI143" i="17"/>
  <c r="AJ143" i="17"/>
  <c r="AJ97" i="17"/>
  <c r="AI97" i="17"/>
  <c r="AJ108" i="17"/>
  <c r="AI108" i="17"/>
  <c r="AG277" i="17"/>
  <c r="AF277" i="17"/>
  <c r="AJ153" i="17"/>
  <c r="AI153" i="17"/>
  <c r="AI23" i="17"/>
  <c r="AJ23" i="17"/>
  <c r="AI166" i="17"/>
  <c r="AN166" i="17" s="1"/>
  <c r="AI121" i="17"/>
  <c r="AJ121" i="17"/>
  <c r="AJ179" i="17"/>
  <c r="AI179" i="17"/>
  <c r="AJ301" i="17"/>
  <c r="AI301" i="17"/>
  <c r="K60" i="14"/>
  <c r="K71" i="14"/>
  <c r="AM142" i="17"/>
  <c r="AN142" i="17" s="1"/>
  <c r="AJ65" i="17"/>
  <c r="AI65" i="17"/>
  <c r="AM178" i="17"/>
  <c r="AN178" i="17" s="1"/>
  <c r="AI116" i="17"/>
  <c r="AJ116" i="17"/>
  <c r="AI310" i="17"/>
  <c r="K35" i="14"/>
  <c r="AI169" i="17"/>
  <c r="AJ169" i="17"/>
  <c r="AJ314" i="17"/>
  <c r="AR229" i="17"/>
  <c r="AN102" i="17"/>
  <c r="AM35" i="17"/>
  <c r="AM24" i="17"/>
  <c r="AN24" i="17" s="1"/>
  <c r="AK254" i="17"/>
  <c r="AE254" i="17"/>
  <c r="AR254" i="17" s="1"/>
  <c r="AE312" i="17"/>
  <c r="AR312" i="17" s="1"/>
  <c r="AK312" i="17"/>
  <c r="K30" i="14"/>
  <c r="AJ285" i="17"/>
  <c r="AI285" i="17"/>
  <c r="AI241" i="17"/>
  <c r="AJ241" i="17"/>
  <c r="AJ253" i="17"/>
  <c r="AI253" i="17"/>
  <c r="AG274" i="17"/>
  <c r="AF274" i="17"/>
  <c r="AR274" i="17" s="1"/>
  <c r="AR302" i="17"/>
  <c r="AJ305" i="17"/>
  <c r="AI305" i="17"/>
  <c r="K39" i="14"/>
  <c r="AG280" i="17"/>
  <c r="AF280" i="17"/>
  <c r="AK341" i="17"/>
  <c r="AE341" i="17"/>
  <c r="AR341" i="17" s="1"/>
  <c r="AR267" i="17"/>
  <c r="AG348" i="17"/>
  <c r="AF348" i="17"/>
  <c r="AR348" i="17" s="1"/>
  <c r="AJ185" i="17"/>
  <c r="AI185" i="17"/>
  <c r="AJ347" i="17"/>
  <c r="AI347" i="17"/>
  <c r="AI316" i="17"/>
  <c r="AJ316" i="17"/>
  <c r="AG307" i="17"/>
  <c r="AM307" i="17" s="1"/>
  <c r="AF307" i="17"/>
  <c r="AK329" i="17"/>
  <c r="AE329" i="17"/>
  <c r="AR329" i="17" s="1"/>
  <c r="AJ327" i="17"/>
  <c r="AI327" i="17"/>
  <c r="AJ329" i="17"/>
  <c r="AI329" i="17"/>
  <c r="AF317" i="17"/>
  <c r="AG317" i="17"/>
  <c r="AG345" i="17"/>
  <c r="AF345" i="17"/>
  <c r="AR345" i="17" s="1"/>
  <c r="AG321" i="17"/>
  <c r="AF321" i="17"/>
  <c r="AI193" i="17"/>
  <c r="AJ193" i="17"/>
  <c r="AJ333" i="17"/>
  <c r="AI333" i="17"/>
  <c r="AG190" i="17"/>
  <c r="AF190" i="17"/>
  <c r="K36" i="14"/>
  <c r="AI325" i="17"/>
  <c r="AJ325" i="17"/>
  <c r="AJ195" i="17"/>
  <c r="AI195" i="17"/>
  <c r="AJ189" i="17"/>
  <c r="AI189" i="17"/>
  <c r="AK343" i="17"/>
  <c r="AE343" i="17"/>
  <c r="AR343" i="17" s="1"/>
  <c r="AG344" i="17"/>
  <c r="AF344" i="17"/>
  <c r="AG265" i="17"/>
  <c r="AF265" i="17"/>
  <c r="K46" i="14"/>
  <c r="K82" i="14"/>
  <c r="AK337" i="17"/>
  <c r="AE337" i="17"/>
  <c r="AR337" i="17" s="1"/>
  <c r="AG268" i="17"/>
  <c r="AF268" i="17"/>
  <c r="AI331" i="17"/>
  <c r="AJ331" i="17"/>
  <c r="AI315" i="17"/>
  <c r="AJ315" i="17"/>
  <c r="AG202" i="17"/>
  <c r="AF202" i="17"/>
  <c r="AR281" i="17"/>
  <c r="AG304" i="17"/>
  <c r="AF304" i="17"/>
  <c r="AR248" i="17"/>
  <c r="AG200" i="17"/>
  <c r="AF200" i="17"/>
  <c r="AK79" i="17"/>
  <c r="AE79" i="17"/>
  <c r="AR79" i="17" s="1"/>
  <c r="AG299" i="17"/>
  <c r="AF299" i="17"/>
  <c r="AK167" i="17"/>
  <c r="AE167" i="17"/>
  <c r="AE237" i="17"/>
  <c r="AR237" i="17" s="1"/>
  <c r="AK237" i="17"/>
  <c r="AI255" i="17"/>
  <c r="AJ255" i="17"/>
  <c r="AG151" i="17"/>
  <c r="AF151" i="17"/>
  <c r="AK183" i="17"/>
  <c r="AE183" i="17"/>
  <c r="AR183" i="17" s="1"/>
  <c r="AG181" i="17"/>
  <c r="AF181" i="17"/>
  <c r="AR181" i="17" s="1"/>
  <c r="AE189" i="17"/>
  <c r="AR189" i="17" s="1"/>
  <c r="AK189" i="17"/>
  <c r="AG101" i="17"/>
  <c r="AF101" i="17"/>
  <c r="AE342" i="17"/>
  <c r="AR342" i="17" s="1"/>
  <c r="AK342" i="17"/>
  <c r="AJ298" i="17"/>
  <c r="AI298" i="17"/>
  <c r="AG163" i="17"/>
  <c r="AF163" i="17"/>
  <c r="AE160" i="17"/>
  <c r="AR160" i="17" s="1"/>
  <c r="AK160" i="17"/>
  <c r="AJ199" i="17"/>
  <c r="AI199" i="17"/>
  <c r="AG172" i="17"/>
  <c r="AF172" i="17"/>
  <c r="AR172" i="17" s="1"/>
  <c r="AK180" i="17"/>
  <c r="AE180" i="17"/>
  <c r="AR180" i="17" s="1"/>
  <c r="AK265" i="17"/>
  <c r="AE265" i="17"/>
  <c r="AJ318" i="17"/>
  <c r="AI318" i="17"/>
  <c r="AG261" i="17"/>
  <c r="AF261" i="17"/>
  <c r="AG308" i="17"/>
  <c r="AM308" i="17" s="1"/>
  <c r="AF308" i="17"/>
  <c r="AG255" i="17"/>
  <c r="AF255" i="17"/>
  <c r="AK184" i="17"/>
  <c r="AE184" i="17"/>
  <c r="AR184" i="17" s="1"/>
  <c r="AG209" i="17"/>
  <c r="AF209" i="17"/>
  <c r="AE83" i="17"/>
  <c r="AR83" i="17" s="1"/>
  <c r="AK83" i="17"/>
  <c r="AJ235" i="17"/>
  <c r="AI235" i="17"/>
  <c r="AK103" i="17"/>
  <c r="AE103" i="17"/>
  <c r="AR103" i="17" s="1"/>
  <c r="AF197" i="17"/>
  <c r="AR197" i="17" s="1"/>
  <c r="AG197" i="17"/>
  <c r="AG117" i="17"/>
  <c r="AF117" i="17"/>
  <c r="AK104" i="17"/>
  <c r="AE104" i="17"/>
  <c r="AR104" i="17" s="1"/>
  <c r="AE109" i="17"/>
  <c r="AR109" i="17" s="1"/>
  <c r="AK109" i="17"/>
  <c r="AJ240" i="17"/>
  <c r="AI240" i="17"/>
  <c r="AG108" i="17"/>
  <c r="AF108" i="17"/>
  <c r="AE117" i="17"/>
  <c r="AK117" i="17"/>
  <c r="AG72" i="17"/>
  <c r="AF72" i="17"/>
  <c r="AR61" i="17"/>
  <c r="AG49" i="17"/>
  <c r="AF49" i="17"/>
  <c r="AR49" i="17" s="1"/>
  <c r="AG57" i="17"/>
  <c r="AF57" i="17"/>
  <c r="AR57" i="17" s="1"/>
  <c r="AG192" i="17"/>
  <c r="AF192" i="17"/>
  <c r="AR192" i="17" s="1"/>
  <c r="AG85" i="17"/>
  <c r="AF85" i="17"/>
  <c r="AG81" i="17"/>
  <c r="AF81" i="17"/>
  <c r="AK133" i="17"/>
  <c r="AE133" i="17"/>
  <c r="AR133" i="17" s="1"/>
  <c r="AE91" i="17"/>
  <c r="AK91" i="17"/>
  <c r="AG171" i="17"/>
  <c r="AF171" i="17"/>
  <c r="AG175" i="17"/>
  <c r="AF175" i="17"/>
  <c r="AG129" i="17"/>
  <c r="AF129" i="17"/>
  <c r="AE77" i="17"/>
  <c r="AR77" i="17" s="1"/>
  <c r="AK77" i="17"/>
  <c r="AG240" i="17"/>
  <c r="AF240" i="17"/>
  <c r="AI141" i="17"/>
  <c r="AJ141" i="17"/>
  <c r="AI95" i="17"/>
  <c r="AJ95" i="17"/>
  <c r="AG272" i="17"/>
  <c r="AF272" i="17"/>
  <c r="AR272" i="17" s="1"/>
  <c r="AG224" i="17"/>
  <c r="AF224" i="17"/>
  <c r="AR191" i="17"/>
  <c r="AJ151" i="17"/>
  <c r="AI151" i="17"/>
  <c r="AJ103" i="17"/>
  <c r="AI103" i="17"/>
  <c r="AN42" i="17"/>
  <c r="AF249" i="17"/>
  <c r="AR249" i="17" s="1"/>
  <c r="AG249" i="17"/>
  <c r="K89" i="14"/>
  <c r="AG195" i="17"/>
  <c r="AF195" i="17"/>
  <c r="AK224" i="17"/>
  <c r="AE224" i="17"/>
  <c r="AR182" i="17"/>
  <c r="AI127" i="17"/>
  <c r="AJ127" i="17"/>
  <c r="AJ67" i="17"/>
  <c r="AI67" i="17"/>
  <c r="AN106" i="17"/>
  <c r="K27" i="14"/>
  <c r="AR224" i="17"/>
  <c r="AJ112" i="17"/>
  <c r="AI112" i="17"/>
  <c r="AN34" i="17"/>
  <c r="AM158" i="17"/>
  <c r="AN158" i="17" s="1"/>
  <c r="AI32" i="17"/>
  <c r="AJ32" i="17"/>
  <c r="AN41" i="17"/>
  <c r="AJ11" i="17"/>
  <c r="AI11" i="17"/>
  <c r="AN11" i="17" s="1"/>
  <c r="AJ132" i="17"/>
  <c r="AI132" i="17"/>
  <c r="AM171" i="17" l="1"/>
  <c r="AR167" i="17"/>
  <c r="AR99" i="17"/>
  <c r="AN23" i="17"/>
  <c r="AR242" i="17"/>
  <c r="AM49" i="17"/>
  <c r="AN49" i="17" s="1"/>
  <c r="AM230" i="17"/>
  <c r="AM332" i="17"/>
  <c r="AM341" i="17"/>
  <c r="AR321" i="17"/>
  <c r="AN314" i="17"/>
  <c r="AM73" i="17"/>
  <c r="AM323" i="17"/>
  <c r="AR278" i="17"/>
  <c r="AR307" i="17"/>
  <c r="AR287" i="17"/>
  <c r="AR320" i="17"/>
  <c r="AR317" i="17"/>
  <c r="AR169" i="17"/>
  <c r="AR208" i="17"/>
  <c r="AR213" i="17"/>
  <c r="AN47" i="17"/>
  <c r="AM311" i="17"/>
  <c r="AM211" i="17"/>
  <c r="AN61" i="17"/>
  <c r="AM335" i="17"/>
  <c r="AN205" i="17"/>
  <c r="AR295" i="17"/>
  <c r="AM294" i="17"/>
  <c r="AR67" i="17"/>
  <c r="AR261" i="17"/>
  <c r="AR108" i="17"/>
  <c r="AR294" i="17"/>
  <c r="AR234" i="17"/>
  <c r="AR280" i="17"/>
  <c r="AR344" i="17"/>
  <c r="AN162" i="17"/>
  <c r="AR147" i="17"/>
  <c r="AR100" i="17"/>
  <c r="AR285" i="17"/>
  <c r="AR136" i="17"/>
  <c r="AM180" i="17"/>
  <c r="AR85" i="17"/>
  <c r="AM303" i="17"/>
  <c r="AR91" i="17"/>
  <c r="AR265" i="17"/>
  <c r="AR129" i="17"/>
  <c r="AR117" i="17"/>
  <c r="AM255" i="17"/>
  <c r="AR207" i="17"/>
  <c r="AM238" i="17"/>
  <c r="AN238" i="17" s="1"/>
  <c r="AR190" i="17"/>
  <c r="AM320" i="17"/>
  <c r="AR200" i="17"/>
  <c r="AN126" i="17"/>
  <c r="AR113" i="17"/>
  <c r="AR137" i="17"/>
  <c r="AR325" i="17"/>
  <c r="AR217" i="17"/>
  <c r="AR324" i="17"/>
  <c r="AR173" i="17"/>
  <c r="AR188" i="17"/>
  <c r="AR80" i="17"/>
  <c r="AR260" i="17"/>
  <c r="AR346" i="17"/>
  <c r="AM72" i="17"/>
  <c r="AN72" i="17" s="1"/>
  <c r="AM274" i="17"/>
  <c r="AM192" i="17"/>
  <c r="AM316" i="17"/>
  <c r="AR347" i="17"/>
  <c r="AN112" i="17"/>
  <c r="AM71" i="17"/>
  <c r="AR275" i="17"/>
  <c r="AR164" i="17"/>
  <c r="AR222" i="17"/>
  <c r="AR338" i="17"/>
  <c r="AM315" i="17"/>
  <c r="AR255" i="17"/>
  <c r="AR238" i="17"/>
  <c r="AM245" i="17"/>
  <c r="AR231" i="17"/>
  <c r="AR195" i="17"/>
  <c r="AR315" i="17"/>
  <c r="AR84" i="17"/>
  <c r="AR199" i="17"/>
  <c r="AR247" i="17"/>
  <c r="AR308" i="17"/>
  <c r="AM2" i="17"/>
  <c r="AN2" i="17" s="1"/>
  <c r="AR125" i="17"/>
  <c r="AR316" i="17"/>
  <c r="AM276" i="17"/>
  <c r="AM333" i="17"/>
  <c r="AR232" i="17"/>
  <c r="AR259" i="17"/>
  <c r="AM7" i="17"/>
  <c r="AN7" i="17" s="1"/>
  <c r="AR240" i="17"/>
  <c r="AM252" i="17"/>
  <c r="AR72" i="17"/>
  <c r="AM279" i="17"/>
  <c r="AR131" i="17"/>
  <c r="AM92" i="17"/>
  <c r="AR152" i="17"/>
  <c r="AM253" i="17"/>
  <c r="AM112" i="17"/>
  <c r="AR171" i="17"/>
  <c r="AN171" i="17" s="1"/>
  <c r="AR193" i="17"/>
  <c r="AN13" i="17"/>
  <c r="AR101" i="17"/>
  <c r="AR179" i="17"/>
  <c r="AR330" i="17"/>
  <c r="AN74" i="17"/>
  <c r="AN14" i="17"/>
  <c r="AR95" i="17"/>
  <c r="AR290" i="17"/>
  <c r="AR123" i="17"/>
  <c r="AM257" i="17"/>
  <c r="AR322" i="17"/>
  <c r="AR306" i="17"/>
  <c r="AR313" i="17"/>
  <c r="AM267" i="17"/>
  <c r="AN206" i="17"/>
  <c r="AN119" i="17"/>
  <c r="AM65" i="17"/>
  <c r="AN307" i="17"/>
  <c r="AN148" i="17"/>
  <c r="AN258" i="17"/>
  <c r="AM129" i="17"/>
  <c r="AM277" i="17"/>
  <c r="AN277" i="17" s="1"/>
  <c r="AM260" i="17"/>
  <c r="AN260" i="17" s="1"/>
  <c r="AM185" i="17"/>
  <c r="AN77" i="17"/>
  <c r="AM67" i="17"/>
  <c r="AN67" i="17" s="1"/>
  <c r="AM347" i="17"/>
  <c r="AN347" i="17" s="1"/>
  <c r="AN284" i="17"/>
  <c r="AN160" i="17"/>
  <c r="AM109" i="17"/>
  <c r="AM264" i="17"/>
  <c r="AM203" i="17"/>
  <c r="AN203" i="17" s="1"/>
  <c r="AN115" i="17"/>
  <c r="AN251" i="17"/>
  <c r="AM172" i="17"/>
  <c r="AM137" i="17"/>
  <c r="AM53" i="17"/>
  <c r="AN53" i="17" s="1"/>
  <c r="AN92" i="17"/>
  <c r="AM125" i="17"/>
  <c r="AN125" i="17" s="1"/>
  <c r="AM97" i="17"/>
  <c r="AN32" i="17"/>
  <c r="AM175" i="17"/>
  <c r="AN175" i="17" s="1"/>
  <c r="AM181" i="17"/>
  <c r="AM265" i="17"/>
  <c r="AN265" i="17" s="1"/>
  <c r="AM270" i="17"/>
  <c r="AM218" i="17"/>
  <c r="AN180" i="17"/>
  <c r="AM145" i="17"/>
  <c r="AM328" i="17"/>
  <c r="AM8" i="17"/>
  <c r="AN8" i="17" s="1"/>
  <c r="AM266" i="17"/>
  <c r="AM103" i="17"/>
  <c r="AN103" i="17" s="1"/>
  <c r="AM271" i="17"/>
  <c r="AN271" i="17" s="1"/>
  <c r="AM292" i="17"/>
  <c r="AM272" i="17"/>
  <c r="AM240" i="17"/>
  <c r="AM81" i="17"/>
  <c r="AM108" i="17"/>
  <c r="AN108" i="17" s="1"/>
  <c r="AM202" i="17"/>
  <c r="AN202" i="17" s="1"/>
  <c r="AM268" i="17"/>
  <c r="AN333" i="17"/>
  <c r="AM345" i="17"/>
  <c r="AM68" i="17"/>
  <c r="AM83" i="17"/>
  <c r="AN83" i="17" s="1"/>
  <c r="AN332" i="17"/>
  <c r="AM300" i="17"/>
  <c r="AN300" i="17" s="1"/>
  <c r="AM306" i="17"/>
  <c r="AN31" i="17"/>
  <c r="AM287" i="17"/>
  <c r="AN287" i="17" s="1"/>
  <c r="AM63" i="17"/>
  <c r="AM51" i="17"/>
  <c r="AN51" i="17" s="1"/>
  <c r="AM216" i="17"/>
  <c r="AN216" i="17" s="1"/>
  <c r="AN266" i="17"/>
  <c r="AM88" i="17"/>
  <c r="AN88" i="17" s="1"/>
  <c r="AM120" i="17"/>
  <c r="AN120" i="17" s="1"/>
  <c r="AN257" i="17"/>
  <c r="AN15" i="17"/>
  <c r="AM111" i="17"/>
  <c r="AN111" i="17" s="1"/>
  <c r="AM176" i="17"/>
  <c r="AN176" i="17" s="1"/>
  <c r="AM212" i="17"/>
  <c r="AN212" i="17" s="1"/>
  <c r="AM183" i="17"/>
  <c r="AM177" i="17"/>
  <c r="AN177" i="17" s="1"/>
  <c r="AM241" i="17"/>
  <c r="AN241" i="17" s="1"/>
  <c r="AN220" i="17"/>
  <c r="AM220" i="17"/>
  <c r="AN150" i="17"/>
  <c r="AM159" i="17"/>
  <c r="AN159" i="17" s="1"/>
  <c r="AM161" i="17"/>
  <c r="AN161" i="17" s="1"/>
  <c r="AN311" i="17"/>
  <c r="AN306" i="17"/>
  <c r="AM318" i="17"/>
  <c r="AM349" i="17"/>
  <c r="AN294" i="17"/>
  <c r="AM104" i="17"/>
  <c r="AN104" i="17" s="1"/>
  <c r="AM250" i="17"/>
  <c r="AN250" i="17" s="1"/>
  <c r="AN295" i="17"/>
  <c r="AM227" i="17"/>
  <c r="AN227" i="17" s="1"/>
  <c r="AN334" i="17"/>
  <c r="AM293" i="17"/>
  <c r="AN293" i="17" s="1"/>
  <c r="AN315" i="17"/>
  <c r="AM91" i="17"/>
  <c r="AM312" i="17"/>
  <c r="AN320" i="17"/>
  <c r="AN145" i="17"/>
  <c r="AN192" i="17"/>
  <c r="AN191" i="17"/>
  <c r="AM174" i="17"/>
  <c r="AR174" i="17"/>
  <c r="AN255" i="17"/>
  <c r="AM193" i="17"/>
  <c r="AM263" i="17"/>
  <c r="AN263" i="17" s="1"/>
  <c r="AM236" i="17"/>
  <c r="AN323" i="17"/>
  <c r="AM256" i="17"/>
  <c r="AN256" i="17" s="1"/>
  <c r="AM313" i="17"/>
  <c r="AN313" i="17" s="1"/>
  <c r="AM321" i="17"/>
  <c r="AN321" i="17" s="1"/>
  <c r="AM167" i="17"/>
  <c r="AM124" i="17"/>
  <c r="AM135" i="17"/>
  <c r="AN135" i="17" s="1"/>
  <c r="AM69" i="17"/>
  <c r="AN69" i="17" s="1"/>
  <c r="AM139" i="17"/>
  <c r="AN139" i="17" s="1"/>
  <c r="AM246" i="17"/>
  <c r="AM319" i="17"/>
  <c r="AN319" i="17" s="1"/>
  <c r="AM232" i="17"/>
  <c r="AM119" i="17"/>
  <c r="AM326" i="17"/>
  <c r="AN326" i="17" s="1"/>
  <c r="AN318" i="17"/>
  <c r="AM190" i="17"/>
  <c r="AM165" i="17"/>
  <c r="AN165" i="17" s="1"/>
  <c r="AM169" i="17"/>
  <c r="AM285" i="17"/>
  <c r="AM239" i="17"/>
  <c r="AN239" i="17" s="1"/>
  <c r="AM115" i="17"/>
  <c r="AM249" i="17"/>
  <c r="AN249" i="17" s="1"/>
  <c r="AN240" i="17"/>
  <c r="AM117" i="17"/>
  <c r="AN117" i="17" s="1"/>
  <c r="AM344" i="17"/>
  <c r="AN344" i="17" s="1"/>
  <c r="AM317" i="17"/>
  <c r="AN317" i="17" s="1"/>
  <c r="AN65" i="17"/>
  <c r="AM93" i="17"/>
  <c r="AM290" i="17"/>
  <c r="AN290" i="17" s="1"/>
  <c r="AN190" i="17"/>
  <c r="AM170" i="17"/>
  <c r="AN170" i="17" s="1"/>
  <c r="AM95" i="17"/>
  <c r="AN95" i="17" s="1"/>
  <c r="AM223" i="17"/>
  <c r="AN223" i="17" s="1"/>
  <c r="AM329" i="17"/>
  <c r="AN56" i="17"/>
  <c r="AN236" i="17"/>
  <c r="AN137" i="17"/>
  <c r="AN267" i="17"/>
  <c r="AN35" i="17"/>
  <c r="AN172" i="17"/>
  <c r="AM79" i="17"/>
  <c r="AN79" i="17" s="1"/>
  <c r="AM76" i="17"/>
  <c r="AM247" i="17"/>
  <c r="AN247" i="17" s="1"/>
  <c r="AM305" i="17"/>
  <c r="AN232" i="17"/>
  <c r="AN68" i="17"/>
  <c r="AM282" i="17"/>
  <c r="AN282" i="17" s="1"/>
  <c r="AN93" i="17"/>
  <c r="AM152" i="17"/>
  <c r="AM188" i="17"/>
  <c r="AN188" i="17" s="1"/>
  <c r="AN303" i="17"/>
  <c r="AN308" i="17"/>
  <c r="AN272" i="17"/>
  <c r="AN43" i="17"/>
  <c r="AM244" i="17"/>
  <c r="AN244" i="17" s="1"/>
  <c r="AM225" i="17"/>
  <c r="AN225" i="17" s="1"/>
  <c r="AM64" i="17"/>
  <c r="AN64" i="17" s="1"/>
  <c r="AM288" i="17"/>
  <c r="AN288" i="17" s="1"/>
  <c r="AM343" i="17"/>
  <c r="AN343" i="17" s="1"/>
  <c r="AN335" i="17"/>
  <c r="AN186" i="17"/>
  <c r="AM156" i="17"/>
  <c r="AM214" i="17"/>
  <c r="AN214" i="17" s="1"/>
  <c r="AN292" i="17"/>
  <c r="AM228" i="17"/>
  <c r="AM342" i="17"/>
  <c r="AN342" i="17"/>
  <c r="G97" i="14"/>
  <c r="AM348" i="17"/>
  <c r="AN348" i="17" s="1"/>
  <c r="AM4" i="17"/>
  <c r="AN4" i="17" s="1"/>
  <c r="AM121" i="17"/>
  <c r="AN121" i="17" s="1"/>
  <c r="AM289" i="17"/>
  <c r="AN289" i="17" s="1"/>
  <c r="AN269" i="17"/>
  <c r="AM336" i="17"/>
  <c r="AN336" i="17" s="1"/>
  <c r="AM173" i="17"/>
  <c r="AN173" i="17" s="1"/>
  <c r="AM195" i="17"/>
  <c r="AN195" i="17" s="1"/>
  <c r="AN199" i="17"/>
  <c r="AM200" i="17"/>
  <c r="AN200" i="17" s="1"/>
  <c r="AN285" i="17"/>
  <c r="AN116" i="17"/>
  <c r="AN152" i="17"/>
  <c r="AM105" i="17"/>
  <c r="AN105" i="17" s="1"/>
  <c r="AM338" i="17"/>
  <c r="AN338" i="17" s="1"/>
  <c r="AM141" i="17"/>
  <c r="AN141" i="17" s="1"/>
  <c r="AM322" i="17"/>
  <c r="AN322" i="17" s="1"/>
  <c r="AM242" i="17"/>
  <c r="AM231" i="17"/>
  <c r="AN231" i="17" s="1"/>
  <c r="AM168" i="17"/>
  <c r="AN168" i="17" s="1"/>
  <c r="AM85" i="17"/>
  <c r="AN85" i="17" s="1"/>
  <c r="AN169" i="17"/>
  <c r="AN153" i="17"/>
  <c r="AN97" i="17"/>
  <c r="AN218" i="17"/>
  <c r="AN279" i="17"/>
  <c r="AM99" i="17"/>
  <c r="AN99" i="17" s="1"/>
  <c r="F97" i="14"/>
  <c r="AM301" i="17"/>
  <c r="AN301" i="17" s="1"/>
  <c r="AN246" i="17"/>
  <c r="AM184" i="17"/>
  <c r="AN184" i="17" s="1"/>
  <c r="AN270" i="17"/>
  <c r="AM75" i="17"/>
  <c r="AM143" i="17"/>
  <c r="AN143" i="17" s="1"/>
  <c r="AN252" i="17"/>
  <c r="AM213" i="17"/>
  <c r="AN242" i="17"/>
  <c r="AM89" i="17"/>
  <c r="AM243" i="17"/>
  <c r="AN243" i="17" s="1"/>
  <c r="AN81" i="17"/>
  <c r="AN230" i="17"/>
  <c r="AM310" i="17"/>
  <c r="AN310" i="17" s="1"/>
  <c r="AN245" i="17"/>
  <c r="AM215" i="17"/>
  <c r="AN215" i="17" s="1"/>
  <c r="AN71" i="17"/>
  <c r="AM80" i="17"/>
  <c r="AN80" i="17" s="1"/>
  <c r="AM208" i="17"/>
  <c r="AN341" i="17"/>
  <c r="AM248" i="17"/>
  <c r="AN248" i="17" s="1"/>
  <c r="AM235" i="17"/>
  <c r="AN235" i="17" s="1"/>
  <c r="AM210" i="17"/>
  <c r="AN210" i="17" s="1"/>
  <c r="AM144" i="17"/>
  <c r="AN144" i="17" s="1"/>
  <c r="AM132" i="17"/>
  <c r="AN132" i="17" s="1"/>
  <c r="AM96" i="17"/>
  <c r="AN96" i="17" s="1"/>
  <c r="AM226" i="17"/>
  <c r="AN226" i="17" s="1"/>
  <c r="AM281" i="17"/>
  <c r="AN281" i="17" s="1"/>
  <c r="AM187" i="17"/>
  <c r="AN187" i="17" s="1"/>
  <c r="AM209" i="17"/>
  <c r="AM163" i="17"/>
  <c r="AN163" i="17" s="1"/>
  <c r="AN305" i="17"/>
  <c r="AN181" i="17"/>
  <c r="AM164" i="17"/>
  <c r="AN167" i="17"/>
  <c r="AN155" i="17"/>
  <c r="AN213" i="17"/>
  <c r="AN89" i="17"/>
  <c r="AM194" i="17"/>
  <c r="AN194" i="17" s="1"/>
  <c r="AM346" i="17"/>
  <c r="AM273" i="17"/>
  <c r="AN273" i="17" s="1"/>
  <c r="AM148" i="17"/>
  <c r="AM87" i="17"/>
  <c r="AN87" i="17" s="1"/>
  <c r="AM127" i="17"/>
  <c r="AN127" i="17" s="1"/>
  <c r="AN91" i="17"/>
  <c r="AM196" i="17"/>
  <c r="AN196" i="17" s="1"/>
  <c r="AM297" i="17"/>
  <c r="AN297" i="17" s="1"/>
  <c r="AM327" i="17"/>
  <c r="AN327" i="17" s="1"/>
  <c r="AM224" i="17"/>
  <c r="AN224" i="17" s="1"/>
  <c r="AM57" i="17"/>
  <c r="AN57" i="17" s="1"/>
  <c r="AM261" i="17"/>
  <c r="AN261" i="17" s="1"/>
  <c r="AN316" i="17"/>
  <c r="AN211" i="17"/>
  <c r="AN63" i="17"/>
  <c r="AM147" i="17"/>
  <c r="AM136" i="17"/>
  <c r="AN136" i="17" s="1"/>
  <c r="AN129" i="17"/>
  <c r="AN124" i="17"/>
  <c r="AN346" i="17"/>
  <c r="AN268" i="17"/>
  <c r="AN76" i="17"/>
  <c r="AM295" i="17"/>
  <c r="AN274" i="17"/>
  <c r="AN234" i="17"/>
  <c r="AM296" i="17"/>
  <c r="AN296" i="17" s="1"/>
  <c r="AM113" i="17"/>
  <c r="AN113" i="17" s="1"/>
  <c r="AM179" i="17"/>
  <c r="AN179" i="17" s="1"/>
  <c r="AM198" i="17"/>
  <c r="AN198" i="17" s="1"/>
  <c r="AM131" i="17"/>
  <c r="AN131" i="17" s="1"/>
  <c r="AM254" i="17"/>
  <c r="AN254" i="17" s="1"/>
  <c r="AM123" i="17"/>
  <c r="AN123" i="17" s="1"/>
  <c r="AN328" i="17"/>
  <c r="AN312" i="17"/>
  <c r="AN229" i="17"/>
  <c r="AM60" i="17"/>
  <c r="AN60" i="17" s="1"/>
  <c r="I97" i="14"/>
  <c r="AM197" i="17"/>
  <c r="AN197" i="17" s="1"/>
  <c r="AM101" i="17"/>
  <c r="AN101" i="17" s="1"/>
  <c r="AM151" i="17"/>
  <c r="AN151" i="17" s="1"/>
  <c r="AM299" i="17"/>
  <c r="AN299" i="17" s="1"/>
  <c r="AM304" i="17"/>
  <c r="AN304" i="17" s="1"/>
  <c r="AN193" i="17"/>
  <c r="AN329" i="17"/>
  <c r="AN185" i="17"/>
  <c r="AM280" i="17"/>
  <c r="AN253" i="17"/>
  <c r="AN209" i="17"/>
  <c r="AM207" i="17"/>
  <c r="AN207" i="17" s="1"/>
  <c r="AM217" i="17"/>
  <c r="AN217" i="17" s="1"/>
  <c r="AM275" i="17"/>
  <c r="AN275" i="17" s="1"/>
  <c r="AM182" i="17"/>
  <c r="AN18" i="17"/>
  <c r="AM234" i="17"/>
  <c r="AM157" i="17"/>
  <c r="AN157" i="17" s="1"/>
  <c r="AN183" i="17"/>
  <c r="E97" i="14"/>
  <c r="AN208" i="17"/>
  <c r="AM278" i="17"/>
  <c r="AN278" i="17" s="1"/>
  <c r="AN147" i="17"/>
  <c r="AN109" i="17"/>
  <c r="AM37" i="17"/>
  <c r="AN37" i="17" s="1"/>
  <c r="AM27" i="17"/>
  <c r="AN27" i="17" s="1"/>
  <c r="AM189" i="17"/>
  <c r="AN189" i="17" s="1"/>
  <c r="AM222" i="17"/>
  <c r="AN222" i="17" s="1"/>
  <c r="AN345" i="17"/>
  <c r="AN276" i="17"/>
  <c r="AM340" i="17"/>
  <c r="AN340" i="17" s="1"/>
  <c r="AM330" i="17"/>
  <c r="AN330" i="17" s="1"/>
  <c r="AN73" i="17"/>
  <c r="AM84" i="17"/>
  <c r="AN84" i="17" s="1"/>
  <c r="AM100" i="17"/>
  <c r="AN100" i="17" s="1"/>
  <c r="AN280" i="17"/>
  <c r="AM59" i="17"/>
  <c r="AN59" i="17" s="1"/>
  <c r="AM298" i="17"/>
  <c r="AN298" i="17" s="1"/>
  <c r="AN349" i="17"/>
  <c r="AM339" i="17"/>
  <c r="AN339" i="17" s="1"/>
  <c r="AM128" i="17"/>
  <c r="AN128" i="17" s="1"/>
  <c r="AM237" i="17"/>
  <c r="AN237" i="17" s="1"/>
  <c r="AM221" i="17"/>
  <c r="AN221" i="17" s="1"/>
  <c r="AM324" i="17"/>
  <c r="AN324" i="17" s="1"/>
  <c r="AM325" i="17"/>
  <c r="AM337" i="17"/>
  <c r="AN337" i="17" s="1"/>
  <c r="AN140" i="17"/>
  <c r="AM259" i="17"/>
  <c r="AN259" i="17" s="1"/>
  <c r="AN264" i="17"/>
  <c r="AM219" i="17"/>
  <c r="AN219" i="17" s="1"/>
  <c r="AN228" i="17"/>
  <c r="AM302" i="17"/>
  <c r="AN302" i="17" s="1"/>
  <c r="AN12" i="17"/>
  <c r="AM262" i="17"/>
  <c r="AN262" i="17" s="1"/>
  <c r="AN156" i="17"/>
  <c r="AM331" i="17"/>
  <c r="AN331" i="17" s="1"/>
  <c r="AN75" i="17"/>
  <c r="AM309" i="17"/>
  <c r="AN309" i="17" s="1"/>
  <c r="AM133" i="17"/>
  <c r="AN133" i="17" s="1"/>
  <c r="AM233" i="17"/>
  <c r="AN233" i="17" s="1"/>
  <c r="AM107" i="17"/>
  <c r="AN107" i="17" s="1"/>
  <c r="AM149" i="17"/>
  <c r="AN149" i="17" s="1"/>
  <c r="AM204" i="17"/>
  <c r="AN204" i="17" s="1"/>
  <c r="AM291" i="17"/>
  <c r="AN291" i="17" s="1"/>
  <c r="AM283" i="17"/>
  <c r="AN283" i="17" s="1"/>
  <c r="AM286" i="17"/>
  <c r="AN286" i="17" s="1"/>
  <c r="AN174" i="17" l="1"/>
  <c r="AN325" i="17"/>
  <c r="AN164" i="17"/>
  <c r="J97" i="14"/>
  <c r="K97" i="14" s="1"/>
  <c r="AN182" i="17"/>
  <c r="L97" i="14" l="1"/>
  <c r="M97" i="14" s="1"/>
</calcChain>
</file>

<file path=xl/sharedStrings.xml><?xml version="1.0" encoding="utf-8"?>
<sst xmlns="http://schemas.openxmlformats.org/spreadsheetml/2006/main" count="3430" uniqueCount="169">
  <si>
    <t>ISCOM</t>
  </si>
  <si>
    <t>Pigier</t>
  </si>
  <si>
    <t>Tunon</t>
  </si>
  <si>
    <t>Chiffre d'affaires</t>
  </si>
  <si>
    <t>Effectif</t>
  </si>
  <si>
    <t>SCENARIO</t>
  </si>
  <si>
    <t>PERIODE</t>
  </si>
  <si>
    <t>ENTITY</t>
  </si>
  <si>
    <t>PROGRAMME</t>
  </si>
  <si>
    <t>AN_ETUDE</t>
  </si>
  <si>
    <t>MODALITE</t>
  </si>
  <si>
    <t>EXERCICE</t>
  </si>
  <si>
    <t>VOL_NEW</t>
  </si>
  <si>
    <t>VOL_EFF</t>
  </si>
  <si>
    <t>VOL_CLASS</t>
  </si>
  <si>
    <t>CA</t>
  </si>
  <si>
    <t>VERSION</t>
  </si>
  <si>
    <t>MARQUE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</si>
  <si>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</si>
  <si>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</si>
  <si>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</si>
  <si>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</si>
  <si>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</si>
  <si>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</si>
  <si>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</si>
  <si>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</si>
  <si>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</si>
  <si>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</si>
  <si>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</si>
  <si>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</si>
  <si>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</si>
  <si>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</si>
  <si>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</si>
  <si>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</si>
  <si>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</si>
  <si>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</si>
  <si>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</si>
  <si>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</si>
  <si>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>GROUPE</t>
  </si>
  <si>
    <t>■ VIOLET = colonne branchee sur une saisie (cad / Pilotage / 3_Allocation) -&gt; a recabler cote Tagetik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</si>
  <si>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</si>
  <si>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</si>
  <si>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</si>
  <si>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</si>
  <si>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</si>
  <si>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</si>
  <si>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</si>
  <si>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</si>
  <si>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</si>
  <si>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</si>
  <si>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</si>
  <si>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</si>
  <si>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</si>
  <si>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</si>
  <si>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</si>
  <si>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</si>
  <si>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</si>
  <si>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</si>
  <si>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</si>
  <si>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</si>
  <si>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</si>
  <si>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</si>
  <si>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</si>
  <si>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</si>
  <si>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</si>
  <si>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</si>
  <si>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</si>
  <si>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</si>
  <si>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</si>
  <si>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Nombre de classes</t>
  </si>
  <si>
    <t>COST_HOLDING</t>
  </si>
  <si>
    <t>POOL_VAC</t>
  </si>
  <si>
    <t>POOL_PERM</t>
  </si>
  <si>
    <t>POOL_ODIR</t>
  </si>
  <si>
    <t>POOL_MKT</t>
  </si>
  <si>
    <t>POOL_STRUCT</t>
  </si>
  <si>
    <t>POOL_HOLDING</t>
  </si>
  <si>
    <t>POOL_FRAIS_MARQUE</t>
  </si>
  <si>
    <t>EXVER</t>
  </si>
  <si>
    <t>Version budget restituée</t>
  </si>
  <si>
    <t>Scénario</t>
  </si>
  <si>
    <t>Frais de marque</t>
  </si>
  <si>
    <t>Total alloué</t>
  </si>
  <si>
    <t>Frais de structure campus</t>
  </si>
  <si>
    <t>Allocation &amp; RENTABILITE  -  Coût complet du groupe à la classe</t>
  </si>
  <si>
    <t>Cles d'Allocation</t>
  </si>
  <si>
    <t>MBway</t>
  </si>
  <si>
    <t>Paris</t>
  </si>
  <si>
    <t>Bachelor Management, 1re année, initial</t>
  </si>
  <si>
    <t>Bachelor Management, 2e année, alternance</t>
  </si>
  <si>
    <t>Bachelor Management, 3e année, alternance</t>
  </si>
  <si>
    <t>Mastère Management, 1re année, alternance</t>
  </si>
  <si>
    <t>Mastère Management, 2e année, alternance</t>
  </si>
  <si>
    <t>Lyon</t>
  </si>
  <si>
    <t>Nantes</t>
  </si>
  <si>
    <t>Bordeaux</t>
  </si>
  <si>
    <t>Bachelor Communication, 1re année, initial</t>
  </si>
  <si>
    <t>Bachelor Communication, 2e année, alternance</t>
  </si>
  <si>
    <t>Bachelor Communication, 3e année, alternance</t>
  </si>
  <si>
    <t>Mastère Communication, 1re année, alternance</t>
  </si>
  <si>
    <t>Mastère Communication, 2e année, alternance</t>
  </si>
  <si>
    <t>Lille</t>
  </si>
  <si>
    <t>Toulouse</t>
  </si>
  <si>
    <t>Ipac Bachelor Factory</t>
  </si>
  <si>
    <t>Bachelor Commerce, 1re année, alternance</t>
  </si>
  <si>
    <t>Bachelor Commerce, 2e année, alternance</t>
  </si>
  <si>
    <t>Bachelor Commerce, 3e année, alternance</t>
  </si>
  <si>
    <t>Rennes</t>
  </si>
  <si>
    <t>Montpellier</t>
  </si>
  <si>
    <t>Bachelor Ressources humaines, 1re année, alternance</t>
  </si>
  <si>
    <t>Bachelor Ressources humaines, 2e année, alternance</t>
  </si>
  <si>
    <t>Bachelor Ressources humaines, 3e année, alternance</t>
  </si>
  <si>
    <t>BTS Gestion, 1re année, alternance</t>
  </si>
  <si>
    <t>BTS Gestion, 2e année, alternance</t>
  </si>
  <si>
    <t>Bachelor Tourisme, 1re année, alternance</t>
  </si>
  <si>
    <t>Bachelor Tourisme, 2e année, alternance</t>
  </si>
  <si>
    <t>Bachelor Tourisme, 3e année, alternance</t>
  </si>
  <si>
    <t>Clé d’allocation Campus → Classe</t>
  </si>
  <si>
    <t>Clé d’allocation Pub de marque → marque</t>
  </si>
  <si>
    <t>Clé d’allocation siège administratif → marque</t>
  </si>
  <si>
    <t>Clé d’allocation Marque → Campus</t>
  </si>
  <si>
    <t>Cadrage</t>
  </si>
  <si>
    <t>2027BUD_V1</t>
  </si>
  <si>
    <t>ACT</t>
  </si>
  <si>
    <t>12</t>
  </si>
  <si>
    <t>2024</t>
  </si>
  <si>
    <t>IPAC_MTP</t>
  </si>
  <si>
    <t>IPAC</t>
  </si>
  <si>
    <t>BAC_CCE</t>
  </si>
  <si>
    <t>B1</t>
  </si>
  <si>
    <t>ALT</t>
  </si>
  <si>
    <t>B2</t>
  </si>
  <si>
    <t>B3</t>
  </si>
  <si>
    <t>IPAC_NAN</t>
  </si>
  <si>
    <t>IPAC_REN</t>
  </si>
  <si>
    <t>ISCOM_LIL</t>
  </si>
  <si>
    <t>BAC_COM</t>
  </si>
  <si>
    <t>INIT</t>
  </si>
  <si>
    <t>MAS_COM</t>
  </si>
  <si>
    <t>M1</t>
  </si>
  <si>
    <t>M2</t>
  </si>
  <si>
    <t>ISCOM_PAR</t>
  </si>
  <si>
    <t>ISCOM_TLS</t>
  </si>
  <si>
    <t>MBWAY_BOR</t>
  </si>
  <si>
    <t>MBWAY</t>
  </si>
  <si>
    <t>BAC_MGT</t>
  </si>
  <si>
    <t>MAS_MGT</t>
  </si>
  <si>
    <t>MBWAY_LYO</t>
  </si>
  <si>
    <t>MBWAY_NAN</t>
  </si>
  <si>
    <t>MBWAY_PAR</t>
  </si>
  <si>
    <t>PIGIER_BOR</t>
  </si>
  <si>
    <t>PIGIER</t>
  </si>
  <si>
    <t>BTS_GES</t>
  </si>
  <si>
    <t>BTS1</t>
  </si>
  <si>
    <t>BTS2</t>
  </si>
  <si>
    <t>BAC_RH</t>
  </si>
  <si>
    <t>PIGIER_LYO</t>
  </si>
  <si>
    <t>TUNON_LYO</t>
  </si>
  <si>
    <t>TUNON</t>
  </si>
  <si>
    <t>BAC_TOU</t>
  </si>
  <si>
    <t>TUNON_PAR</t>
  </si>
  <si>
    <t>2025</t>
  </si>
  <si>
    <t>2026</t>
  </si>
  <si>
    <t>V01</t>
  </si>
  <si>
    <t>2027</t>
  </si>
  <si>
    <t>V02</t>
  </si>
  <si>
    <t>V03</t>
  </si>
  <si>
    <t>Optimiste</t>
  </si>
  <si>
    <t>Prudent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</si>
</sst>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&quot; €&quot;;\-#,##0&quot; €&quot;;&quot;–&quot;"/>
    <numFmt numFmtId="166" formatCode="0.0%;\-0.0%;&quot;–&quot;"/>
    <numFmt numFmtId="167" formatCode="#,##0;\-#,##0;&quot;–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0"/>
      <color rgb="FF15406E"/>
      <name val="Arial"/>
      <family val="2"/>
    </font>
    <font>
      <b/>
      <sz val="10"/>
      <color rgb="FF333333"/>
      <name val="Arial"/>
      <family val="2"/>
    </font>
    <font>
      <sz val="10"/>
      <color rgb="FF555555"/>
      <name val="Arial"/>
      <family val="2"/>
    </font>
    <font>
      <b/>
      <sz val="9"/>
      <color rgb="FF15406E"/>
      <name val="Arial"/>
      <family val="2"/>
    </font>
    <font>
      <b/>
      <sz val="18"/>
      <color theme="1"/>
      <name val="Arial"/>
      <family val="2"/>
    </font>
    <font>
      <b/>
      <sz val="11"/>
      <color rgb="FFB8860B"/>
      <name val="Arial"/>
      <family val="2"/>
    </font>
    <font>
      <b/>
      <sz val="10.5"/>
      <color rgb="FF262626"/>
      <name val="Arial"/>
      <family val="2"/>
    </font>
    <font>
      <b/>
      <sz val="8.5"/>
      <color rgb="FF262626"/>
      <name val="Arial"/>
      <family val="2"/>
    </font>
    <font>
      <b/>
      <sz val="8.5"/>
      <color rgb="FFFFFFFF"/>
      <name val="Arial"/>
      <family val="2"/>
    </font>
    <font>
      <b/>
      <sz val="10"/>
      <color rgb="FF262626"/>
      <name val="Arial"/>
      <family val="2"/>
    </font>
    <font>
      <b/>
      <sz val="11"/>
      <color rgb="FF26262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7F7F9"/>
      </patternFill>
    </fill>
    <fill>
      <patternFill patternType="solid">
        <fgColor rgb="FFFFF2CC"/>
        <bgColor indexed="64"/>
      </patternFill>
    </fill>
    <fill>
      <patternFill patternType="solid">
        <fgColor rgb="FFD4E6FA"/>
        <bgColor rgb="FF000000"/>
      </patternFill>
    </fill>
    <fill>
      <patternFill patternType="solid">
        <fgColor rgb="FFDDF2E3"/>
        <bgColor rgb="FF000000"/>
      </patternFill>
    </fill>
    <fill>
      <patternFill patternType="solid">
        <fgColor rgb="FFE8F0FB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FBEFD0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rgb="FF007AC3"/>
        <bgColor indexed="64"/>
      </patternFill>
    </fill>
    <fill>
      <patternFill patternType="solid">
        <fgColor rgb="FFE8F1F9"/>
        <bgColor indexed="64"/>
      </patternFill>
    </fill>
    <fill>
      <patternFill patternType="solid">
        <fgColor rgb="FFF7F7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262626"/>
      </bottom>
      <diagonal/>
    </border>
    <border>
      <left style="thin">
        <color rgb="FFE0E0E0"/>
      </left>
      <right style="thin">
        <color rgb="FFE0E0E0"/>
      </right>
      <top style="thin">
        <color rgb="FF262626"/>
      </top>
      <bottom style="thin">
        <color rgb="FF262626"/>
      </bottom>
      <diagonal/>
    </border>
    <border>
      <left style="thin">
        <color rgb="FFE0E0E0"/>
      </left>
      <right style="thin">
        <color rgb="FFE0E0E0"/>
      </right>
      <top/>
      <bottom style="thin">
        <color rgb="FFD5D7DA"/>
      </bottom>
      <diagonal/>
    </border>
    <border>
      <left style="thin">
        <color rgb="FFD9D9D9"/>
      </left>
      <right style="thin">
        <color rgb="FFD9D9D9"/>
      </right>
      <top/>
      <bottom style="thin">
        <color rgb="FFD5D7DA"/>
      </bottom>
      <diagonal/>
    </border>
    <border>
      <left style="thin">
        <color rgb="FFE0E0E0"/>
      </left>
      <right style="thin">
        <color rgb="FFE0E0E0"/>
      </right>
      <top style="thin">
        <color rgb="FF262626"/>
      </top>
      <bottom style="double">
        <color rgb="FF262626"/>
      </bottom>
      <diagonal/>
    </border>
    <border>
      <left style="thin">
        <color rgb="FFD9D9D9"/>
      </left>
      <right style="thin">
        <color rgb="FFD9D9D9"/>
      </right>
      <top style="thin">
        <color rgb="FF262626"/>
      </top>
      <bottom style="double">
        <color rgb="FF262626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quotePrefix="1" applyFont="1"/>
    <xf numFmtId="165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9" fillId="0" borderId="0" xfId="0" quotePrefix="1" applyFont="1"/>
    <xf numFmtId="0" fontId="3" fillId="0" borderId="0" xfId="0" applyFont="1"/>
    <xf numFmtId="0" fontId="12" fillId="2" borderId="1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6" fillId="0" borderId="0" xfId="0" applyFont="1"/>
    <xf numFmtId="0" fontId="10" fillId="0" borderId="5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7" fillId="0" borderId="6" xfId="0" applyFont="1" applyBorder="1"/>
    <xf numFmtId="0" fontId="18" fillId="9" borderId="7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left" vertical="center"/>
    </xf>
    <xf numFmtId="167" fontId="6" fillId="11" borderId="9" xfId="0" applyNumberFormat="1" applyFont="1" applyFill="1" applyBorder="1" applyAlignment="1">
      <alignment horizontal="right" vertical="center"/>
    </xf>
    <xf numFmtId="165" fontId="6" fillId="11" borderId="9" xfId="0" applyNumberFormat="1" applyFont="1" applyFill="1" applyBorder="1" applyAlignment="1">
      <alignment horizontal="right" vertical="center"/>
    </xf>
    <xf numFmtId="165" fontId="7" fillId="11" borderId="9" xfId="0" applyNumberFormat="1" applyFont="1" applyFill="1" applyBorder="1" applyAlignment="1">
      <alignment horizontal="right" vertical="center"/>
    </xf>
    <xf numFmtId="166" fontId="6" fillId="11" borderId="9" xfId="0" applyNumberFormat="1" applyFont="1" applyFill="1" applyBorder="1" applyAlignment="1">
      <alignment horizontal="right" vertical="center"/>
    </xf>
    <xf numFmtId="0" fontId="12" fillId="12" borderId="8" xfId="0" applyFont="1" applyFill="1" applyBorder="1" applyAlignment="1">
      <alignment horizontal="left" vertical="center" indent="1"/>
    </xf>
    <xf numFmtId="167" fontId="6" fillId="12" borderId="9" xfId="0" applyNumberFormat="1" applyFont="1" applyFill="1" applyBorder="1" applyAlignment="1">
      <alignment horizontal="right" vertical="center"/>
    </xf>
    <xf numFmtId="165" fontId="6" fillId="12" borderId="9" xfId="0" applyNumberFormat="1" applyFont="1" applyFill="1" applyBorder="1" applyAlignment="1">
      <alignment horizontal="right" vertical="center"/>
    </xf>
    <xf numFmtId="165" fontId="7" fillId="12" borderId="9" xfId="0" applyNumberFormat="1" applyFont="1" applyFill="1" applyBorder="1" applyAlignment="1">
      <alignment horizontal="right" vertical="center"/>
    </xf>
    <xf numFmtId="166" fontId="6" fillId="12" borderId="9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left" vertical="center" indent="2"/>
    </xf>
    <xf numFmtId="167" fontId="4" fillId="13" borderId="9" xfId="0" applyNumberFormat="1" applyFont="1" applyFill="1" applyBorder="1" applyAlignment="1">
      <alignment horizontal="right" vertical="center"/>
    </xf>
    <xf numFmtId="165" fontId="4" fillId="13" borderId="9" xfId="0" applyNumberFormat="1" applyFont="1" applyFill="1" applyBorder="1" applyAlignment="1">
      <alignment horizontal="right" vertical="center"/>
    </xf>
    <xf numFmtId="165" fontId="6" fillId="13" borderId="9" xfId="0" applyNumberFormat="1" applyFont="1" applyFill="1" applyBorder="1" applyAlignment="1">
      <alignment horizontal="right" vertical="center"/>
    </xf>
    <xf numFmtId="165" fontId="8" fillId="13" borderId="9" xfId="0" applyNumberFormat="1" applyFont="1" applyFill="1" applyBorder="1" applyAlignment="1">
      <alignment horizontal="right" vertical="center"/>
    </xf>
    <xf numFmtId="166" fontId="4" fillId="13" borderId="9" xfId="0" applyNumberFormat="1" applyFont="1" applyFill="1" applyBorder="1" applyAlignment="1">
      <alignment horizontal="right" vertical="center"/>
    </xf>
    <xf numFmtId="0" fontId="20" fillId="9" borderId="10" xfId="0" applyFont="1" applyFill="1" applyBorder="1" applyAlignment="1">
      <alignment horizontal="left" vertical="center"/>
    </xf>
    <xf numFmtId="167" fontId="21" fillId="9" borderId="11" xfId="0" applyNumberFormat="1" applyFont="1" applyFill="1" applyBorder="1" applyAlignment="1">
      <alignment horizontal="right" vertical="center"/>
    </xf>
    <xf numFmtId="165" fontId="21" fillId="9" borderId="11" xfId="0" applyNumberFormat="1" applyFont="1" applyFill="1" applyBorder="1" applyAlignment="1">
      <alignment horizontal="right" vertical="center"/>
    </xf>
    <xf numFmtId="166" fontId="21" fillId="9" borderId="11" xfId="0" applyNumberFormat="1" applyFont="1" applyFill="1" applyBorder="1" applyAlignment="1">
      <alignment horizontal="right" vertical="center"/>
    </xf>
    <xf numFmtId="0" fontId="6" fillId="0" borderId="0" xfId="0" quotePrefix="1" applyFont="1" applyAlignment="1">
      <alignment horizontal="left" vertical="center"/>
    </xf>
    <xf numFmtId="0" fontId="5" fillId="3" borderId="3" xfId="0" quotePrefix="1" applyFont="1" applyFill="1" applyBorder="1" applyAlignment="1">
      <alignment horizontal="center" vertical="center" wrapText="1"/>
    </xf>
  </cellXfs>
  <cellStyles count="2">
    <cellStyle name="Milliers 2" xfId="1" xr:uid="{262149E1-252F-4FAD-A249-DB5BC9D01155}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69850</xdr:rowOff>
    </xdr:from>
    <xdr:to>
      <xdr:col>1</xdr:col>
      <xdr:colOff>1873463</xdr:colOff>
      <xdr:row>1</xdr:row>
      <xdr:rowOff>516687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202FD50-FC34-4BFA-B462-2E67D474D3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75" b="33829"/>
        <a:stretch>
          <a:fillRect/>
        </a:stretch>
      </xdr:blipFill>
      <xdr:spPr bwMode="auto">
        <a:xfrm>
          <a:off x="184150" y="69850"/>
          <a:ext cx="1911563" cy="681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896470</xdr:colOff>
      <xdr:row>0</xdr:row>
      <xdr:rowOff>74705</xdr:rowOff>
    </xdr:from>
    <xdr:to>
      <xdr:col>11</xdr:col>
      <xdr:colOff>660027</xdr:colOff>
      <xdr:row>1</xdr:row>
      <xdr:rowOff>692757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F95C9E8F-2359-47B5-B082-5E84BF7E8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363015" y="74705"/>
          <a:ext cx="775074" cy="85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CJ361"/>
  <sheetViews>
    <sheetView showGridLines="0" tabSelected="1" zoomScale="90" zoomScaleNormal="90" workbookViewId="0">
      <selection activeCell="BG4" sqref="BG4"/>
    </sheetView>
  </sheetViews>
  <sheetFormatPr baseColWidth="10" defaultRowHeight="14.25" outlineLevelRow="2" x14ac:dyDescent="0.45"/>
  <cols>
    <col min="20" max="26" width="13" hidden="1" customWidth="1"/>
    <col min="1" max="1" width="3.19921875" customWidth="1"/>
    <col min="2" max="2" width="48.53125" customWidth="1"/>
    <col min="3" max="3" width="20.19921875" bestFit="1" customWidth="1"/>
    <col min="4" max="4" width="17.06640625" customWidth="1"/>
    <col min="5" max="5" width="13.59765625" customWidth="1"/>
    <col min="6" max="6" width="17.796875" bestFit="1" customWidth="1"/>
    <col min="7" max="12" width="14.19921875" customWidth="1"/>
    <col min="58" max="58" width="11.06640625" bestFit="1" customWidth="1"/>
    <col min="59" max="59" width="8.06640625" bestFit="1" customWidth="1"/>
    <col min="60" max="60" width="7.9296875" bestFit="1" customWidth="1"/>
    <col min="61" max="61" width="8.86328125" bestFit="1" customWidth="1"/>
    <col min="62" max="62" width="11.19921875" bestFit="1" customWidth="1"/>
    <col min="63" max="63" width="7.796875" bestFit="1" customWidth="1"/>
    <col min="64" max="64" width="11.46484375" bestFit="1" customWidth="1"/>
    <col min="65" max="65" width="9.1328125" bestFit="1" customWidth="1"/>
    <col min="66" max="66" width="8.9296875" bestFit="1" customWidth="1"/>
    <col min="67" max="67" width="10.73046875" bestFit="1" customWidth="1"/>
    <col min="68" max="68" width="10" bestFit="1" customWidth="1"/>
    <col min="69" max="72" width="11.73046875" bestFit="1" customWidth="1"/>
    <col min="73" max="73" width="12.265625" bestFit="1" customWidth="1"/>
    <col min="74" max="74" width="13" bestFit="1" customWidth="1"/>
    <col min="75" max="75" width="13.59765625" bestFit="1" customWidth="1"/>
    <col min="76" max="76" width="11.73046875" bestFit="1" customWidth="1"/>
    <col min="77" max="77" width="13.73046875" bestFit="1" customWidth="1"/>
    <col min="78" max="78" width="15.59765625" bestFit="1" customWidth="1"/>
    <col min="79" max="79" width="13.59765625" bestFit="1" customWidth="1"/>
    <col min="80" max="80" width="16.1328125" bestFit="1" customWidth="1"/>
    <col min="81" max="81" width="10.73046875" bestFit="1" customWidth="1"/>
    <col min="82" max="84" width="11.73046875" bestFit="1" customWidth="1"/>
    <col min="85" max="85" width="9.46484375" bestFit="1" customWidth="1"/>
    <col min="86" max="86" width="12.33203125" bestFit="1" customWidth="1"/>
    <col min="87" max="87" width="13.6640625" bestFit="1" customWidth="1"/>
    <col min="88" max="88" width="18.6640625" bestFit="1" customWidth="1"/>
  </cols>
  <sheetData>
    <row r="1" spans="2:88" ht="18.5" customHeight="1" x14ac:dyDescent="0.45">
      <c r="N1" s="6" t="str">
        <f>IF($C$6="Chiffre d'affaires","REV_CA",IF($C$6="Nombre de classes","VOL_CLASS","VOL_EFF"))</f>
        <v>VOL_EFF</v>
      </c>
      <c r="P1" s="6" t="str">
        <f>IF($C$12="Optimiste","V02",IF($C$12="Prudent","V03","V01"))</f>
        <v>V02</v>
      </c>
      <c r="BF1" s="5" t="s">
        <v>5</v>
      </c>
      <c r="BG1" s="1" t="s">
        <v>16</v>
      </c>
      <c r="BH1" s="1" t="s">
        <v>6</v>
      </c>
      <c r="BI1" s="1" t="s">
        <v>11</v>
      </c>
      <c r="BJ1" s="1" t="s">
        <v>7</v>
      </c>
      <c r="BK1" s="1" t="s">
        <v>17</v>
      </c>
      <c r="BL1" s="1" t="s">
        <v>8</v>
      </c>
      <c r="BM1" s="1" t="s">
        <v>9</v>
      </c>
      <c r="BN1" s="1" t="s">
        <v>10</v>
      </c>
      <c r="BO1" s="1" t="s">
        <v>13</v>
      </c>
      <c r="BP1" s="1" t="s">
        <v>14</v>
      </c>
      <c r="BQ1" s="1" t="s">
        <v>15</v>
      </c>
      <c r="BR1" s="1" t="s">
        <v>18</v>
      </c>
      <c r="BS1" s="1" t="s">
        <v>19</v>
      </c>
      <c r="BT1" s="1" t="s">
        <v>20</v>
      </c>
      <c r="BU1" s="1" t="s">
        <v>21</v>
      </c>
      <c r="BV1" s="1" t="s">
        <v>68</v>
      </c>
      <c r="BW1" s="1" t="s">
        <v>70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12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</row>
    <row r="2" spans="2:88" ht="58.05" customHeight="1" thickBot="1" x14ac:dyDescent="0.7">
      <c r="B2" s="14"/>
      <c r="C2" s="14"/>
      <c r="D2" s="15" t="s">
        <v>84</v>
      </c>
      <c r="E2" s="14"/>
      <c r="F2" s="14"/>
      <c r="G2" s="14"/>
      <c r="H2" s="14"/>
      <c r="I2" s="14"/>
      <c r="J2" s="14"/>
      <c r="K2" s="14"/>
      <c r="L2" s="14"/>
      <c r="M2" s="14"/>
      <c r="N2" s="6" t="str">
        <f>IF($C$7="Chiffre d'affaires","REV_CA",IF($C$7="Nombre de classes","VOL_CLASS","VOL_EFF"))</f>
        <v>REV_CA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  <c r="BN2" s="1" t="s">
        <v>130</v>
      </c>
      <c r="BO2" s="1">
        <v>36</v>
      </c>
      <c r="BP2" s="1">
        <v>2</v>
      </c>
      <c r="BQ2" s="1">
        <v>242640</v>
      </c>
      <c r="BR2" s="1">
        <v>22035.977964000002</v>
      </c>
      <c r="BS2" s="1">
        <v>42519.027480999997</v>
      </c>
      <c r="BT2" s="1">
        <v>26165.051467000001</v>
      </c>
      <c r="BU2" s="1">
        <v>85770.027562999996</v>
      </c>
      <c r="BV2" s="1">
        <v>5796.892014</v>
      </c>
      <c r="BW2" s="1">
        <v>33312.214271999997</v>
      </c>
      <c r="BX2" s="1">
        <v>39109.106286000002</v>
      </c>
      <c r="BY2" s="1">
        <v>48201.029431000003</v>
      </c>
      <c r="BZ2" s="1">
        <v>167398.16133</v>
      </c>
      <c r="CA2" s="1">
        <v>215599.19076100001</v>
      </c>
      <c r="CB2" s="1">
        <v>27040.809238999998</v>
      </c>
      <c r="CC2">
        <v>36</v>
      </c>
      <c r="CD2">
        <v>66108</v>
      </c>
      <c r="CE2">
        <v>127557.21</v>
      </c>
      <c r="CF2">
        <v>39731</v>
      </c>
      <c r="CG2">
        <v>12543</v>
      </c>
      <c r="CH2">
        <v>257310.34</v>
      </c>
      <c r="CI2">
        <v>2639292</v>
      </c>
      <c r="CJ2">
        <v>499926</v>
      </c>
    </row>
    <row r="3" spans="2:88" x14ac:dyDescent="0.45">
      <c r="E3" s="1"/>
      <c r="F3" s="1"/>
      <c r="G3" s="1"/>
      <c r="H3" s="1"/>
      <c r="I3" s="1"/>
      <c r="N3" s="6" t="str">
        <f>IF($C$8="Chiffre d'affaires","REV_CA",IF($C$8="Nombre de classes","VOL_CLASS","VOL_EFF"))</f>
        <v>VOL_EFF</v>
      </c>
      <c r="BF3" t="s">
        <v>122</v>
      </c>
      <c r="BG3" t="s">
        <v>123</v>
      </c>
      <c r="BH3" t="s">
        <v>124</v>
      </c>
      <c r="BI3" t="s">
        <v>125</v>
      </c>
      <c r="BJ3" t="s">
        <v>126</v>
      </c>
      <c r="BK3" t="s">
        <v>127</v>
      </c>
      <c r="BL3" t="s">
        <v>128</v>
      </c>
      <c r="BM3" t="s">
        <v>131</v>
      </c>
      <c r="BN3" t="s">
        <v>130</v>
      </c>
      <c r="BO3">
        <v>35</v>
      </c>
      <c r="BP3">
        <v>2</v>
      </c>
      <c r="BQ3">
        <v>232750</v>
      </c>
      <c r="BR3">
        <v>22035.977964000002</v>
      </c>
      <c r="BS3">
        <v>42519.027480999997</v>
      </c>
      <c r="BT3">
        <v>13243.653423</v>
      </c>
      <c r="BU3">
        <v>85770.027562999996</v>
      </c>
      <c r="BV3">
        <v>5796.892014</v>
      </c>
      <c r="BW3">
        <v>33312.214271999997</v>
      </c>
      <c r="BX3">
        <v>39109.106286000002</v>
      </c>
      <c r="BY3">
        <v>35279.631387000001</v>
      </c>
      <c r="BZ3">
        <v>167398.16133</v>
      </c>
      <c r="CA3">
        <v>202677.792717</v>
      </c>
      <c r="CB3">
        <v>30072.207283</v>
      </c>
      <c r="CC3">
        <v>0</v>
      </c>
      <c r="CD3">
        <v>66108</v>
      </c>
      <c r="CE3">
        <v>127557.21</v>
      </c>
      <c r="CF3">
        <v>39731</v>
      </c>
      <c r="CG3">
        <v>12543</v>
      </c>
      <c r="CH3">
        <v>257310.34</v>
      </c>
      <c r="CI3">
        <v>2639292</v>
      </c>
      <c r="CJ3">
        <v>499926</v>
      </c>
    </row>
    <row r="4" spans="2:88" ht="23.25" x14ac:dyDescent="0.45">
      <c r="E4" s="8" t="s">
        <v>80</v>
      </c>
      <c r="F4" s="9" t="s">
        <v>83</v>
      </c>
      <c r="G4" s="10" t="s">
        <v>81</v>
      </c>
      <c r="H4" s="11" t="s">
        <v>34</v>
      </c>
      <c r="I4" s="12" t="s">
        <v>82</v>
      </c>
      <c r="N4" s="6" t="str">
        <f>IF($C$9="Chiffre d'affaires","REV_CA",IF($C$9="Nombre de classes","VOL_CLASS","VOL_EFF"))</f>
        <v>VOL_CLASS</v>
      </c>
      <c r="BF4" t="s">
        <v>122</v>
      </c>
      <c r="BG4" t="s">
        <v>123</v>
      </c>
      <c r="BH4" t="s">
        <v>124</v>
      </c>
      <c r="BI4" t="s">
        <v>125</v>
      </c>
      <c r="BJ4" t="s">
        <v>126</v>
      </c>
      <c r="BK4" t="s">
        <v>127</v>
      </c>
      <c r="BL4" t="s">
        <v>128</v>
      </c>
      <c r="BM4" t="s">
        <v>132</v>
      </c>
      <c r="BN4" t="s">
        <v>130</v>
      </c>
      <c r="BO4">
        <v>34</v>
      </c>
      <c r="BP4">
        <v>2</v>
      </c>
      <c r="BQ4">
        <v>226100</v>
      </c>
      <c r="BR4">
        <v>22035.977964000002</v>
      </c>
      <c r="BS4">
        <v>42519.027480999997</v>
      </c>
      <c r="BT4">
        <v>12865.255379</v>
      </c>
      <c r="BU4">
        <v>85770.027562999996</v>
      </c>
      <c r="BV4">
        <v>5796.892014</v>
      </c>
      <c r="BW4">
        <v>33312.214271999997</v>
      </c>
      <c r="BX4">
        <v>39109.106286000002</v>
      </c>
      <c r="BY4">
        <v>34901.233343</v>
      </c>
      <c r="BZ4">
        <v>167398.16133</v>
      </c>
      <c r="CA4">
        <v>202299.394673</v>
      </c>
      <c r="CB4">
        <v>23800.605327000001</v>
      </c>
      <c r="CC4">
        <v>0</v>
      </c>
      <c r="CD4">
        <v>66108</v>
      </c>
      <c r="CE4">
        <v>127557.21</v>
      </c>
      <c r="CF4">
        <v>39731</v>
      </c>
      <c r="CG4">
        <v>12543</v>
      </c>
      <c r="CH4">
        <v>257310.34</v>
      </c>
      <c r="CI4">
        <v>2639292</v>
      </c>
      <c r="CJ4">
        <v>499926</v>
      </c>
    </row>
    <row r="5" spans="2:88" x14ac:dyDescent="0.45">
      <c r="B5" s="13" t="s">
        <v>85</v>
      </c>
      <c r="E5" s="7" t="s">
        <v>121</v>
      </c>
      <c r="F5" s="3">
        <v>9045300.5636059996</v>
      </c>
      <c r="G5" s="2">
        <v>743978.4</v>
      </c>
      <c r="H5" s="2">
        <v>2975861.5814200002</v>
      </c>
      <c r="I5" s="2">
        <v>12765140.545026001</v>
      </c>
      <c r="BF5" t="s">
        <v>122</v>
      </c>
      <c r="BG5" t="s">
        <v>123</v>
      </c>
      <c r="BH5" t="s">
        <v>124</v>
      </c>
      <c r="BI5" t="s">
        <v>125</v>
      </c>
      <c r="BJ5" t="s">
        <v>133</v>
      </c>
      <c r="BK5" t="s">
        <v>127</v>
      </c>
      <c r="BL5" t="s">
        <v>128</v>
      </c>
      <c r="BM5" t="s">
        <v>129</v>
      </c>
      <c r="BN5" t="s">
        <v>130</v>
      </c>
      <c r="BO5">
        <v>44</v>
      </c>
      <c r="BP5">
        <v>2</v>
      </c>
      <c r="BQ5">
        <v>311960</v>
      </c>
      <c r="BR5">
        <v>22035.977964000002</v>
      </c>
      <c r="BS5">
        <v>51911.148089000002</v>
      </c>
      <c r="BT5">
        <v>34778.025399999999</v>
      </c>
      <c r="BU5">
        <v>120276.53305699999</v>
      </c>
      <c r="BV5">
        <v>7121.889486</v>
      </c>
      <c r="BW5">
        <v>40926.397803</v>
      </c>
      <c r="BX5">
        <v>48048.287289</v>
      </c>
      <c r="BY5">
        <v>56814.003363999997</v>
      </c>
      <c r="BZ5">
        <v>220235.96843499999</v>
      </c>
      <c r="CA5">
        <v>277049.97179899999</v>
      </c>
      <c r="CB5">
        <v>34910.028201000001</v>
      </c>
      <c r="CC5">
        <v>44</v>
      </c>
      <c r="CD5">
        <v>66108</v>
      </c>
      <c r="CE5">
        <v>155733.6</v>
      </c>
      <c r="CF5">
        <v>49240</v>
      </c>
      <c r="CG5">
        <v>17983</v>
      </c>
      <c r="CH5">
        <v>360829.96</v>
      </c>
      <c r="CI5">
        <v>2639292</v>
      </c>
      <c r="CJ5">
        <v>499926</v>
      </c>
    </row>
    <row r="6" spans="2:88" x14ac:dyDescent="0.45">
      <c r="B6" s="39" t="s">
        <v>119</v>
      </c>
      <c r="C6" s="40" t="s">
        <v>4</v>
      </c>
      <c r="E6" s="7" t="s">
        <v>167</v>
      </c>
      <c r="F6" s="3">
        <v>8810446.7356930003</v>
      </c>
      <c r="G6" s="2">
        <v>777795.6</v>
      </c>
      <c r="H6" s="2">
        <v>2894009.9927380001</v>
      </c>
      <c r="I6" s="2">
        <v>12482252.328430999</v>
      </c>
      <c r="BF6" t="s">
        <v>122</v>
      </c>
      <c r="BG6" t="s">
        <v>123</v>
      </c>
      <c r="BH6" t="s">
        <v>124</v>
      </c>
      <c r="BI6" t="s">
        <v>125</v>
      </c>
      <c r="BJ6" t="s">
        <v>133</v>
      </c>
      <c r="BK6" t="s">
        <v>127</v>
      </c>
      <c r="BL6" t="s">
        <v>128</v>
      </c>
      <c r="BM6" t="s">
        <v>131</v>
      </c>
      <c r="BN6" t="s">
        <v>130</v>
      </c>
      <c r="BO6">
        <v>43</v>
      </c>
      <c r="BP6">
        <v>2</v>
      </c>
      <c r="BQ6">
        <v>301000</v>
      </c>
      <c r="BR6">
        <v>22035.977964000002</v>
      </c>
      <c r="BS6">
        <v>51911.148089000002</v>
      </c>
      <c r="BT6">
        <v>16413.316920000001</v>
      </c>
      <c r="BU6">
        <v>120276.53305699999</v>
      </c>
      <c r="BV6">
        <v>7121.889486</v>
      </c>
      <c r="BW6">
        <v>40926.397803</v>
      </c>
      <c r="BX6">
        <v>48048.287289</v>
      </c>
      <c r="BY6">
        <v>38449.294884000003</v>
      </c>
      <c r="BZ6">
        <v>220235.96843499999</v>
      </c>
      <c r="CA6">
        <v>258685.26331899999</v>
      </c>
      <c r="CB6">
        <v>42314.736681000002</v>
      </c>
      <c r="CC6">
        <v>0</v>
      </c>
      <c r="CD6">
        <v>66108</v>
      </c>
      <c r="CE6">
        <v>155733.6</v>
      </c>
      <c r="CF6">
        <v>49240</v>
      </c>
      <c r="CG6">
        <v>17983</v>
      </c>
      <c r="CH6">
        <v>360829.96</v>
      </c>
      <c r="CI6">
        <v>2639292</v>
      </c>
      <c r="CJ6">
        <v>499926</v>
      </c>
    </row>
    <row r="7" spans="2:88" x14ac:dyDescent="0.45">
      <c r="B7" s="39" t="s">
        <v>118</v>
      </c>
      <c r="C7" s="40" t="s">
        <v>3</v>
      </c>
      <c r="E7" s="7" t="s">
        <v>168</v>
      </c>
      <c r="F7" s="3">
        <v>9361926.2670900002</v>
      </c>
      <c r="G7" s="2">
        <v>642526.80000000005</v>
      </c>
      <c r="H7" s="2">
        <v>3092074.3478999999</v>
      </c>
      <c r="I7" s="2">
        <v>13096527.41499</v>
      </c>
      <c r="BF7" t="s">
        <v>122</v>
      </c>
      <c r="BG7" t="s">
        <v>123</v>
      </c>
      <c r="BH7" t="s">
        <v>124</v>
      </c>
      <c r="BI7" t="s">
        <v>125</v>
      </c>
      <c r="BJ7" t="s">
        <v>133</v>
      </c>
      <c r="BK7" t="s">
        <v>127</v>
      </c>
      <c r="BL7" t="s">
        <v>128</v>
      </c>
      <c r="BM7" t="s">
        <v>132</v>
      </c>
      <c r="BN7" t="s">
        <v>130</v>
      </c>
      <c r="BO7">
        <v>42</v>
      </c>
      <c r="BP7">
        <v>2</v>
      </c>
      <c r="BQ7">
        <v>294000</v>
      </c>
      <c r="BR7">
        <v>22035.977964000002</v>
      </c>
      <c r="BS7">
        <v>51911.148089000002</v>
      </c>
      <c r="BT7">
        <v>16031.60844</v>
      </c>
      <c r="BU7">
        <v>120276.53305699999</v>
      </c>
      <c r="BV7">
        <v>7121.889486</v>
      </c>
      <c r="BW7">
        <v>40926.397803</v>
      </c>
      <c r="BX7">
        <v>48048.287289</v>
      </c>
      <c r="BY7">
        <v>38067.586404000001</v>
      </c>
      <c r="BZ7">
        <v>220235.96843499999</v>
      </c>
      <c r="CA7">
        <v>258303.55483899999</v>
      </c>
      <c r="CB7">
        <v>35696.445161000003</v>
      </c>
      <c r="CC7">
        <v>0</v>
      </c>
      <c r="CD7">
        <v>66108</v>
      </c>
      <c r="CE7">
        <v>155733.6</v>
      </c>
      <c r="CF7">
        <v>49240</v>
      </c>
      <c r="CG7">
        <v>17983</v>
      </c>
      <c r="CH7">
        <v>360829.96</v>
      </c>
      <c r="CI7">
        <v>2639292</v>
      </c>
      <c r="CJ7">
        <v>499926</v>
      </c>
    </row>
    <row r="8" spans="2:88" x14ac:dyDescent="0.45">
      <c r="B8" s="39" t="s">
        <v>120</v>
      </c>
      <c r="C8" s="40" t="s">
        <v>4</v>
      </c>
      <c r="BF8" t="s">
        <v>122</v>
      </c>
      <c r="BG8" t="s">
        <v>123</v>
      </c>
      <c r="BH8" t="s">
        <v>124</v>
      </c>
      <c r="BI8" t="s">
        <v>125</v>
      </c>
      <c r="BJ8" t="s">
        <v>134</v>
      </c>
      <c r="BK8" t="s">
        <v>127</v>
      </c>
      <c r="BL8" t="s">
        <v>128</v>
      </c>
      <c r="BM8" t="s">
        <v>129</v>
      </c>
      <c r="BN8" t="s">
        <v>130</v>
      </c>
      <c r="BO8">
        <v>36</v>
      </c>
      <c r="BP8">
        <v>2</v>
      </c>
      <c r="BQ8">
        <v>242640</v>
      </c>
      <c r="BR8">
        <v>22035.977964000002</v>
      </c>
      <c r="BS8">
        <v>42541.344125000003</v>
      </c>
      <c r="BT8">
        <v>25963.051467000001</v>
      </c>
      <c r="BU8">
        <v>85815.040852000006</v>
      </c>
      <c r="BV8">
        <v>5796.892014</v>
      </c>
      <c r="BW8">
        <v>33312.214271999997</v>
      </c>
      <c r="BX8">
        <v>39109.106286000002</v>
      </c>
      <c r="BY8">
        <v>47999.029431000003</v>
      </c>
      <c r="BZ8">
        <v>167465.491263</v>
      </c>
      <c r="CA8">
        <v>215464.52069400001</v>
      </c>
      <c r="CB8">
        <v>27175.479306000001</v>
      </c>
      <c r="CC8">
        <v>36</v>
      </c>
      <c r="CD8">
        <v>66108</v>
      </c>
      <c r="CE8">
        <v>127624.16</v>
      </c>
      <c r="CF8">
        <v>39731</v>
      </c>
      <c r="CG8">
        <v>12341</v>
      </c>
      <c r="CH8">
        <v>257445.38</v>
      </c>
      <c r="CI8">
        <v>2639292</v>
      </c>
      <c r="CJ8">
        <v>499926</v>
      </c>
    </row>
    <row r="9" spans="2:88" x14ac:dyDescent="0.45">
      <c r="B9" s="39" t="s">
        <v>117</v>
      </c>
      <c r="C9" s="40" t="s">
        <v>69</v>
      </c>
      <c r="BF9" t="s">
        <v>122</v>
      </c>
      <c r="BG9" t="s">
        <v>123</v>
      </c>
      <c r="BH9" t="s">
        <v>124</v>
      </c>
      <c r="BI9" t="s">
        <v>125</v>
      </c>
      <c r="BJ9" t="s">
        <v>134</v>
      </c>
      <c r="BK9" t="s">
        <v>127</v>
      </c>
      <c r="BL9" t="s">
        <v>128</v>
      </c>
      <c r="BM9" t="s">
        <v>131</v>
      </c>
      <c r="BN9" t="s">
        <v>130</v>
      </c>
      <c r="BO9">
        <v>35</v>
      </c>
      <c r="BP9">
        <v>2</v>
      </c>
      <c r="BQ9">
        <v>232750</v>
      </c>
      <c r="BR9">
        <v>22035.977964000002</v>
      </c>
      <c r="BS9">
        <v>42541.344125000003</v>
      </c>
      <c r="BT9">
        <v>13243.653423</v>
      </c>
      <c r="BU9">
        <v>85815.040852000006</v>
      </c>
      <c r="BV9">
        <v>5796.892014</v>
      </c>
      <c r="BW9">
        <v>33312.214271999997</v>
      </c>
      <c r="BX9">
        <v>39109.106286000002</v>
      </c>
      <c r="BY9">
        <v>35279.631387000001</v>
      </c>
      <c r="BZ9">
        <v>167465.491263</v>
      </c>
      <c r="CA9">
        <v>202745.12265</v>
      </c>
      <c r="CB9">
        <v>30004.877349999999</v>
      </c>
      <c r="CC9">
        <v>0</v>
      </c>
      <c r="CD9">
        <v>66108</v>
      </c>
      <c r="CE9">
        <v>127624.16</v>
      </c>
      <c r="CF9">
        <v>39731</v>
      </c>
      <c r="CG9">
        <v>12341</v>
      </c>
      <c r="CH9">
        <v>257445.38</v>
      </c>
      <c r="CI9">
        <v>2639292</v>
      </c>
      <c r="CJ9">
        <v>499926</v>
      </c>
    </row>
    <row r="10" spans="2:88" x14ac:dyDescent="0.45">
      <c r="BF10" t="s">
        <v>122</v>
      </c>
      <c r="BG10" t="s">
        <v>123</v>
      </c>
      <c r="BH10" t="s">
        <v>124</v>
      </c>
      <c r="BI10" t="s">
        <v>125</v>
      </c>
      <c r="BJ10" t="s">
        <v>134</v>
      </c>
      <c r="BK10" t="s">
        <v>127</v>
      </c>
      <c r="BL10" t="s">
        <v>128</v>
      </c>
      <c r="BM10" t="s">
        <v>132</v>
      </c>
      <c r="BN10" t="s">
        <v>130</v>
      </c>
      <c r="BO10">
        <v>34</v>
      </c>
      <c r="BP10">
        <v>2</v>
      </c>
      <c r="BQ10">
        <v>226100</v>
      </c>
      <c r="BR10">
        <v>22035.977964000002</v>
      </c>
      <c r="BS10">
        <v>42541.344125000003</v>
      </c>
      <c r="BT10">
        <v>12865.255379</v>
      </c>
      <c r="BU10">
        <v>85815.040852000006</v>
      </c>
      <c r="BV10">
        <v>5796.892014</v>
      </c>
      <c r="BW10">
        <v>33312.214271999997</v>
      </c>
      <c r="BX10">
        <v>39109.106286000002</v>
      </c>
      <c r="BY10">
        <v>34901.233343</v>
      </c>
      <c r="BZ10">
        <v>167465.491263</v>
      </c>
      <c r="CA10">
        <v>202366.724606</v>
      </c>
      <c r="CB10">
        <v>23733.275394</v>
      </c>
      <c r="CC10">
        <v>0</v>
      </c>
      <c r="CD10">
        <v>66108</v>
      </c>
      <c r="CE10">
        <v>127624.16</v>
      </c>
      <c r="CF10">
        <v>39731</v>
      </c>
      <c r="CG10">
        <v>12341</v>
      </c>
      <c r="CH10">
        <v>257445.38</v>
      </c>
      <c r="CI10">
        <v>2639292</v>
      </c>
      <c r="CJ10">
        <v>499926</v>
      </c>
    </row>
    <row r="11" spans="2:88" x14ac:dyDescent="0.45">
      <c r="BF11" t="s">
        <v>122</v>
      </c>
      <c r="BG11" t="s">
        <v>123</v>
      </c>
      <c r="BH11" t="s">
        <v>124</v>
      </c>
      <c r="BI11" t="s">
        <v>125</v>
      </c>
      <c r="BJ11" t="s">
        <v>135</v>
      </c>
      <c r="BK11" t="s">
        <v>0</v>
      </c>
      <c r="BL11" t="s">
        <v>136</v>
      </c>
      <c r="BM11" t="s">
        <v>129</v>
      </c>
      <c r="BN11" t="s">
        <v>137</v>
      </c>
      <c r="BO11">
        <v>44</v>
      </c>
      <c r="BP11">
        <v>2</v>
      </c>
      <c r="BQ11">
        <v>327360</v>
      </c>
      <c r="BR11">
        <v>27545</v>
      </c>
      <c r="BS11">
        <v>64855.364999999998</v>
      </c>
      <c r="BT11">
        <v>27222.119512000001</v>
      </c>
      <c r="BU11">
        <v>120992.632</v>
      </c>
      <c r="BV11">
        <v>8006.119713</v>
      </c>
      <c r="BW11">
        <v>41307.198444000001</v>
      </c>
      <c r="BX11">
        <v>49313.318157000002</v>
      </c>
      <c r="BY11">
        <v>54767.119511999997</v>
      </c>
      <c r="BZ11">
        <v>235161.315157</v>
      </c>
      <c r="CA11">
        <v>289928.43466899998</v>
      </c>
      <c r="CB11">
        <v>37431.565330999998</v>
      </c>
      <c r="CC11">
        <v>44</v>
      </c>
      <c r="CD11">
        <v>110180</v>
      </c>
      <c r="CE11">
        <v>259421.46</v>
      </c>
      <c r="CF11">
        <v>82858</v>
      </c>
      <c r="CG11">
        <v>20843</v>
      </c>
      <c r="CH11">
        <v>604963.16</v>
      </c>
      <c r="CI11">
        <v>2639292</v>
      </c>
      <c r="CJ11">
        <v>499926</v>
      </c>
    </row>
    <row r="12" spans="2:88" x14ac:dyDescent="0.45">
      <c r="B12" s="4" t="s">
        <v>79</v>
      </c>
      <c r="C12" s="40" t="s">
        <v>167</v>
      </c>
      <c r="D12">
        <f>"version "&amp;$P$1&amp;"  ·  "&amp;TEXT(COUNTIF(_CALC_ALLOC!$AS$1:$AS$420,"2027|"&amp;$P$1),"0")&amp;" classes lues sur 60"</f>
      </c>
      <c r="BF12" t="s">
        <v>122</v>
      </c>
      <c r="BG12" t="s">
        <v>123</v>
      </c>
      <c r="BH12" t="s">
        <v>124</v>
      </c>
      <c r="BI12" t="s">
        <v>125</v>
      </c>
      <c r="BJ12" t="s">
        <v>135</v>
      </c>
      <c r="BK12" t="s">
        <v>0</v>
      </c>
      <c r="BL12" t="s">
        <v>136</v>
      </c>
      <c r="BM12" t="s">
        <v>131</v>
      </c>
      <c r="BN12" t="s">
        <v>130</v>
      </c>
      <c r="BO12">
        <v>43</v>
      </c>
      <c r="BP12">
        <v>2</v>
      </c>
      <c r="BQ12">
        <v>294980</v>
      </c>
      <c r="BR12">
        <v>22036</v>
      </c>
      <c r="BS12">
        <v>51884.292000000001</v>
      </c>
      <c r="BT12">
        <v>16418.809848000001</v>
      </c>
      <c r="BU12">
        <v>120992.632</v>
      </c>
      <c r="BV12">
        <v>8006.119713</v>
      </c>
      <c r="BW12">
        <v>41307.198444000001</v>
      </c>
      <c r="BX12">
        <v>49313.318157000002</v>
      </c>
      <c r="BY12">
        <v>38454.809847999997</v>
      </c>
      <c r="BZ12">
        <v>222190.242157</v>
      </c>
      <c r="CA12">
        <v>260645.05200500001</v>
      </c>
      <c r="CB12">
        <v>34334.947995000002</v>
      </c>
      <c r="CC12">
        <v>0</v>
      </c>
      <c r="CD12">
        <v>110180</v>
      </c>
      <c r="CE12">
        <v>259421.46</v>
      </c>
      <c r="CF12">
        <v>82858</v>
      </c>
      <c r="CG12">
        <v>20843</v>
      </c>
      <c r="CH12">
        <v>604963.16</v>
      </c>
      <c r="CI12">
        <v>2639292</v>
      </c>
      <c r="CJ12">
        <v>499926</v>
      </c>
    </row>
    <row r="13" spans="2:88" x14ac:dyDescent="0.45">
      <c r="BF13" t="s">
        <v>122</v>
      </c>
      <c r="BG13" t="s">
        <v>123</v>
      </c>
      <c r="BH13" t="s">
        <v>124</v>
      </c>
      <c r="BI13" t="s">
        <v>125</v>
      </c>
      <c r="BJ13" t="s">
        <v>135</v>
      </c>
      <c r="BK13" t="s">
        <v>0</v>
      </c>
      <c r="BL13" t="s">
        <v>136</v>
      </c>
      <c r="BM13" t="s">
        <v>132</v>
      </c>
      <c r="BN13" t="s">
        <v>130</v>
      </c>
      <c r="BO13">
        <v>42</v>
      </c>
      <c r="BP13">
        <v>2</v>
      </c>
      <c r="BQ13">
        <v>288120</v>
      </c>
      <c r="BR13">
        <v>22036</v>
      </c>
      <c r="BS13">
        <v>51884.292000000001</v>
      </c>
      <c r="BT13">
        <v>16037.000184</v>
      </c>
      <c r="BU13">
        <v>120992.632</v>
      </c>
      <c r="BV13">
        <v>8006.119713</v>
      </c>
      <c r="BW13">
        <v>41307.198444000001</v>
      </c>
      <c r="BX13">
        <v>49313.318157000002</v>
      </c>
      <c r="BY13">
        <v>38073.000183999997</v>
      </c>
      <c r="BZ13">
        <v>222190.242157</v>
      </c>
      <c r="CA13">
        <v>260263.242341</v>
      </c>
      <c r="CB13">
        <v>27856.757658999999</v>
      </c>
      <c r="CC13">
        <v>0</v>
      </c>
      <c r="CD13">
        <v>110180</v>
      </c>
      <c r="CE13">
        <v>259421.46</v>
      </c>
      <c r="CF13">
        <v>82858</v>
      </c>
      <c r="CG13">
        <v>20843</v>
      </c>
      <c r="CH13">
        <v>604963.16</v>
      </c>
      <c r="CI13">
        <v>2639292</v>
      </c>
      <c r="CJ13">
        <v>499926</v>
      </c>
    </row>
    <row r="14" spans="2:88" x14ac:dyDescent="0.45">
      <c r="B14" s="16" t="s">
        <v>27</v>
      </c>
      <c r="BF14" t="s">
        <v>122</v>
      </c>
      <c r="BG14" t="s">
        <v>123</v>
      </c>
      <c r="BH14" t="s">
        <v>124</v>
      </c>
      <c r="BI14" t="s">
        <v>125</v>
      </c>
      <c r="BJ14" t="s">
        <v>135</v>
      </c>
      <c r="BK14" t="s">
        <v>0</v>
      </c>
      <c r="BL14" t="s">
        <v>138</v>
      </c>
      <c r="BM14" t="s">
        <v>139</v>
      </c>
      <c r="BN14" t="s">
        <v>130</v>
      </c>
      <c r="BO14">
        <v>44</v>
      </c>
      <c r="BP14">
        <v>2</v>
      </c>
      <c r="BQ14">
        <v>327360</v>
      </c>
      <c r="BR14">
        <v>19281.5</v>
      </c>
      <c r="BS14">
        <v>45398.755499999999</v>
      </c>
      <c r="BT14">
        <v>27222.119512000001</v>
      </c>
      <c r="BU14">
        <v>120992.632</v>
      </c>
      <c r="BV14">
        <v>8006.119713</v>
      </c>
      <c r="BW14">
        <v>41307.198444000001</v>
      </c>
      <c r="BX14">
        <v>49313.318157000002</v>
      </c>
      <c r="BY14">
        <v>46503.619511999997</v>
      </c>
      <c r="BZ14">
        <v>215704.70565700001</v>
      </c>
      <c r="CA14">
        <v>262208.32516900002</v>
      </c>
      <c r="CB14">
        <v>65151.674830999997</v>
      </c>
      <c r="CC14">
        <v>44</v>
      </c>
      <c r="CD14">
        <v>110180</v>
      </c>
      <c r="CE14">
        <v>259421.46</v>
      </c>
      <c r="CF14">
        <v>82858</v>
      </c>
      <c r="CG14">
        <v>20843</v>
      </c>
      <c r="CH14">
        <v>604963.16</v>
      </c>
      <c r="CI14">
        <v>2639292</v>
      </c>
      <c r="CJ14">
        <v>499926</v>
      </c>
    </row>
    <row r="15" spans="2:88" ht="7.05" customHeight="1" x14ac:dyDescent="0.45">
      <c r="BF15" t="s">
        <v>122</v>
      </c>
      <c r="BG15" t="s">
        <v>123</v>
      </c>
      <c r="BH15" t="s">
        <v>124</v>
      </c>
      <c r="BI15" t="s">
        <v>125</v>
      </c>
      <c r="BJ15" t="s">
        <v>135</v>
      </c>
      <c r="BK15" t="s">
        <v>0</v>
      </c>
      <c r="BL15" t="s">
        <v>138</v>
      </c>
      <c r="BM15" t="s">
        <v>140</v>
      </c>
      <c r="BN15" t="s">
        <v>130</v>
      </c>
      <c r="BO15">
        <v>44</v>
      </c>
      <c r="BP15">
        <v>2</v>
      </c>
      <c r="BQ15">
        <v>323400</v>
      </c>
      <c r="BR15">
        <v>19281.5</v>
      </c>
      <c r="BS15">
        <v>45398.755499999999</v>
      </c>
      <c r="BT15">
        <v>16800.619512000001</v>
      </c>
      <c r="BU15">
        <v>120992.632</v>
      </c>
      <c r="BV15">
        <v>8006.119713</v>
      </c>
      <c r="BW15">
        <v>41307.198444000001</v>
      </c>
      <c r="BX15">
        <v>49313.318157000002</v>
      </c>
      <c r="BY15">
        <v>36082.119511999997</v>
      </c>
      <c r="BZ15">
        <v>215704.70565700001</v>
      </c>
      <c r="CA15">
        <v>251786.82516899999</v>
      </c>
      <c r="CB15">
        <v>71613.174830999997</v>
      </c>
      <c r="CC15">
        <v>0</v>
      </c>
      <c r="CD15">
        <v>110180</v>
      </c>
      <c r="CE15">
        <v>259421.46</v>
      </c>
      <c r="CF15">
        <v>82858</v>
      </c>
      <c r="CG15">
        <v>20843</v>
      </c>
      <c r="CH15">
        <v>604963.16</v>
      </c>
      <c r="CI15">
        <v>2639292</v>
      </c>
      <c r="CJ15">
        <v>499926</v>
      </c>
    </row>
    <row r="16" spans="2:88" ht="7.05" customHeight="1" x14ac:dyDescent="0.45">
      <c r="BF16" t="s">
        <v>122</v>
      </c>
      <c r="BG16" t="s">
        <v>123</v>
      </c>
      <c r="BH16" t="s">
        <v>124</v>
      </c>
      <c r="BI16" t="s">
        <v>125</v>
      </c>
      <c r="BJ16" t="s">
        <v>141</v>
      </c>
      <c r="BK16" t="s">
        <v>0</v>
      </c>
      <c r="BL16" t="s">
        <v>136</v>
      </c>
      <c r="BM16" t="s">
        <v>129</v>
      </c>
      <c r="BN16" t="s">
        <v>137</v>
      </c>
      <c r="BO16">
        <v>64</v>
      </c>
      <c r="BP16">
        <v>3</v>
      </c>
      <c r="BQ16">
        <v>543360</v>
      </c>
      <c r="BR16">
        <v>41317.75</v>
      </c>
      <c r="BS16">
        <v>110892.2325</v>
      </c>
      <c r="BT16">
        <v>49625.730051999999</v>
      </c>
      <c r="BU16">
        <v>202318.32399999999</v>
      </c>
      <c r="BV16">
        <v>11584.912544999999</v>
      </c>
      <c r="BW16">
        <v>59771.811886000003</v>
      </c>
      <c r="BX16">
        <v>71356.724430999995</v>
      </c>
      <c r="BY16">
        <v>90943.480051999999</v>
      </c>
      <c r="BZ16">
        <v>384567.28093100002</v>
      </c>
      <c r="CA16">
        <v>475510.76098299999</v>
      </c>
      <c r="CB16">
        <v>67849.239017</v>
      </c>
      <c r="CC16">
        <v>64</v>
      </c>
      <c r="CD16">
        <v>165271</v>
      </c>
      <c r="CE16">
        <v>443568.93</v>
      </c>
      <c r="CF16">
        <v>120212</v>
      </c>
      <c r="CG16">
        <v>50248</v>
      </c>
      <c r="CH16">
        <v>1011591.62</v>
      </c>
      <c r="CI16">
        <v>2639292</v>
      </c>
      <c r="CJ16">
        <v>499926</v>
      </c>
    </row>
    <row r="17" spans="2:88" ht="42" customHeight="1" x14ac:dyDescent="0.45">
      <c r="B17" s="17" t="s">
        <v>28</v>
      </c>
      <c r="C17" s="17" t="s">
        <v>4</v>
      </c>
      <c r="D17" s="17" t="s">
        <v>15</v>
      </c>
      <c r="E17" s="17" t="s">
        <v>29</v>
      </c>
      <c r="F17" s="17" t="s">
        <v>30</v>
      </c>
      <c r="G17" s="17" t="s">
        <v>31</v>
      </c>
      <c r="H17" s="17" t="s">
        <v>32</v>
      </c>
      <c r="I17" s="17" t="s">
        <v>33</v>
      </c>
      <c r="J17" s="17" t="s">
        <v>34</v>
      </c>
      <c r="K17" s="17" t="s">
        <v>35</v>
      </c>
      <c r="L17" s="18" t="s">
        <v>36</v>
      </c>
      <c r="M17" s="18" t="s">
        <v>37</v>
      </c>
      <c r="BF17" t="s">
        <v>122</v>
      </c>
      <c r="BG17" t="s">
        <v>123</v>
      </c>
      <c r="BH17" t="s">
        <v>124</v>
      </c>
      <c r="BI17" t="s">
        <v>125</v>
      </c>
      <c r="BJ17" t="s">
        <v>141</v>
      </c>
      <c r="BK17" t="s">
        <v>0</v>
      </c>
      <c r="BL17" t="s">
        <v>136</v>
      </c>
      <c r="BM17" t="s">
        <v>131</v>
      </c>
      <c r="BN17" t="s">
        <v>130</v>
      </c>
      <c r="BO17">
        <v>62</v>
      </c>
      <c r="BP17">
        <v>3</v>
      </c>
      <c r="BQ17">
        <v>486080</v>
      </c>
      <c r="BR17">
        <v>33054.199999999997</v>
      </c>
      <c r="BS17">
        <v>88713.785999999993</v>
      </c>
      <c r="BT17">
        <v>23736.099824000001</v>
      </c>
      <c r="BU17">
        <v>202318.32399999999</v>
      </c>
      <c r="BV17">
        <v>11584.912544999999</v>
      </c>
      <c r="BW17">
        <v>59771.811886000003</v>
      </c>
      <c r="BX17">
        <v>71356.724430999995</v>
      </c>
      <c r="BY17">
        <v>56790.299824000002</v>
      </c>
      <c r="BZ17">
        <v>362388.834431</v>
      </c>
      <c r="CA17">
        <v>419179.13425499998</v>
      </c>
      <c r="CB17">
        <v>66900.865745000003</v>
      </c>
      <c r="CC17">
        <v>0</v>
      </c>
      <c r="CD17">
        <v>165271</v>
      </c>
      <c r="CE17">
        <v>443568.93</v>
      </c>
      <c r="CF17">
        <v>120212</v>
      </c>
      <c r="CG17">
        <v>50248</v>
      </c>
      <c r="CH17">
        <v>1011591.62</v>
      </c>
      <c r="CI17">
        <v>2639292</v>
      </c>
      <c r="CJ17">
        <v>499926</v>
      </c>
    </row>
    <row r="18" spans="2:88" x14ac:dyDescent="0.45" outlineLevel="0">
      <c r="B18" s="19" t="s">
        <v>86</v>
      </c>
      <c r="C18" s="20">
        <f>SUMIFS(_CALC_ALLOC!$G$1:$G$420,_CALC_ALLOC!$AS$1:$AS$420,"2027|"&amp;$P$1,_CALC_ALLOC!$C$1:$C$420,$V18)</f>
        <v>0</v>
      </c>
      <c r="D18" s="21">
        <f>SUMIFS(_CALC_ALLOC!$I$1:$I$420,_CALC_ALLOC!$AS$1:$AS$420,"2027|"&amp;$P$1,_CALC_ALLOC!$C$1:$C$420,$V18)</f>
        <v>0</v>
      </c>
      <c r="E18" s="21">
        <f>SUMIFS(_CALC_ALLOC!$AI$1:$AI$420,_CALC_ALLOC!$AS$1:$AS$420,"2027|"&amp;$P$1,_CALC_ALLOC!$C$1:$C$420,$V18)</f>
        <v>0</v>
      </c>
      <c r="F18" s="21">
        <f>SUMIFS(_CALC_ALLOC!$AJ$1:$AJ$420,_CALC_ALLOC!$AS$1:$AS$420,"2027|"&amp;$P$1,_CALC_ALLOC!$C$1:$C$420,$V18)</f>
        <v>0</v>
      </c>
      <c r="G18" s="21">
        <f>SUMIFS(_CALC_ALLOC!$AK$1:$AK$420,_CALC_ALLOC!$AS$1:$AS$420,"2027|"&amp;$P$1,_CALC_ALLOC!$C$1:$C$420,$V18)</f>
        <v>0</v>
      </c>
      <c r="H18" s="21">
        <f>SUMIFS(_CALC_ALLOC!$AL$1:$AL$420,_CALC_ALLOC!$AS$1:$AS$420,"2027|"&amp;$P$1,_CALC_ALLOC!$C$1:$C$420,$V18)</f>
        <v>0</v>
      </c>
      <c r="I18" s="21">
        <f>SUMIFS(_CALC_ALLOC!$AR$1:$AR$420,_CALC_ALLOC!$AS$1:$AS$420,"2027|"&amp;$P$1,_CALC_ALLOC!$C$1:$C$420,$V18)</f>
        <v>0</v>
      </c>
      <c r="J18" s="21">
        <f>SUMIFS(_CALC_ALLOC!$AM$1:$AM$420,_CALC_ALLOC!$AS$1:$AS$420,"2027|"&amp;$P$1,_CALC_ALLOC!$C$1:$C$420,$V18)</f>
        <v>0</v>
      </c>
      <c r="K18" s="21">
        <f t="shared" ref="K18:K81" si="0">E18+F18+G18+H18+I18+J18</f>
        <v>0</v>
      </c>
      <c r="L18" s="22">
        <f>SUMIFS(_CALC_ALLOC!$AN$1:$AN$420,_CALC_ALLOC!$AS$1:$AS$420,"2027|"&amp;$P$1,_CALC_ALLOC!$C$1:$C$420,$V18)</f>
        <v>0</v>
      </c>
      <c r="M18" s="23">
        <f t="shared" ref="M18:M81" si="1">IF(D18=0,0,L18/D18)</f>
        <v>0</v>
      </c>
      <c r="T18" t="inlineStr">
        <is>
          <t>MBWAY</t>
        </is>
      </c>
      <c r="V18" t="inlineStr">
        <is>
          <t>MBWAY</t>
        </is>
      </c>
      <c r="Z18">
        <v>1</v>
      </c>
      <c r="BF18" t="s">
        <v>122</v>
      </c>
      <c r="BG18" t="s">
        <v>123</v>
      </c>
      <c r="BH18" t="s">
        <v>124</v>
      </c>
      <c r="BI18" t="s">
        <v>125</v>
      </c>
      <c r="BJ18" t="s">
        <v>141</v>
      </c>
      <c r="BK18" t="s">
        <v>0</v>
      </c>
      <c r="BL18" t="s">
        <v>136</v>
      </c>
      <c r="BM18" t="s">
        <v>132</v>
      </c>
      <c r="BN18" t="s">
        <v>130</v>
      </c>
      <c r="BO18">
        <v>61</v>
      </c>
      <c r="BP18">
        <v>3</v>
      </c>
      <c r="BQ18">
        <v>478240</v>
      </c>
      <c r="BR18">
        <v>33054.199999999997</v>
      </c>
      <c r="BS18">
        <v>88713.785999999993</v>
      </c>
      <c r="BT18">
        <v>23353.224603999999</v>
      </c>
      <c r="BU18">
        <v>202318.32399999999</v>
      </c>
      <c r="BV18">
        <v>11584.912544999999</v>
      </c>
      <c r="BW18">
        <v>59771.811886000003</v>
      </c>
      <c r="BX18">
        <v>71356.724430999995</v>
      </c>
      <c r="BY18">
        <v>56407.424604</v>
      </c>
      <c r="BZ18">
        <v>362388.834431</v>
      </c>
      <c r="CA18">
        <v>418796.259035</v>
      </c>
      <c r="CB18">
        <v>59443.740964999997</v>
      </c>
      <c r="CC18">
        <v>0</v>
      </c>
      <c r="CD18">
        <v>165271</v>
      </c>
      <c r="CE18">
        <v>443568.93</v>
      </c>
      <c r="CF18">
        <v>120212</v>
      </c>
      <c r="CG18">
        <v>50248</v>
      </c>
      <c r="CH18">
        <v>1011591.62</v>
      </c>
      <c r="CI18">
        <v>2639292</v>
      </c>
      <c r="CJ18">
        <v>499926</v>
      </c>
    </row>
    <row r="19" spans="2:88" collapsed="1" x14ac:dyDescent="0.45" outlineLevel="1">
      <c r="B19" s="24" t="s">
        <v>87</v>
      </c>
      <c r="C19" s="25">
        <f>SUMIFS(_CALC_ALLOC!$G$1:$G$420,_CALC_ALLOC!$AS$1:$AS$420,"2027|"&amp;$P$1,_CALC_ALLOC!$B$1:$B$420,$U19)</f>
        <v>0</v>
      </c>
      <c r="D19" s="26">
        <f>SUMIFS(_CALC_ALLOC!$I$1:$I$420,_CALC_ALLOC!$AS$1:$AS$420,"2027|"&amp;$P$1,_CALC_ALLOC!$B$1:$B$420,$U19)</f>
        <v>0</v>
      </c>
      <c r="E19" s="26">
        <f>SUMIFS(_CALC_ALLOC!$AI$1:$AI$420,_CALC_ALLOC!$AS$1:$AS$420,"2027|"&amp;$P$1,_CALC_ALLOC!$B$1:$B$420,$U19)</f>
        <v>0</v>
      </c>
      <c r="F19" s="26">
        <f>SUMIFS(_CALC_ALLOC!$AJ$1:$AJ$420,_CALC_ALLOC!$AS$1:$AS$420,"2027|"&amp;$P$1,_CALC_ALLOC!$B$1:$B$420,$U19)</f>
        <v>0</v>
      </c>
      <c r="G19" s="26">
        <f>SUMIFS(_CALC_ALLOC!$AK$1:$AK$420,_CALC_ALLOC!$AS$1:$AS$420,"2027|"&amp;$P$1,_CALC_ALLOC!$B$1:$B$420,$U19)</f>
        <v>0</v>
      </c>
      <c r="H19" s="26">
        <f>SUMIFS(_CALC_ALLOC!$AL$1:$AL$420,_CALC_ALLOC!$AS$1:$AS$420,"2027|"&amp;$P$1,_CALC_ALLOC!$B$1:$B$420,$U19)</f>
        <v>0</v>
      </c>
      <c r="I19" s="26">
        <f>SUMIFS(_CALC_ALLOC!$AR$1:$AR$420,_CALC_ALLOC!$AS$1:$AS$420,"2027|"&amp;$P$1,_CALC_ALLOC!$B$1:$B$420,$U19)</f>
        <v>0</v>
      </c>
      <c r="J19" s="26">
        <f>SUMIFS(_CALC_ALLOC!$AM$1:$AM$420,_CALC_ALLOC!$AS$1:$AS$420,"2027|"&amp;$P$1,_CALC_ALLOC!$B$1:$B$420,$U19)</f>
        <v>0</v>
      </c>
      <c r="K19" s="26">
        <f t="shared" si="0"/>
        <v>0</v>
      </c>
      <c r="L19" s="27">
        <f>SUMIFS(_CALC_ALLOC!$AN$1:$AN$420,_CALC_ALLOC!$AS$1:$AS$420,"2027|"&amp;$P$1,_CALC_ALLOC!$B$1:$B$420,$U19)</f>
        <v>0</v>
      </c>
      <c r="M19" s="28">
        <f t="shared" si="1"/>
        <v>0</v>
      </c>
      <c r="T19" t="inlineStr">
        <is>
          <t>MBWAY_PAR</t>
        </is>
      </c>
      <c r="U19" t="inlineStr">
        <is>
          <t>MBWAY_PAR</t>
        </is>
      </c>
      <c r="V19" t="inlineStr">
        <is>
          <t>MBWAY</t>
        </is>
      </c>
      <c r="Z19">
        <v>2</v>
      </c>
      <c r="BF19" t="s">
        <v>122</v>
      </c>
      <c r="BG19" t="s">
        <v>123</v>
      </c>
      <c r="BH19" t="s">
        <v>124</v>
      </c>
      <c r="BI19" t="s">
        <v>125</v>
      </c>
      <c r="BJ19" t="s">
        <v>141</v>
      </c>
      <c r="BK19" t="s">
        <v>0</v>
      </c>
      <c r="BL19" t="s">
        <v>138</v>
      </c>
      <c r="BM19" t="s">
        <v>139</v>
      </c>
      <c r="BN19" t="s">
        <v>130</v>
      </c>
      <c r="BO19">
        <v>64</v>
      </c>
      <c r="BP19">
        <v>3</v>
      </c>
      <c r="BQ19">
        <v>543360</v>
      </c>
      <c r="BR19">
        <v>28922.424999999999</v>
      </c>
      <c r="BS19">
        <v>77624.562749999997</v>
      </c>
      <c r="BT19">
        <v>49625.730051999999</v>
      </c>
      <c r="BU19">
        <v>202318.32399999999</v>
      </c>
      <c r="BV19">
        <v>11584.912544999999</v>
      </c>
      <c r="BW19">
        <v>59771.811886000003</v>
      </c>
      <c r="BX19">
        <v>71356.724430999995</v>
      </c>
      <c r="BY19">
        <v>78548.155052000002</v>
      </c>
      <c r="BZ19">
        <v>351299.61118100001</v>
      </c>
      <c r="CA19">
        <v>429847.76623299997</v>
      </c>
      <c r="CB19">
        <v>113512.233767</v>
      </c>
      <c r="CC19">
        <v>64</v>
      </c>
      <c r="CD19">
        <v>165271</v>
      </c>
      <c r="CE19">
        <v>443568.93</v>
      </c>
      <c r="CF19">
        <v>120212</v>
      </c>
      <c r="CG19">
        <v>50248</v>
      </c>
      <c r="CH19">
        <v>1011591.62</v>
      </c>
      <c r="CI19">
        <v>2639292</v>
      </c>
      <c r="CJ19">
        <v>499926</v>
      </c>
    </row>
    <row r="20" spans="2:88" x14ac:dyDescent="0.45" outlineLevel="2" hidden="1">
      <c r="B20" s="29" t="s">
        <v>88</v>
      </c>
      <c r="C20" s="30">
        <f>SUMIFS(_CALC_ALLOC!$G$1:$G$420,_CALC_ALLOC!$AS$1:$AS$420,"2027|"&amp;$P$1,_CALC_ALLOC!$B$1:$B$420,$U20,_CALC_ALLOC!$D$1:$D$420,$W20,_CALC_ALLOC!$E$1:$E$420,$X20,_CALC_ALLOC!$F$1:$F$420,$Y20)</f>
        <v>0</v>
      </c>
      <c r="D20" s="31">
        <f>SUMIFS(_CALC_ALLOC!$I$1:$I$420,_CALC_ALLOC!$AS$1:$AS$420,"2027|"&amp;$P$1,_CALC_ALLOC!$B$1:$B$420,$U20,_CALC_ALLOC!$D$1:$D$420,$W20,_CALC_ALLOC!$E$1:$E$420,$X20,_CALC_ALLOC!$F$1:$F$420,$Y20)</f>
        <v>0</v>
      </c>
      <c r="E20" s="31">
        <f>SUMIFS(_CALC_ALLOC!$AI$1:$AI$420,_CALC_ALLOC!$AS$1:$AS$420,"2027|"&amp;$P$1,_CALC_ALLOC!$B$1:$B$420,$U20,_CALC_ALLOC!$D$1:$D$420,$W20,_CALC_ALLOC!$E$1:$E$420,$X20,_CALC_ALLOC!$F$1:$F$420,$Y20)</f>
        <v>0</v>
      </c>
      <c r="F20" s="31">
        <f>SUMIFS(_CALC_ALLOC!$AJ$1:$AJ$420,_CALC_ALLOC!$AS$1:$AS$420,"2027|"&amp;$P$1,_CALC_ALLOC!$B$1:$B$420,$U20,_CALC_ALLOC!$D$1:$D$420,$W20,_CALC_ALLOC!$E$1:$E$420,$X20,_CALC_ALLOC!$F$1:$F$420,$Y20)</f>
        <v>0</v>
      </c>
      <c r="G20" s="31">
        <f>SUMIFS(_CALC_ALLOC!$AK$1:$AK$420,_CALC_ALLOC!$AS$1:$AS$420,"2027|"&amp;$P$1,_CALC_ALLOC!$B$1:$B$420,$U20,_CALC_ALLOC!$D$1:$D$420,$W20,_CALC_ALLOC!$E$1:$E$420,$X20,_CALC_ALLOC!$F$1:$F$420,$Y20)</f>
        <v>0</v>
      </c>
      <c r="H20" s="31">
        <f>SUMIFS(_CALC_ALLOC!$AL$1:$AL$420,_CALC_ALLOC!$AS$1:$AS$420,"2027|"&amp;$P$1,_CALC_ALLOC!$B$1:$B$420,$U20,_CALC_ALLOC!$D$1:$D$420,$W20,_CALC_ALLOC!$E$1:$E$420,$X20,_CALC_ALLOC!$F$1:$F$420,$Y20)</f>
        <v>0</v>
      </c>
      <c r="I20" s="31">
        <f>SUMIFS(_CALC_ALLOC!$AR$1:$AR$420,_CALC_ALLOC!$AS$1:$AS$420,"2027|"&amp;$P$1,_CALC_ALLOC!$B$1:$B$420,$U20,_CALC_ALLOC!$D$1:$D$420,$W20,_CALC_ALLOC!$E$1:$E$420,$X20,_CALC_ALLOC!$F$1:$F$420,$Y20)</f>
        <v>0</v>
      </c>
      <c r="J20" s="31">
        <f>SUMIFS(_CALC_ALLOC!$AM$1:$AM$420,_CALC_ALLOC!$AS$1:$AS$420,"2027|"&amp;$P$1,_CALC_ALLOC!$B$1:$B$420,$U20,_CALC_ALLOC!$D$1:$D$420,$W20,_CALC_ALLOC!$E$1:$E$420,$X20,_CALC_ALLOC!$F$1:$F$420,$Y20)</f>
        <v>0</v>
      </c>
      <c r="K20" s="32">
        <f t="shared" si="0"/>
        <v>0</v>
      </c>
      <c r="L20" s="33">
        <f>SUMIFS(_CALC_ALLOC!$AN$1:$AN$420,_CALC_ALLOC!$AS$1:$AS$420,"2027|"&amp;$P$1,_CALC_ALLOC!$B$1:$B$420,$U20,_CALC_ALLOC!$D$1:$D$420,$W20,_CALC_ALLOC!$E$1:$E$420,$X20,_CALC_ALLOC!$F$1:$F$420,$Y20)</f>
        <v>0</v>
      </c>
      <c r="M20" s="34">
        <f t="shared" si="1"/>
        <v>0</v>
      </c>
      <c r="T20" t="inlineStr">
        <is>
          <t>MBWAY_PAR|BAC_MGT|B1|INIT</t>
        </is>
      </c>
      <c r="U20" t="inlineStr">
        <is>
          <t>MBWAY_PAR</t>
        </is>
      </c>
      <c r="V20" t="inlineStr">
        <is>
          <t>MBWAY</t>
        </is>
      </c>
      <c r="W20" t="inlineStr">
        <is>
          <t>BAC_MGT</t>
        </is>
      </c>
      <c r="X20" t="inlineStr">
        <is>
          <t>B1</t>
        </is>
      </c>
      <c r="Y20" t="inlineStr">
        <is>
          <t>INIT</t>
        </is>
      </c>
      <c r="Z20">
        <v>3</v>
      </c>
      <c r="BF20" t="s">
        <v>122</v>
      </c>
      <c r="BG20" t="s">
        <v>123</v>
      </c>
      <c r="BH20" t="s">
        <v>124</v>
      </c>
      <c r="BI20" t="s">
        <v>125</v>
      </c>
      <c r="BJ20" t="s">
        <v>141</v>
      </c>
      <c r="BK20" t="s">
        <v>0</v>
      </c>
      <c r="BL20" t="s">
        <v>138</v>
      </c>
      <c r="BM20" t="s">
        <v>140</v>
      </c>
      <c r="BN20" t="s">
        <v>130</v>
      </c>
      <c r="BO20">
        <v>63</v>
      </c>
      <c r="BP20">
        <v>3</v>
      </c>
      <c r="BQ20">
        <v>529200</v>
      </c>
      <c r="BR20">
        <v>28922.424999999999</v>
      </c>
      <c r="BS20">
        <v>77624.562749999997</v>
      </c>
      <c r="BT20">
        <v>24118.854832000001</v>
      </c>
      <c r="BU20">
        <v>202318.32399999999</v>
      </c>
      <c r="BV20">
        <v>11584.912544999999</v>
      </c>
      <c r="BW20">
        <v>59771.811886000003</v>
      </c>
      <c r="BX20">
        <v>71356.724430999995</v>
      </c>
      <c r="BY20">
        <v>53041.279832</v>
      </c>
      <c r="BZ20">
        <v>351299.61118100001</v>
      </c>
      <c r="CA20">
        <v>404340.89101299999</v>
      </c>
      <c r="CB20">
        <v>124859.108987</v>
      </c>
      <c r="CC20">
        <v>0</v>
      </c>
      <c r="CD20">
        <v>165271</v>
      </c>
      <c r="CE20">
        <v>443568.93</v>
      </c>
      <c r="CF20">
        <v>120212</v>
      </c>
      <c r="CG20">
        <v>50248</v>
      </c>
      <c r="CH20">
        <v>1011591.62</v>
      </c>
      <c r="CI20">
        <v>2639292</v>
      </c>
      <c r="CJ20">
        <v>499926</v>
      </c>
    </row>
    <row r="21" spans="2:88" x14ac:dyDescent="0.45" outlineLevel="2" hidden="1">
      <c r="B21" s="29" t="s">
        <v>89</v>
      </c>
      <c r="C21" s="30">
        <f>SUMIFS(_CALC_ALLOC!$G$1:$G$420,_CALC_ALLOC!$AS$1:$AS$420,"2027|"&amp;$P$1,_CALC_ALLOC!$B$1:$B$420,$U21,_CALC_ALLOC!$D$1:$D$420,$W21,_CALC_ALLOC!$E$1:$E$420,$X21,_CALC_ALLOC!$F$1:$F$420,$Y21)</f>
        <v>0</v>
      </c>
      <c r="D21" s="31">
        <f>SUMIFS(_CALC_ALLOC!$I$1:$I$420,_CALC_ALLOC!$AS$1:$AS$420,"2027|"&amp;$P$1,_CALC_ALLOC!$B$1:$B$420,$U21,_CALC_ALLOC!$D$1:$D$420,$W21,_CALC_ALLOC!$E$1:$E$420,$X21,_CALC_ALLOC!$F$1:$F$420,$Y21)</f>
        <v>0</v>
      </c>
      <c r="E21" s="31">
        <f>SUMIFS(_CALC_ALLOC!$AI$1:$AI$420,_CALC_ALLOC!$AS$1:$AS$420,"2027|"&amp;$P$1,_CALC_ALLOC!$B$1:$B$420,$U21,_CALC_ALLOC!$D$1:$D$420,$W21,_CALC_ALLOC!$E$1:$E$420,$X21,_CALC_ALLOC!$F$1:$F$420,$Y21)</f>
        <v>0</v>
      </c>
      <c r="F21" s="31">
        <f>SUMIFS(_CALC_ALLOC!$AJ$1:$AJ$420,_CALC_ALLOC!$AS$1:$AS$420,"2027|"&amp;$P$1,_CALC_ALLOC!$B$1:$B$420,$U21,_CALC_ALLOC!$D$1:$D$420,$W21,_CALC_ALLOC!$E$1:$E$420,$X21,_CALC_ALLOC!$F$1:$F$420,$Y21)</f>
        <v>0</v>
      </c>
      <c r="G21" s="31">
        <f>SUMIFS(_CALC_ALLOC!$AK$1:$AK$420,_CALC_ALLOC!$AS$1:$AS$420,"2027|"&amp;$P$1,_CALC_ALLOC!$B$1:$B$420,$U21,_CALC_ALLOC!$D$1:$D$420,$W21,_CALC_ALLOC!$E$1:$E$420,$X21,_CALC_ALLOC!$F$1:$F$420,$Y21)</f>
        <v>0</v>
      </c>
      <c r="H21" s="31">
        <f>SUMIFS(_CALC_ALLOC!$AL$1:$AL$420,_CALC_ALLOC!$AS$1:$AS$420,"2027|"&amp;$P$1,_CALC_ALLOC!$B$1:$B$420,$U21,_CALC_ALLOC!$D$1:$D$420,$W21,_CALC_ALLOC!$E$1:$E$420,$X21,_CALC_ALLOC!$F$1:$F$420,$Y21)</f>
        <v>0</v>
      </c>
      <c r="I21" s="31">
        <f>SUMIFS(_CALC_ALLOC!$AR$1:$AR$420,_CALC_ALLOC!$AS$1:$AS$420,"2027|"&amp;$P$1,_CALC_ALLOC!$B$1:$B$420,$U21,_CALC_ALLOC!$D$1:$D$420,$W21,_CALC_ALLOC!$E$1:$E$420,$X21,_CALC_ALLOC!$F$1:$F$420,$Y21)</f>
        <v>0</v>
      </c>
      <c r="J21" s="31">
        <f>SUMIFS(_CALC_ALLOC!$AM$1:$AM$420,_CALC_ALLOC!$AS$1:$AS$420,"2027|"&amp;$P$1,_CALC_ALLOC!$B$1:$B$420,$U21,_CALC_ALLOC!$D$1:$D$420,$W21,_CALC_ALLOC!$E$1:$E$420,$X21,_CALC_ALLOC!$F$1:$F$420,$Y21)</f>
        <v>0</v>
      </c>
      <c r="K21" s="32">
        <f t="shared" si="0"/>
        <v>0</v>
      </c>
      <c r="L21" s="33">
        <f>SUMIFS(_CALC_ALLOC!$AN$1:$AN$420,_CALC_ALLOC!$AS$1:$AS$420,"2027|"&amp;$P$1,_CALC_ALLOC!$B$1:$B$420,$U21,_CALC_ALLOC!$D$1:$D$420,$W21,_CALC_ALLOC!$E$1:$E$420,$X21,_CALC_ALLOC!$F$1:$F$420,$Y21)</f>
        <v>0</v>
      </c>
      <c r="M21" s="34">
        <f t="shared" si="1"/>
        <v>0</v>
      </c>
      <c r="T21" t="inlineStr">
        <is>
          <t>MBWAY_PAR|BAC_MGT|B2|ALT</t>
        </is>
      </c>
      <c r="U21" t="inlineStr">
        <is>
          <t>MBWAY_PAR</t>
        </is>
      </c>
      <c r="V21" t="inlineStr">
        <is>
          <t>MBWAY</t>
        </is>
      </c>
      <c r="W21" t="inlineStr">
        <is>
          <t>BAC_MGT</t>
        </is>
      </c>
      <c r="X21" t="inlineStr">
        <is>
          <t>B2</t>
        </is>
      </c>
      <c r="Y21" t="inlineStr">
        <is>
          <t>ALT</t>
        </is>
      </c>
      <c r="Z21">
        <v>3</v>
      </c>
      <c r="BF21" t="s">
        <v>122</v>
      </c>
      <c r="BG21" t="s">
        <v>123</v>
      </c>
      <c r="BH21" t="s">
        <v>124</v>
      </c>
      <c r="BI21" t="s">
        <v>125</v>
      </c>
      <c r="BJ21" t="s">
        <v>142</v>
      </c>
      <c r="BK21" t="s">
        <v>0</v>
      </c>
      <c r="BL21" t="s">
        <v>136</v>
      </c>
      <c r="BM21" t="s">
        <v>129</v>
      </c>
      <c r="BN21" t="s">
        <v>137</v>
      </c>
      <c r="BO21">
        <v>42</v>
      </c>
      <c r="BP21">
        <v>2</v>
      </c>
      <c r="BQ21">
        <v>306180</v>
      </c>
      <c r="BR21">
        <v>27545</v>
      </c>
      <c r="BS21">
        <v>61223.45</v>
      </c>
      <c r="BT21">
        <v>25118.694168999999</v>
      </c>
      <c r="BU21">
        <v>110126.314</v>
      </c>
      <c r="BV21">
        <v>7600.2884400000003</v>
      </c>
      <c r="BW21">
        <v>39213.331060999997</v>
      </c>
      <c r="BX21">
        <v>46813.619501000001</v>
      </c>
      <c r="BY21">
        <v>52663.694169000002</v>
      </c>
      <c r="BZ21">
        <v>218163.383501</v>
      </c>
      <c r="CA21">
        <v>270827.07767000003</v>
      </c>
      <c r="CB21">
        <v>35352.922330000001</v>
      </c>
      <c r="CC21">
        <v>42</v>
      </c>
      <c r="CD21">
        <v>110180</v>
      </c>
      <c r="CE21">
        <v>244893.8</v>
      </c>
      <c r="CF21">
        <v>78443</v>
      </c>
      <c r="CG21">
        <v>18251</v>
      </c>
      <c r="CH21">
        <v>550631.56999999995</v>
      </c>
      <c r="CI21">
        <v>2639292</v>
      </c>
      <c r="CJ21">
        <v>499926</v>
      </c>
    </row>
    <row r="22" spans="2:88" x14ac:dyDescent="0.45" outlineLevel="2" hidden="1">
      <c r="B22" s="29" t="s">
        <v>90</v>
      </c>
      <c r="C22" s="30">
        <f>SUMIFS(_CALC_ALLOC!$G$1:$G$420,_CALC_ALLOC!$AS$1:$AS$420,"2027|"&amp;$P$1,_CALC_ALLOC!$B$1:$B$420,$U22,_CALC_ALLOC!$D$1:$D$420,$W22,_CALC_ALLOC!$E$1:$E$420,$X22,_CALC_ALLOC!$F$1:$F$420,$Y22)</f>
        <v>0</v>
      </c>
      <c r="D22" s="31">
        <f>SUMIFS(_CALC_ALLOC!$I$1:$I$420,_CALC_ALLOC!$AS$1:$AS$420,"2027|"&amp;$P$1,_CALC_ALLOC!$B$1:$B$420,$U22,_CALC_ALLOC!$D$1:$D$420,$W22,_CALC_ALLOC!$E$1:$E$420,$X22,_CALC_ALLOC!$F$1:$F$420,$Y22)</f>
        <v>0</v>
      </c>
      <c r="E22" s="31">
        <f>SUMIFS(_CALC_ALLOC!$AI$1:$AI$420,_CALC_ALLOC!$AS$1:$AS$420,"2027|"&amp;$P$1,_CALC_ALLOC!$B$1:$B$420,$U22,_CALC_ALLOC!$D$1:$D$420,$W22,_CALC_ALLOC!$E$1:$E$420,$X22,_CALC_ALLOC!$F$1:$F$420,$Y22)</f>
        <v>0</v>
      </c>
      <c r="F22" s="31">
        <f>SUMIFS(_CALC_ALLOC!$AJ$1:$AJ$420,_CALC_ALLOC!$AS$1:$AS$420,"2027|"&amp;$P$1,_CALC_ALLOC!$B$1:$B$420,$U22,_CALC_ALLOC!$D$1:$D$420,$W22,_CALC_ALLOC!$E$1:$E$420,$X22,_CALC_ALLOC!$F$1:$F$420,$Y22)</f>
        <v>0</v>
      </c>
      <c r="G22" s="31">
        <f>SUMIFS(_CALC_ALLOC!$AK$1:$AK$420,_CALC_ALLOC!$AS$1:$AS$420,"2027|"&amp;$P$1,_CALC_ALLOC!$B$1:$B$420,$U22,_CALC_ALLOC!$D$1:$D$420,$W22,_CALC_ALLOC!$E$1:$E$420,$X22,_CALC_ALLOC!$F$1:$F$420,$Y22)</f>
        <v>0</v>
      </c>
      <c r="H22" s="31">
        <f>SUMIFS(_CALC_ALLOC!$AL$1:$AL$420,_CALC_ALLOC!$AS$1:$AS$420,"2027|"&amp;$P$1,_CALC_ALLOC!$B$1:$B$420,$U22,_CALC_ALLOC!$D$1:$D$420,$W22,_CALC_ALLOC!$E$1:$E$420,$X22,_CALC_ALLOC!$F$1:$F$420,$Y22)</f>
        <v>0</v>
      </c>
      <c r="I22" s="31">
        <f>SUMIFS(_CALC_ALLOC!$AR$1:$AR$420,_CALC_ALLOC!$AS$1:$AS$420,"2027|"&amp;$P$1,_CALC_ALLOC!$B$1:$B$420,$U22,_CALC_ALLOC!$D$1:$D$420,$W22,_CALC_ALLOC!$E$1:$E$420,$X22,_CALC_ALLOC!$F$1:$F$420,$Y22)</f>
        <v>0</v>
      </c>
      <c r="J22" s="31">
        <f>SUMIFS(_CALC_ALLOC!$AM$1:$AM$420,_CALC_ALLOC!$AS$1:$AS$420,"2027|"&amp;$P$1,_CALC_ALLOC!$B$1:$B$420,$U22,_CALC_ALLOC!$D$1:$D$420,$W22,_CALC_ALLOC!$E$1:$E$420,$X22,_CALC_ALLOC!$F$1:$F$420,$Y22)</f>
        <v>0</v>
      </c>
      <c r="K22" s="32">
        <f t="shared" si="0"/>
        <v>0</v>
      </c>
      <c r="L22" s="33">
        <f>SUMIFS(_CALC_ALLOC!$AN$1:$AN$420,_CALC_ALLOC!$AS$1:$AS$420,"2027|"&amp;$P$1,_CALC_ALLOC!$B$1:$B$420,$U22,_CALC_ALLOC!$D$1:$D$420,$W22,_CALC_ALLOC!$E$1:$E$420,$X22,_CALC_ALLOC!$F$1:$F$420,$Y22)</f>
        <v>0</v>
      </c>
      <c r="M22" s="34">
        <f t="shared" si="1"/>
        <v>0</v>
      </c>
      <c r="T22" t="inlineStr">
        <is>
          <t>MBWAY_PAR|BAC_MGT|B3|ALT</t>
        </is>
      </c>
      <c r="U22" t="inlineStr">
        <is>
          <t>MBWAY_PAR</t>
        </is>
      </c>
      <c r="V22" t="inlineStr">
        <is>
          <t>MBWAY</t>
        </is>
      </c>
      <c r="W22" t="inlineStr">
        <is>
          <t>BAC_MGT</t>
        </is>
      </c>
      <c r="X22" t="inlineStr">
        <is>
          <t>B3</t>
        </is>
      </c>
      <c r="Y22" t="inlineStr">
        <is>
          <t>ALT</t>
        </is>
      </c>
      <c r="Z22">
        <v>3</v>
      </c>
      <c r="BF22" t="s">
        <v>122</v>
      </c>
      <c r="BG22" t="s">
        <v>123</v>
      </c>
      <c r="BH22" t="s">
        <v>124</v>
      </c>
      <c r="BI22" t="s">
        <v>125</v>
      </c>
      <c r="BJ22" t="s">
        <v>142</v>
      </c>
      <c r="BK22" t="s">
        <v>0</v>
      </c>
      <c r="BL22" t="s">
        <v>136</v>
      </c>
      <c r="BM22" t="s">
        <v>131</v>
      </c>
      <c r="BN22" t="s">
        <v>130</v>
      </c>
      <c r="BO22">
        <v>41</v>
      </c>
      <c r="BP22">
        <v>2</v>
      </c>
      <c r="BQ22">
        <v>275520</v>
      </c>
      <c r="BR22">
        <v>22036</v>
      </c>
      <c r="BS22">
        <v>48978.76</v>
      </c>
      <c r="BT22">
        <v>15612.431847</v>
      </c>
      <c r="BU22">
        <v>110126.314</v>
      </c>
      <c r="BV22">
        <v>7600.2884400000003</v>
      </c>
      <c r="BW22">
        <v>39213.331060999997</v>
      </c>
      <c r="BX22">
        <v>46813.619501000001</v>
      </c>
      <c r="BY22">
        <v>37648.431847</v>
      </c>
      <c r="BZ22">
        <v>205918.693501</v>
      </c>
      <c r="CA22">
        <v>243567.125348</v>
      </c>
      <c r="CB22">
        <v>31952.874651999999</v>
      </c>
      <c r="CC22">
        <v>0</v>
      </c>
      <c r="CD22">
        <v>110180</v>
      </c>
      <c r="CE22">
        <v>244893.8</v>
      </c>
      <c r="CF22">
        <v>78443</v>
      </c>
      <c r="CG22">
        <v>18251</v>
      </c>
      <c r="CH22">
        <v>550631.56999999995</v>
      </c>
      <c r="CI22">
        <v>2639292</v>
      </c>
      <c r="CJ22">
        <v>499926</v>
      </c>
    </row>
    <row r="23" spans="2:88" x14ac:dyDescent="0.45" outlineLevel="2" hidden="1">
      <c r="B23" s="29" t="s">
        <v>91</v>
      </c>
      <c r="C23" s="30">
        <f>SUMIFS(_CALC_ALLOC!$G$1:$G$420,_CALC_ALLOC!$AS$1:$AS$420,"2027|"&amp;$P$1,_CALC_ALLOC!$B$1:$B$420,$U23,_CALC_ALLOC!$D$1:$D$420,$W23,_CALC_ALLOC!$E$1:$E$420,$X23,_CALC_ALLOC!$F$1:$F$420,$Y23)</f>
        <v>0</v>
      </c>
      <c r="D23" s="31">
        <f>SUMIFS(_CALC_ALLOC!$I$1:$I$420,_CALC_ALLOC!$AS$1:$AS$420,"2027|"&amp;$P$1,_CALC_ALLOC!$B$1:$B$420,$U23,_CALC_ALLOC!$D$1:$D$420,$W23,_CALC_ALLOC!$E$1:$E$420,$X23,_CALC_ALLOC!$F$1:$F$420,$Y23)</f>
        <v>0</v>
      </c>
      <c r="E23" s="31">
        <f>SUMIFS(_CALC_ALLOC!$AI$1:$AI$420,_CALC_ALLOC!$AS$1:$AS$420,"2027|"&amp;$P$1,_CALC_ALLOC!$B$1:$B$420,$U23,_CALC_ALLOC!$D$1:$D$420,$W23,_CALC_ALLOC!$E$1:$E$420,$X23,_CALC_ALLOC!$F$1:$F$420,$Y23)</f>
        <v>0</v>
      </c>
      <c r="F23" s="31">
        <f>SUMIFS(_CALC_ALLOC!$AJ$1:$AJ$420,_CALC_ALLOC!$AS$1:$AS$420,"2027|"&amp;$P$1,_CALC_ALLOC!$B$1:$B$420,$U23,_CALC_ALLOC!$D$1:$D$420,$W23,_CALC_ALLOC!$E$1:$E$420,$X23,_CALC_ALLOC!$F$1:$F$420,$Y23)</f>
        <v>0</v>
      </c>
      <c r="G23" s="31">
        <f>SUMIFS(_CALC_ALLOC!$AK$1:$AK$420,_CALC_ALLOC!$AS$1:$AS$420,"2027|"&amp;$P$1,_CALC_ALLOC!$B$1:$B$420,$U23,_CALC_ALLOC!$D$1:$D$420,$W23,_CALC_ALLOC!$E$1:$E$420,$X23,_CALC_ALLOC!$F$1:$F$420,$Y23)</f>
        <v>0</v>
      </c>
      <c r="H23" s="31">
        <f>SUMIFS(_CALC_ALLOC!$AL$1:$AL$420,_CALC_ALLOC!$AS$1:$AS$420,"2027|"&amp;$P$1,_CALC_ALLOC!$B$1:$B$420,$U23,_CALC_ALLOC!$D$1:$D$420,$W23,_CALC_ALLOC!$E$1:$E$420,$X23,_CALC_ALLOC!$F$1:$F$420,$Y23)</f>
        <v>0</v>
      </c>
      <c r="I23" s="31">
        <f>SUMIFS(_CALC_ALLOC!$AR$1:$AR$420,_CALC_ALLOC!$AS$1:$AS$420,"2027|"&amp;$P$1,_CALC_ALLOC!$B$1:$B$420,$U23,_CALC_ALLOC!$D$1:$D$420,$W23,_CALC_ALLOC!$E$1:$E$420,$X23,_CALC_ALLOC!$F$1:$F$420,$Y23)</f>
        <v>0</v>
      </c>
      <c r="J23" s="31">
        <f>SUMIFS(_CALC_ALLOC!$AM$1:$AM$420,_CALC_ALLOC!$AS$1:$AS$420,"2027|"&amp;$P$1,_CALC_ALLOC!$B$1:$B$420,$U23,_CALC_ALLOC!$D$1:$D$420,$W23,_CALC_ALLOC!$E$1:$E$420,$X23,_CALC_ALLOC!$F$1:$F$420,$Y23)</f>
        <v>0</v>
      </c>
      <c r="K23" s="32">
        <f t="shared" si="0"/>
        <v>0</v>
      </c>
      <c r="L23" s="33">
        <f>SUMIFS(_CALC_ALLOC!$AN$1:$AN$420,_CALC_ALLOC!$AS$1:$AS$420,"2027|"&amp;$P$1,_CALC_ALLOC!$B$1:$B$420,$U23,_CALC_ALLOC!$D$1:$D$420,$W23,_CALC_ALLOC!$E$1:$E$420,$X23,_CALC_ALLOC!$F$1:$F$420,$Y23)</f>
        <v>0</v>
      </c>
      <c r="M23" s="34">
        <f t="shared" si="1"/>
        <v>0</v>
      </c>
      <c r="T23" t="inlineStr">
        <is>
          <t>MBWAY_PAR|MAS_MGT|M1|ALT</t>
        </is>
      </c>
      <c r="U23" t="inlineStr">
        <is>
          <t>MBWAY_PAR</t>
        </is>
      </c>
      <c r="V23" t="inlineStr">
        <is>
          <t>MBWAY</t>
        </is>
      </c>
      <c r="W23" t="inlineStr">
        <is>
          <t>MAS_MGT</t>
        </is>
      </c>
      <c r="X23" t="inlineStr">
        <is>
          <t>M1</t>
        </is>
      </c>
      <c r="Y23" t="inlineStr">
        <is>
          <t>ALT</t>
        </is>
      </c>
      <c r="Z23">
        <v>3</v>
      </c>
      <c r="BF23" t="s">
        <v>122</v>
      </c>
      <c r="BG23" t="s">
        <v>123</v>
      </c>
      <c r="BH23" t="s">
        <v>124</v>
      </c>
      <c r="BI23" t="s">
        <v>125</v>
      </c>
      <c r="BJ23" t="s">
        <v>142</v>
      </c>
      <c r="BK23" t="s">
        <v>0</v>
      </c>
      <c r="BL23" t="s">
        <v>136</v>
      </c>
      <c r="BM23" t="s">
        <v>132</v>
      </c>
      <c r="BN23" t="s">
        <v>130</v>
      </c>
      <c r="BO23">
        <v>40</v>
      </c>
      <c r="BP23">
        <v>2</v>
      </c>
      <c r="BQ23">
        <v>268800</v>
      </c>
      <c r="BR23">
        <v>22036</v>
      </c>
      <c r="BS23">
        <v>48978.76</v>
      </c>
      <c r="BT23">
        <v>15231.591082000001</v>
      </c>
      <c r="BU23">
        <v>110126.314</v>
      </c>
      <c r="BV23">
        <v>7600.2884400000003</v>
      </c>
      <c r="BW23">
        <v>39213.331060999997</v>
      </c>
      <c r="BX23">
        <v>46813.619501000001</v>
      </c>
      <c r="BY23">
        <v>37267.591081999999</v>
      </c>
      <c r="BZ23">
        <v>205918.693501</v>
      </c>
      <c r="CA23">
        <v>243186.284583</v>
      </c>
      <c r="CB23">
        <v>25613.715416999999</v>
      </c>
      <c r="CC23">
        <v>0</v>
      </c>
      <c r="CD23">
        <v>110180</v>
      </c>
      <c r="CE23">
        <v>244893.8</v>
      </c>
      <c r="CF23">
        <v>78443</v>
      </c>
      <c r="CG23">
        <v>18251</v>
      </c>
      <c r="CH23">
        <v>550631.56999999995</v>
      </c>
      <c r="CI23">
        <v>2639292</v>
      </c>
      <c r="CJ23">
        <v>499926</v>
      </c>
    </row>
    <row r="24" spans="2:88" x14ac:dyDescent="0.45" outlineLevel="2" hidden="1">
      <c r="B24" s="29" t="s">
        <v>92</v>
      </c>
      <c r="C24" s="30">
        <f>SUMIFS(_CALC_ALLOC!$G$1:$G$420,_CALC_ALLOC!$AS$1:$AS$420,"2027|"&amp;$P$1,_CALC_ALLOC!$B$1:$B$420,$U24,_CALC_ALLOC!$D$1:$D$420,$W24,_CALC_ALLOC!$E$1:$E$420,$X24,_CALC_ALLOC!$F$1:$F$420,$Y24)</f>
        <v>0</v>
      </c>
      <c r="D24" s="31">
        <f>SUMIFS(_CALC_ALLOC!$I$1:$I$420,_CALC_ALLOC!$AS$1:$AS$420,"2027|"&amp;$P$1,_CALC_ALLOC!$B$1:$B$420,$U24,_CALC_ALLOC!$D$1:$D$420,$W24,_CALC_ALLOC!$E$1:$E$420,$X24,_CALC_ALLOC!$F$1:$F$420,$Y24)</f>
        <v>0</v>
      </c>
      <c r="E24" s="31">
        <f>SUMIFS(_CALC_ALLOC!$AI$1:$AI$420,_CALC_ALLOC!$AS$1:$AS$420,"2027|"&amp;$P$1,_CALC_ALLOC!$B$1:$B$420,$U24,_CALC_ALLOC!$D$1:$D$420,$W24,_CALC_ALLOC!$E$1:$E$420,$X24,_CALC_ALLOC!$F$1:$F$420,$Y24)</f>
        <v>0</v>
      </c>
      <c r="F24" s="31">
        <f>SUMIFS(_CALC_ALLOC!$AJ$1:$AJ$420,_CALC_ALLOC!$AS$1:$AS$420,"2027|"&amp;$P$1,_CALC_ALLOC!$B$1:$B$420,$U24,_CALC_ALLOC!$D$1:$D$420,$W24,_CALC_ALLOC!$E$1:$E$420,$X24,_CALC_ALLOC!$F$1:$F$420,$Y24)</f>
        <v>0</v>
      </c>
      <c r="G24" s="31">
        <f>SUMIFS(_CALC_ALLOC!$AK$1:$AK$420,_CALC_ALLOC!$AS$1:$AS$420,"2027|"&amp;$P$1,_CALC_ALLOC!$B$1:$B$420,$U24,_CALC_ALLOC!$D$1:$D$420,$W24,_CALC_ALLOC!$E$1:$E$420,$X24,_CALC_ALLOC!$F$1:$F$420,$Y24)</f>
        <v>0</v>
      </c>
      <c r="H24" s="31">
        <f>SUMIFS(_CALC_ALLOC!$AL$1:$AL$420,_CALC_ALLOC!$AS$1:$AS$420,"2027|"&amp;$P$1,_CALC_ALLOC!$B$1:$B$420,$U24,_CALC_ALLOC!$D$1:$D$420,$W24,_CALC_ALLOC!$E$1:$E$420,$X24,_CALC_ALLOC!$F$1:$F$420,$Y24)</f>
        <v>0</v>
      </c>
      <c r="I24" s="31">
        <f>SUMIFS(_CALC_ALLOC!$AR$1:$AR$420,_CALC_ALLOC!$AS$1:$AS$420,"2027|"&amp;$P$1,_CALC_ALLOC!$B$1:$B$420,$U24,_CALC_ALLOC!$D$1:$D$420,$W24,_CALC_ALLOC!$E$1:$E$420,$X24,_CALC_ALLOC!$F$1:$F$420,$Y24)</f>
        <v>0</v>
      </c>
      <c r="J24" s="31">
        <f>SUMIFS(_CALC_ALLOC!$AM$1:$AM$420,_CALC_ALLOC!$AS$1:$AS$420,"2027|"&amp;$P$1,_CALC_ALLOC!$B$1:$B$420,$U24,_CALC_ALLOC!$D$1:$D$420,$W24,_CALC_ALLOC!$E$1:$E$420,$X24,_CALC_ALLOC!$F$1:$F$420,$Y24)</f>
        <v>0</v>
      </c>
      <c r="K24" s="32">
        <f t="shared" si="0"/>
        <v>0</v>
      </c>
      <c r="L24" s="33">
        <f>SUMIFS(_CALC_ALLOC!$AN$1:$AN$420,_CALC_ALLOC!$AS$1:$AS$420,"2027|"&amp;$P$1,_CALC_ALLOC!$B$1:$B$420,$U24,_CALC_ALLOC!$D$1:$D$420,$W24,_CALC_ALLOC!$E$1:$E$420,$X24,_CALC_ALLOC!$F$1:$F$420,$Y24)</f>
        <v>0</v>
      </c>
      <c r="M24" s="34">
        <f t="shared" si="1"/>
        <v>0</v>
      </c>
      <c r="T24" t="inlineStr">
        <is>
          <t>MBWAY_PAR|MAS_MGT|M2|ALT</t>
        </is>
      </c>
      <c r="U24" t="inlineStr">
        <is>
          <t>MBWAY_PAR</t>
        </is>
      </c>
      <c r="V24" t="inlineStr">
        <is>
          <t>MBWAY</t>
        </is>
      </c>
      <c r="W24" t="inlineStr">
        <is>
          <t>MAS_MGT</t>
        </is>
      </c>
      <c r="X24" t="inlineStr">
        <is>
          <t>M2</t>
        </is>
      </c>
      <c r="Y24" t="inlineStr">
        <is>
          <t>ALT</t>
        </is>
      </c>
      <c r="Z24">
        <v>3</v>
      </c>
      <c r="BF24" t="s">
        <v>122</v>
      </c>
      <c r="BG24" t="s">
        <v>123</v>
      </c>
      <c r="BH24" t="s">
        <v>124</v>
      </c>
      <c r="BI24" t="s">
        <v>125</v>
      </c>
      <c r="BJ24" t="s">
        <v>142</v>
      </c>
      <c r="BK24" t="s">
        <v>0</v>
      </c>
      <c r="BL24" t="s">
        <v>138</v>
      </c>
      <c r="BM24" t="s">
        <v>139</v>
      </c>
      <c r="BN24" t="s">
        <v>130</v>
      </c>
      <c r="BO24">
        <v>42</v>
      </c>
      <c r="BP24">
        <v>2</v>
      </c>
      <c r="BQ24">
        <v>306180</v>
      </c>
      <c r="BR24">
        <v>19281.5</v>
      </c>
      <c r="BS24">
        <v>42856.415000000001</v>
      </c>
      <c r="BT24">
        <v>25118.694168999999</v>
      </c>
      <c r="BU24">
        <v>110126.314</v>
      </c>
      <c r="BV24">
        <v>7600.2884400000003</v>
      </c>
      <c r="BW24">
        <v>39213.331060999997</v>
      </c>
      <c r="BX24">
        <v>46813.619501000001</v>
      </c>
      <c r="BY24">
        <v>44400.194169000002</v>
      </c>
      <c r="BZ24">
        <v>199796.348501</v>
      </c>
      <c r="CA24">
        <v>244196.54267</v>
      </c>
      <c r="CB24">
        <v>61983.457329999997</v>
      </c>
      <c r="CC24">
        <v>42</v>
      </c>
      <c r="CD24">
        <v>110180</v>
      </c>
      <c r="CE24">
        <v>244893.8</v>
      </c>
      <c r="CF24">
        <v>78443</v>
      </c>
      <c r="CG24">
        <v>18251</v>
      </c>
      <c r="CH24">
        <v>550631.56999999995</v>
      </c>
      <c r="CI24">
        <v>2639292</v>
      </c>
      <c r="CJ24">
        <v>499926</v>
      </c>
    </row>
    <row r="25" spans="2:88" x14ac:dyDescent="0.45" outlineLevel="1">
      <c r="B25" s="24" t="s">
        <v>93</v>
      </c>
      <c r="C25" s="25">
        <f>SUMIFS(_CALC_ALLOC!$G$1:$G$420,_CALC_ALLOC!$AS$1:$AS$420,"2027|"&amp;$P$1,_CALC_ALLOC!$B$1:$B$420,$U25)</f>
        <v>0</v>
      </c>
      <c r="D25" s="26">
        <f>SUMIFS(_CALC_ALLOC!$I$1:$I$420,_CALC_ALLOC!$AS$1:$AS$420,"2027|"&amp;$P$1,_CALC_ALLOC!$B$1:$B$420,$U25)</f>
        <v>0</v>
      </c>
      <c r="E25" s="26">
        <f>SUMIFS(_CALC_ALLOC!$AI$1:$AI$420,_CALC_ALLOC!$AS$1:$AS$420,"2027|"&amp;$P$1,_CALC_ALLOC!$B$1:$B$420,$U25)</f>
        <v>0</v>
      </c>
      <c r="F25" s="26">
        <f>SUMIFS(_CALC_ALLOC!$AJ$1:$AJ$420,_CALC_ALLOC!$AS$1:$AS$420,"2027|"&amp;$P$1,_CALC_ALLOC!$B$1:$B$420,$U25)</f>
        <v>0</v>
      </c>
      <c r="G25" s="26">
        <f>SUMIFS(_CALC_ALLOC!$AK$1:$AK$420,_CALC_ALLOC!$AS$1:$AS$420,"2027|"&amp;$P$1,_CALC_ALLOC!$B$1:$B$420,$U25)</f>
        <v>0</v>
      </c>
      <c r="H25" s="26">
        <f>SUMIFS(_CALC_ALLOC!$AL$1:$AL$420,_CALC_ALLOC!$AS$1:$AS$420,"2027|"&amp;$P$1,_CALC_ALLOC!$B$1:$B$420,$U25)</f>
        <v>0</v>
      </c>
      <c r="I25" s="26">
        <f>SUMIFS(_CALC_ALLOC!$AR$1:$AR$420,_CALC_ALLOC!$AS$1:$AS$420,"2027|"&amp;$P$1,_CALC_ALLOC!$B$1:$B$420,$U25)</f>
        <v>0</v>
      </c>
      <c r="J25" s="26">
        <f>SUMIFS(_CALC_ALLOC!$AM$1:$AM$420,_CALC_ALLOC!$AS$1:$AS$420,"2027|"&amp;$P$1,_CALC_ALLOC!$B$1:$B$420,$U25)</f>
        <v>0</v>
      </c>
      <c r="K25" s="26">
        <f t="shared" si="0"/>
        <v>0</v>
      </c>
      <c r="L25" s="27">
        <f>SUMIFS(_CALC_ALLOC!$AN$1:$AN$420,_CALC_ALLOC!$AS$1:$AS$420,"2027|"&amp;$P$1,_CALC_ALLOC!$B$1:$B$420,$U25)</f>
        <v>0</v>
      </c>
      <c r="M25" s="28">
        <f t="shared" si="1"/>
        <v>0</v>
      </c>
      <c r="T25" t="inlineStr">
        <is>
          <t>MBWAY_LYO</t>
        </is>
      </c>
      <c r="U25" t="inlineStr">
        <is>
          <t>MBWAY_LYO</t>
        </is>
      </c>
      <c r="V25" t="inlineStr">
        <is>
          <t>MBWAY</t>
        </is>
      </c>
      <c r="Z25">
        <v>2</v>
      </c>
      <c r="BF25" t="s">
        <v>122</v>
      </c>
      <c r="BG25" t="s">
        <v>123</v>
      </c>
      <c r="BH25" t="s">
        <v>124</v>
      </c>
      <c r="BI25" t="s">
        <v>125</v>
      </c>
      <c r="BJ25" t="s">
        <v>142</v>
      </c>
      <c r="BK25" t="s">
        <v>0</v>
      </c>
      <c r="BL25" t="s">
        <v>138</v>
      </c>
      <c r="BM25" t="s">
        <v>140</v>
      </c>
      <c r="BN25" t="s">
        <v>130</v>
      </c>
      <c r="BO25">
        <v>41</v>
      </c>
      <c r="BP25">
        <v>2</v>
      </c>
      <c r="BQ25">
        <v>295200</v>
      </c>
      <c r="BR25">
        <v>19281.5</v>
      </c>
      <c r="BS25">
        <v>42856.415000000001</v>
      </c>
      <c r="BT25">
        <v>15612.431847</v>
      </c>
      <c r="BU25">
        <v>110126.314</v>
      </c>
      <c r="BV25">
        <v>7600.2884400000003</v>
      </c>
      <c r="BW25">
        <v>39213.331060999997</v>
      </c>
      <c r="BX25">
        <v>46813.619501000001</v>
      </c>
      <c r="BY25">
        <v>34893.931847</v>
      </c>
      <c r="BZ25">
        <v>199796.348501</v>
      </c>
      <c r="CA25">
        <v>234690.280348</v>
      </c>
      <c r="CB25">
        <v>60509.719652</v>
      </c>
      <c r="CC25">
        <v>0</v>
      </c>
      <c r="CD25">
        <v>110180</v>
      </c>
      <c r="CE25">
        <v>244893.8</v>
      </c>
      <c r="CF25">
        <v>78443</v>
      </c>
      <c r="CG25">
        <v>18251</v>
      </c>
      <c r="CH25">
        <v>550631.56999999995</v>
      </c>
      <c r="CI25">
        <v>2639292</v>
      </c>
      <c r="CJ25">
        <v>499926</v>
      </c>
    </row>
    <row r="26" spans="2:88" x14ac:dyDescent="0.45" outlineLevel="2" hidden="1">
      <c r="B26" s="29" t="s">
        <v>88</v>
      </c>
      <c r="C26" s="30">
        <f>SUMIFS(_CALC_ALLOC!$G$1:$G$420,_CALC_ALLOC!$AS$1:$AS$420,"2027|"&amp;$P$1,_CALC_ALLOC!$B$1:$B$420,$U26,_CALC_ALLOC!$D$1:$D$420,$W26,_CALC_ALLOC!$E$1:$E$420,$X26,_CALC_ALLOC!$F$1:$F$420,$Y26)</f>
        <v>0</v>
      </c>
      <c r="D26" s="31">
        <f>SUMIFS(_CALC_ALLOC!$I$1:$I$420,_CALC_ALLOC!$AS$1:$AS$420,"2027|"&amp;$P$1,_CALC_ALLOC!$B$1:$B$420,$U26,_CALC_ALLOC!$D$1:$D$420,$W26,_CALC_ALLOC!$E$1:$E$420,$X26,_CALC_ALLOC!$F$1:$F$420,$Y26)</f>
        <v>0</v>
      </c>
      <c r="E26" s="31">
        <f>SUMIFS(_CALC_ALLOC!$AI$1:$AI$420,_CALC_ALLOC!$AS$1:$AS$420,"2027|"&amp;$P$1,_CALC_ALLOC!$B$1:$B$420,$U26,_CALC_ALLOC!$D$1:$D$420,$W26,_CALC_ALLOC!$E$1:$E$420,$X26,_CALC_ALLOC!$F$1:$F$420,$Y26)</f>
        <v>0</v>
      </c>
      <c r="F26" s="31">
        <f>SUMIFS(_CALC_ALLOC!$AJ$1:$AJ$420,_CALC_ALLOC!$AS$1:$AS$420,"2027|"&amp;$P$1,_CALC_ALLOC!$B$1:$B$420,$U26,_CALC_ALLOC!$D$1:$D$420,$W26,_CALC_ALLOC!$E$1:$E$420,$X26,_CALC_ALLOC!$F$1:$F$420,$Y26)</f>
        <v>0</v>
      </c>
      <c r="G26" s="31">
        <f>SUMIFS(_CALC_ALLOC!$AK$1:$AK$420,_CALC_ALLOC!$AS$1:$AS$420,"2027|"&amp;$P$1,_CALC_ALLOC!$B$1:$B$420,$U26,_CALC_ALLOC!$D$1:$D$420,$W26,_CALC_ALLOC!$E$1:$E$420,$X26,_CALC_ALLOC!$F$1:$F$420,$Y26)</f>
        <v>0</v>
      </c>
      <c r="H26" s="31">
        <f>SUMIFS(_CALC_ALLOC!$AL$1:$AL$420,_CALC_ALLOC!$AS$1:$AS$420,"2027|"&amp;$P$1,_CALC_ALLOC!$B$1:$B$420,$U26,_CALC_ALLOC!$D$1:$D$420,$W26,_CALC_ALLOC!$E$1:$E$420,$X26,_CALC_ALLOC!$F$1:$F$420,$Y26)</f>
        <v>0</v>
      </c>
      <c r="I26" s="31">
        <f>SUMIFS(_CALC_ALLOC!$AR$1:$AR$420,_CALC_ALLOC!$AS$1:$AS$420,"2027|"&amp;$P$1,_CALC_ALLOC!$B$1:$B$420,$U26,_CALC_ALLOC!$D$1:$D$420,$W26,_CALC_ALLOC!$E$1:$E$420,$X26,_CALC_ALLOC!$F$1:$F$420,$Y26)</f>
        <v>0</v>
      </c>
      <c r="J26" s="31">
        <f>SUMIFS(_CALC_ALLOC!$AM$1:$AM$420,_CALC_ALLOC!$AS$1:$AS$420,"2027|"&amp;$P$1,_CALC_ALLOC!$B$1:$B$420,$U26,_CALC_ALLOC!$D$1:$D$420,$W26,_CALC_ALLOC!$E$1:$E$420,$X26,_CALC_ALLOC!$F$1:$F$420,$Y26)</f>
        <v>0</v>
      </c>
      <c r="K26" s="32">
        <f t="shared" si="0"/>
        <v>0</v>
      </c>
      <c r="L26" s="33">
        <f>SUMIFS(_CALC_ALLOC!$AN$1:$AN$420,_CALC_ALLOC!$AS$1:$AS$420,"2027|"&amp;$P$1,_CALC_ALLOC!$B$1:$B$420,$U26,_CALC_ALLOC!$D$1:$D$420,$W26,_CALC_ALLOC!$E$1:$E$420,$X26,_CALC_ALLOC!$F$1:$F$420,$Y26)</f>
        <v>0</v>
      </c>
      <c r="M26" s="34">
        <f t="shared" si="1"/>
        <v>0</v>
      </c>
      <c r="T26" t="inlineStr">
        <is>
          <t>MBWAY_LYO|BAC_MGT|B1|INIT</t>
        </is>
      </c>
      <c r="U26" t="inlineStr">
        <is>
          <t>MBWAY_LYO</t>
        </is>
      </c>
      <c r="V26" t="inlineStr">
        <is>
          <t>MBWAY</t>
        </is>
      </c>
      <c r="W26" t="inlineStr">
        <is>
          <t>BAC_MGT</t>
        </is>
      </c>
      <c r="X26" t="inlineStr">
        <is>
          <t>B1</t>
        </is>
      </c>
      <c r="Y26" t="inlineStr">
        <is>
          <t>INIT</t>
        </is>
      </c>
      <c r="Z26">
        <v>3</v>
      </c>
      <c r="BF26" t="s">
        <v>122</v>
      </c>
      <c r="BG26" t="s">
        <v>123</v>
      </c>
      <c r="BH26" t="s">
        <v>124</v>
      </c>
      <c r="BI26" t="s">
        <v>125</v>
      </c>
      <c r="BJ26" t="s">
        <v>143</v>
      </c>
      <c r="BK26" t="s">
        <v>144</v>
      </c>
      <c r="BL26" t="s">
        <v>145</v>
      </c>
      <c r="BM26" t="s">
        <v>129</v>
      </c>
      <c r="BN26" t="s">
        <v>137</v>
      </c>
      <c r="BO26">
        <v>45</v>
      </c>
      <c r="BP26">
        <v>2</v>
      </c>
      <c r="BQ26">
        <v>331425</v>
      </c>
      <c r="BR26">
        <v>27545</v>
      </c>
      <c r="BS26">
        <v>64185.894999999997</v>
      </c>
      <c r="BT26">
        <v>27515.708164</v>
      </c>
      <c r="BU26">
        <v>121392.636</v>
      </c>
      <c r="BV26">
        <v>8229.0044710000002</v>
      </c>
      <c r="BW26">
        <v>42068.693780000001</v>
      </c>
      <c r="BX26">
        <v>50297.698251000002</v>
      </c>
      <c r="BY26">
        <v>55060.708164000003</v>
      </c>
      <c r="BZ26">
        <v>235876.22925100001</v>
      </c>
      <c r="CA26">
        <v>290936.93741499999</v>
      </c>
      <c r="CB26">
        <v>40488.062585</v>
      </c>
      <c r="CC26">
        <v>45</v>
      </c>
      <c r="CD26">
        <v>110180</v>
      </c>
      <c r="CE26">
        <v>256743.58</v>
      </c>
      <c r="CF26">
        <v>84556</v>
      </c>
      <c r="CG26">
        <v>20597</v>
      </c>
      <c r="CH26">
        <v>606963.18000000005</v>
      </c>
      <c r="CI26">
        <v>2639292</v>
      </c>
      <c r="CJ26">
        <v>499926</v>
      </c>
    </row>
    <row r="27" spans="2:88" x14ac:dyDescent="0.45" outlineLevel="2" hidden="1">
      <c r="B27" s="29" t="s">
        <v>89</v>
      </c>
      <c r="C27" s="30">
        <f>SUMIFS(_CALC_ALLOC!$G$1:$G$420,_CALC_ALLOC!$AS$1:$AS$420,"2027|"&amp;$P$1,_CALC_ALLOC!$B$1:$B$420,$U27,_CALC_ALLOC!$D$1:$D$420,$W27,_CALC_ALLOC!$E$1:$E$420,$X27,_CALC_ALLOC!$F$1:$F$420,$Y27)</f>
        <v>0</v>
      </c>
      <c r="D27" s="31">
        <f>SUMIFS(_CALC_ALLOC!$I$1:$I$420,_CALC_ALLOC!$AS$1:$AS$420,"2027|"&amp;$P$1,_CALC_ALLOC!$B$1:$B$420,$U27,_CALC_ALLOC!$D$1:$D$420,$W27,_CALC_ALLOC!$E$1:$E$420,$X27,_CALC_ALLOC!$F$1:$F$420,$Y27)</f>
        <v>0</v>
      </c>
      <c r="E27" s="31">
        <f>SUMIFS(_CALC_ALLOC!$AI$1:$AI$420,_CALC_ALLOC!$AS$1:$AS$420,"2027|"&amp;$P$1,_CALC_ALLOC!$B$1:$B$420,$U27,_CALC_ALLOC!$D$1:$D$420,$W27,_CALC_ALLOC!$E$1:$E$420,$X27,_CALC_ALLOC!$F$1:$F$420,$Y27)</f>
        <v>0</v>
      </c>
      <c r="F27" s="31">
        <f>SUMIFS(_CALC_ALLOC!$AJ$1:$AJ$420,_CALC_ALLOC!$AS$1:$AS$420,"2027|"&amp;$P$1,_CALC_ALLOC!$B$1:$B$420,$U27,_CALC_ALLOC!$D$1:$D$420,$W27,_CALC_ALLOC!$E$1:$E$420,$X27,_CALC_ALLOC!$F$1:$F$420,$Y27)</f>
        <v>0</v>
      </c>
      <c r="G27" s="31">
        <f>SUMIFS(_CALC_ALLOC!$AK$1:$AK$420,_CALC_ALLOC!$AS$1:$AS$420,"2027|"&amp;$P$1,_CALC_ALLOC!$B$1:$B$420,$U27,_CALC_ALLOC!$D$1:$D$420,$W27,_CALC_ALLOC!$E$1:$E$420,$X27,_CALC_ALLOC!$F$1:$F$420,$Y27)</f>
        <v>0</v>
      </c>
      <c r="H27" s="31">
        <f>SUMIFS(_CALC_ALLOC!$AL$1:$AL$420,_CALC_ALLOC!$AS$1:$AS$420,"2027|"&amp;$P$1,_CALC_ALLOC!$B$1:$B$420,$U27,_CALC_ALLOC!$D$1:$D$420,$W27,_CALC_ALLOC!$E$1:$E$420,$X27,_CALC_ALLOC!$F$1:$F$420,$Y27)</f>
        <v>0</v>
      </c>
      <c r="I27" s="31">
        <f>SUMIFS(_CALC_ALLOC!$AR$1:$AR$420,_CALC_ALLOC!$AS$1:$AS$420,"2027|"&amp;$P$1,_CALC_ALLOC!$B$1:$B$420,$U27,_CALC_ALLOC!$D$1:$D$420,$W27,_CALC_ALLOC!$E$1:$E$420,$X27,_CALC_ALLOC!$F$1:$F$420,$Y27)</f>
        <v>0</v>
      </c>
      <c r="J27" s="31">
        <f>SUMIFS(_CALC_ALLOC!$AM$1:$AM$420,_CALC_ALLOC!$AS$1:$AS$420,"2027|"&amp;$P$1,_CALC_ALLOC!$B$1:$B$420,$U27,_CALC_ALLOC!$D$1:$D$420,$W27,_CALC_ALLOC!$E$1:$E$420,$X27,_CALC_ALLOC!$F$1:$F$420,$Y27)</f>
        <v>0</v>
      </c>
      <c r="K27" s="32">
        <f t="shared" si="0"/>
        <v>0</v>
      </c>
      <c r="L27" s="33">
        <f>SUMIFS(_CALC_ALLOC!$AN$1:$AN$420,_CALC_ALLOC!$AS$1:$AS$420,"2027|"&amp;$P$1,_CALC_ALLOC!$B$1:$B$420,$U27,_CALC_ALLOC!$D$1:$D$420,$W27,_CALC_ALLOC!$E$1:$E$420,$X27,_CALC_ALLOC!$F$1:$F$420,$Y27)</f>
        <v>0</v>
      </c>
      <c r="M27" s="34">
        <f t="shared" si="1"/>
        <v>0</v>
      </c>
      <c r="T27" t="inlineStr">
        <is>
          <t>MBWAY_LYO|BAC_MGT|B2|ALT</t>
        </is>
      </c>
      <c r="U27" t="inlineStr">
        <is>
          <t>MBWAY_LYO</t>
        </is>
      </c>
      <c r="V27" t="inlineStr">
        <is>
          <t>MBWAY</t>
        </is>
      </c>
      <c r="W27" t="inlineStr">
        <is>
          <t>BAC_MGT</t>
        </is>
      </c>
      <c r="X27" t="inlineStr">
        <is>
          <t>B2</t>
        </is>
      </c>
      <c r="Y27" t="inlineStr">
        <is>
          <t>ALT</t>
        </is>
      </c>
      <c r="Z27">
        <v>3</v>
      </c>
      <c r="BF27" t="s">
        <v>122</v>
      </c>
      <c r="BG27" t="s">
        <v>123</v>
      </c>
      <c r="BH27" t="s">
        <v>124</v>
      </c>
      <c r="BI27" t="s">
        <v>125</v>
      </c>
      <c r="BJ27" t="s">
        <v>143</v>
      </c>
      <c r="BK27" t="s">
        <v>144</v>
      </c>
      <c r="BL27" t="s">
        <v>145</v>
      </c>
      <c r="BM27" t="s">
        <v>131</v>
      </c>
      <c r="BN27" t="s">
        <v>130</v>
      </c>
      <c r="BO27">
        <v>44</v>
      </c>
      <c r="BP27">
        <v>2</v>
      </c>
      <c r="BQ27">
        <v>298760</v>
      </c>
      <c r="BR27">
        <v>22036</v>
      </c>
      <c r="BS27">
        <v>51348.716</v>
      </c>
      <c r="BT27">
        <v>16834.676820000001</v>
      </c>
      <c r="BU27">
        <v>121392.636</v>
      </c>
      <c r="BV27">
        <v>8229.0044710000002</v>
      </c>
      <c r="BW27">
        <v>42068.693780000001</v>
      </c>
      <c r="BX27">
        <v>50297.698251000002</v>
      </c>
      <c r="BY27">
        <v>38870.676820000001</v>
      </c>
      <c r="BZ27">
        <v>223039.05025100001</v>
      </c>
      <c r="CA27">
        <v>261909.727071</v>
      </c>
      <c r="CB27">
        <v>36850.272928999999</v>
      </c>
      <c r="CC27">
        <v>0</v>
      </c>
      <c r="CD27">
        <v>110180</v>
      </c>
      <c r="CE27">
        <v>256743.58</v>
      </c>
      <c r="CF27">
        <v>84556</v>
      </c>
      <c r="CG27">
        <v>20597</v>
      </c>
      <c r="CH27">
        <v>606963.18000000005</v>
      </c>
      <c r="CI27">
        <v>2639292</v>
      </c>
      <c r="CJ27">
        <v>499926</v>
      </c>
    </row>
    <row r="28" spans="2:88" x14ac:dyDescent="0.45" outlineLevel="2" hidden="1">
      <c r="B28" s="29" t="s">
        <v>90</v>
      </c>
      <c r="C28" s="30">
        <f>SUMIFS(_CALC_ALLOC!$G$1:$G$420,_CALC_ALLOC!$AS$1:$AS$420,"2027|"&amp;$P$1,_CALC_ALLOC!$B$1:$B$420,$U28,_CALC_ALLOC!$D$1:$D$420,$W28,_CALC_ALLOC!$E$1:$E$420,$X28,_CALC_ALLOC!$F$1:$F$420,$Y28)</f>
        <v>0</v>
      </c>
      <c r="D28" s="31">
        <f>SUMIFS(_CALC_ALLOC!$I$1:$I$420,_CALC_ALLOC!$AS$1:$AS$420,"2027|"&amp;$P$1,_CALC_ALLOC!$B$1:$B$420,$U28,_CALC_ALLOC!$D$1:$D$420,$W28,_CALC_ALLOC!$E$1:$E$420,$X28,_CALC_ALLOC!$F$1:$F$420,$Y28)</f>
        <v>0</v>
      </c>
      <c r="E28" s="31">
        <f>SUMIFS(_CALC_ALLOC!$AI$1:$AI$420,_CALC_ALLOC!$AS$1:$AS$420,"2027|"&amp;$P$1,_CALC_ALLOC!$B$1:$B$420,$U28,_CALC_ALLOC!$D$1:$D$420,$W28,_CALC_ALLOC!$E$1:$E$420,$X28,_CALC_ALLOC!$F$1:$F$420,$Y28)</f>
        <v>0</v>
      </c>
      <c r="F28" s="31">
        <f>SUMIFS(_CALC_ALLOC!$AJ$1:$AJ$420,_CALC_ALLOC!$AS$1:$AS$420,"2027|"&amp;$P$1,_CALC_ALLOC!$B$1:$B$420,$U28,_CALC_ALLOC!$D$1:$D$420,$W28,_CALC_ALLOC!$E$1:$E$420,$X28,_CALC_ALLOC!$F$1:$F$420,$Y28)</f>
        <v>0</v>
      </c>
      <c r="G28" s="31">
        <f>SUMIFS(_CALC_ALLOC!$AK$1:$AK$420,_CALC_ALLOC!$AS$1:$AS$420,"2027|"&amp;$P$1,_CALC_ALLOC!$B$1:$B$420,$U28,_CALC_ALLOC!$D$1:$D$420,$W28,_CALC_ALLOC!$E$1:$E$420,$X28,_CALC_ALLOC!$F$1:$F$420,$Y28)</f>
        <v>0</v>
      </c>
      <c r="H28" s="31">
        <f>SUMIFS(_CALC_ALLOC!$AL$1:$AL$420,_CALC_ALLOC!$AS$1:$AS$420,"2027|"&amp;$P$1,_CALC_ALLOC!$B$1:$B$420,$U28,_CALC_ALLOC!$D$1:$D$420,$W28,_CALC_ALLOC!$E$1:$E$420,$X28,_CALC_ALLOC!$F$1:$F$420,$Y28)</f>
        <v>0</v>
      </c>
      <c r="I28" s="31">
        <f>SUMIFS(_CALC_ALLOC!$AR$1:$AR$420,_CALC_ALLOC!$AS$1:$AS$420,"2027|"&amp;$P$1,_CALC_ALLOC!$B$1:$B$420,$U28,_CALC_ALLOC!$D$1:$D$420,$W28,_CALC_ALLOC!$E$1:$E$420,$X28,_CALC_ALLOC!$F$1:$F$420,$Y28)</f>
        <v>0</v>
      </c>
      <c r="J28" s="31">
        <f>SUMIFS(_CALC_ALLOC!$AM$1:$AM$420,_CALC_ALLOC!$AS$1:$AS$420,"2027|"&amp;$P$1,_CALC_ALLOC!$B$1:$B$420,$U28,_CALC_ALLOC!$D$1:$D$420,$W28,_CALC_ALLOC!$E$1:$E$420,$X28,_CALC_ALLOC!$F$1:$F$420,$Y28)</f>
        <v>0</v>
      </c>
      <c r="K28" s="32">
        <f t="shared" si="0"/>
        <v>0</v>
      </c>
      <c r="L28" s="33">
        <f>SUMIFS(_CALC_ALLOC!$AN$1:$AN$420,_CALC_ALLOC!$AS$1:$AS$420,"2027|"&amp;$P$1,_CALC_ALLOC!$B$1:$B$420,$U28,_CALC_ALLOC!$D$1:$D$420,$W28,_CALC_ALLOC!$E$1:$E$420,$X28,_CALC_ALLOC!$F$1:$F$420,$Y28)</f>
        <v>0</v>
      </c>
      <c r="M28" s="34">
        <f t="shared" si="1"/>
        <v>0</v>
      </c>
      <c r="T28" t="inlineStr">
        <is>
          <t>MBWAY_LYO|BAC_MGT|B3|ALT</t>
        </is>
      </c>
      <c r="U28" t="inlineStr">
        <is>
          <t>MBWAY_LYO</t>
        </is>
      </c>
      <c r="V28" t="inlineStr">
        <is>
          <t>MBWAY</t>
        </is>
      </c>
      <c r="W28" t="inlineStr">
        <is>
          <t>BAC_MGT</t>
        </is>
      </c>
      <c r="X28" t="inlineStr">
        <is>
          <t>B3</t>
        </is>
      </c>
      <c r="Y28" t="inlineStr">
        <is>
          <t>ALT</t>
        </is>
      </c>
      <c r="Z28">
        <v>3</v>
      </c>
      <c r="BF28" t="s">
        <v>122</v>
      </c>
      <c r="BG28" t="s">
        <v>123</v>
      </c>
      <c r="BH28" t="s">
        <v>124</v>
      </c>
      <c r="BI28" t="s">
        <v>125</v>
      </c>
      <c r="BJ28" t="s">
        <v>143</v>
      </c>
      <c r="BK28" t="s">
        <v>144</v>
      </c>
      <c r="BL28" t="s">
        <v>145</v>
      </c>
      <c r="BM28" t="s">
        <v>132</v>
      </c>
      <c r="BN28" t="s">
        <v>130</v>
      </c>
      <c r="BO28">
        <v>43</v>
      </c>
      <c r="BP28">
        <v>2</v>
      </c>
      <c r="BQ28">
        <v>291970</v>
      </c>
      <c r="BR28">
        <v>22036</v>
      </c>
      <c r="BS28">
        <v>51348.716</v>
      </c>
      <c r="BT28">
        <v>16452.06092</v>
      </c>
      <c r="BU28">
        <v>121392.636</v>
      </c>
      <c r="BV28">
        <v>8229.0044710000002</v>
      </c>
      <c r="BW28">
        <v>42068.693780000001</v>
      </c>
      <c r="BX28">
        <v>50297.698251000002</v>
      </c>
      <c r="BY28">
        <v>38488.060920000004</v>
      </c>
      <c r="BZ28">
        <v>223039.05025100001</v>
      </c>
      <c r="CA28">
        <v>261527.111171</v>
      </c>
      <c r="CB28">
        <v>30442.888829</v>
      </c>
      <c r="CC28">
        <v>0</v>
      </c>
      <c r="CD28">
        <v>110180</v>
      </c>
      <c r="CE28">
        <v>256743.58</v>
      </c>
      <c r="CF28">
        <v>84556</v>
      </c>
      <c r="CG28">
        <v>20597</v>
      </c>
      <c r="CH28">
        <v>606963.18000000005</v>
      </c>
      <c r="CI28">
        <v>2639292</v>
      </c>
      <c r="CJ28">
        <v>499926</v>
      </c>
    </row>
    <row r="29" spans="2:88" x14ac:dyDescent="0.45" outlineLevel="2" hidden="1">
      <c r="B29" s="29" t="s">
        <v>91</v>
      </c>
      <c r="C29" s="30">
        <f>SUMIFS(_CALC_ALLOC!$G$1:$G$420,_CALC_ALLOC!$AS$1:$AS$420,"2027|"&amp;$P$1,_CALC_ALLOC!$B$1:$B$420,$U29,_CALC_ALLOC!$D$1:$D$420,$W29,_CALC_ALLOC!$E$1:$E$420,$X29,_CALC_ALLOC!$F$1:$F$420,$Y29)</f>
        <v>0</v>
      </c>
      <c r="D29" s="31">
        <f>SUMIFS(_CALC_ALLOC!$I$1:$I$420,_CALC_ALLOC!$AS$1:$AS$420,"2027|"&amp;$P$1,_CALC_ALLOC!$B$1:$B$420,$U29,_CALC_ALLOC!$D$1:$D$420,$W29,_CALC_ALLOC!$E$1:$E$420,$X29,_CALC_ALLOC!$F$1:$F$420,$Y29)</f>
        <v>0</v>
      </c>
      <c r="E29" s="31">
        <f>SUMIFS(_CALC_ALLOC!$AI$1:$AI$420,_CALC_ALLOC!$AS$1:$AS$420,"2027|"&amp;$P$1,_CALC_ALLOC!$B$1:$B$420,$U29,_CALC_ALLOC!$D$1:$D$420,$W29,_CALC_ALLOC!$E$1:$E$420,$X29,_CALC_ALLOC!$F$1:$F$420,$Y29)</f>
        <v>0</v>
      </c>
      <c r="F29" s="31">
        <f>SUMIFS(_CALC_ALLOC!$AJ$1:$AJ$420,_CALC_ALLOC!$AS$1:$AS$420,"2027|"&amp;$P$1,_CALC_ALLOC!$B$1:$B$420,$U29,_CALC_ALLOC!$D$1:$D$420,$W29,_CALC_ALLOC!$E$1:$E$420,$X29,_CALC_ALLOC!$F$1:$F$420,$Y29)</f>
        <v>0</v>
      </c>
      <c r="G29" s="31">
        <f>SUMIFS(_CALC_ALLOC!$AK$1:$AK$420,_CALC_ALLOC!$AS$1:$AS$420,"2027|"&amp;$P$1,_CALC_ALLOC!$B$1:$B$420,$U29,_CALC_ALLOC!$D$1:$D$420,$W29,_CALC_ALLOC!$E$1:$E$420,$X29,_CALC_ALLOC!$F$1:$F$420,$Y29)</f>
        <v>0</v>
      </c>
      <c r="H29" s="31">
        <f>SUMIFS(_CALC_ALLOC!$AL$1:$AL$420,_CALC_ALLOC!$AS$1:$AS$420,"2027|"&amp;$P$1,_CALC_ALLOC!$B$1:$B$420,$U29,_CALC_ALLOC!$D$1:$D$420,$W29,_CALC_ALLOC!$E$1:$E$420,$X29,_CALC_ALLOC!$F$1:$F$420,$Y29)</f>
        <v>0</v>
      </c>
      <c r="I29" s="31">
        <f>SUMIFS(_CALC_ALLOC!$AR$1:$AR$420,_CALC_ALLOC!$AS$1:$AS$420,"2027|"&amp;$P$1,_CALC_ALLOC!$B$1:$B$420,$U29,_CALC_ALLOC!$D$1:$D$420,$W29,_CALC_ALLOC!$E$1:$E$420,$X29,_CALC_ALLOC!$F$1:$F$420,$Y29)</f>
        <v>0</v>
      </c>
      <c r="J29" s="31">
        <f>SUMIFS(_CALC_ALLOC!$AM$1:$AM$420,_CALC_ALLOC!$AS$1:$AS$420,"2027|"&amp;$P$1,_CALC_ALLOC!$B$1:$B$420,$U29,_CALC_ALLOC!$D$1:$D$420,$W29,_CALC_ALLOC!$E$1:$E$420,$X29,_CALC_ALLOC!$F$1:$F$420,$Y29)</f>
        <v>0</v>
      </c>
      <c r="K29" s="32">
        <f t="shared" si="0"/>
        <v>0</v>
      </c>
      <c r="L29" s="33">
        <f>SUMIFS(_CALC_ALLOC!$AN$1:$AN$420,_CALC_ALLOC!$AS$1:$AS$420,"2027|"&amp;$P$1,_CALC_ALLOC!$B$1:$B$420,$U29,_CALC_ALLOC!$D$1:$D$420,$W29,_CALC_ALLOC!$E$1:$E$420,$X29,_CALC_ALLOC!$F$1:$F$420,$Y29)</f>
        <v>0</v>
      </c>
      <c r="M29" s="34">
        <f t="shared" si="1"/>
        <v>0</v>
      </c>
      <c r="T29" t="inlineStr">
        <is>
          <t>MBWAY_LYO|MAS_MGT|M1|ALT</t>
        </is>
      </c>
      <c r="U29" t="inlineStr">
        <is>
          <t>MBWAY_LYO</t>
        </is>
      </c>
      <c r="V29" t="inlineStr">
        <is>
          <t>MBWAY</t>
        </is>
      </c>
      <c r="W29" t="inlineStr">
        <is>
          <t>MAS_MGT</t>
        </is>
      </c>
      <c r="X29" t="inlineStr">
        <is>
          <t>M1</t>
        </is>
      </c>
      <c r="Y29" t="inlineStr">
        <is>
          <t>ALT</t>
        </is>
      </c>
      <c r="Z29">
        <v>3</v>
      </c>
      <c r="BF29" t="s">
        <v>122</v>
      </c>
      <c r="BG29" t="s">
        <v>123</v>
      </c>
      <c r="BH29" t="s">
        <v>124</v>
      </c>
      <c r="BI29" t="s">
        <v>125</v>
      </c>
      <c r="BJ29" t="s">
        <v>143</v>
      </c>
      <c r="BK29" t="s">
        <v>144</v>
      </c>
      <c r="BL29" t="s">
        <v>146</v>
      </c>
      <c r="BM29" t="s">
        <v>139</v>
      </c>
      <c r="BN29" t="s">
        <v>130</v>
      </c>
      <c r="BO29">
        <v>45</v>
      </c>
      <c r="BP29">
        <v>2</v>
      </c>
      <c r="BQ29">
        <v>331425</v>
      </c>
      <c r="BR29">
        <v>19281.5</v>
      </c>
      <c r="BS29">
        <v>44930.126499999998</v>
      </c>
      <c r="BT29">
        <v>27515.708164</v>
      </c>
      <c r="BU29">
        <v>121392.636</v>
      </c>
      <c r="BV29">
        <v>8229.0044710000002</v>
      </c>
      <c r="BW29">
        <v>42068.693780000001</v>
      </c>
      <c r="BX29">
        <v>50297.698251000002</v>
      </c>
      <c r="BY29">
        <v>46797.208164000003</v>
      </c>
      <c r="BZ29">
        <v>216620.46075100001</v>
      </c>
      <c r="CA29">
        <v>263417.66891499999</v>
      </c>
      <c r="CB29">
        <v>68007.331084999998</v>
      </c>
      <c r="CC29">
        <v>45</v>
      </c>
      <c r="CD29">
        <v>110180</v>
      </c>
      <c r="CE29">
        <v>256743.58</v>
      </c>
      <c r="CF29">
        <v>84556</v>
      </c>
      <c r="CG29">
        <v>20597</v>
      </c>
      <c r="CH29">
        <v>606963.18000000005</v>
      </c>
      <c r="CI29">
        <v>2639292</v>
      </c>
      <c r="CJ29">
        <v>499926</v>
      </c>
    </row>
    <row r="30" spans="2:88" x14ac:dyDescent="0.45" outlineLevel="2" hidden="1">
      <c r="B30" s="29" t="s">
        <v>92</v>
      </c>
      <c r="C30" s="30">
        <f>SUMIFS(_CALC_ALLOC!$G$1:$G$420,_CALC_ALLOC!$AS$1:$AS$420,"2027|"&amp;$P$1,_CALC_ALLOC!$B$1:$B$420,$U30,_CALC_ALLOC!$D$1:$D$420,$W30,_CALC_ALLOC!$E$1:$E$420,$X30,_CALC_ALLOC!$F$1:$F$420,$Y30)</f>
        <v>0</v>
      </c>
      <c r="D30" s="31">
        <f>SUMIFS(_CALC_ALLOC!$I$1:$I$420,_CALC_ALLOC!$AS$1:$AS$420,"2027|"&amp;$P$1,_CALC_ALLOC!$B$1:$B$420,$U30,_CALC_ALLOC!$D$1:$D$420,$W30,_CALC_ALLOC!$E$1:$E$420,$X30,_CALC_ALLOC!$F$1:$F$420,$Y30)</f>
        <v>0</v>
      </c>
      <c r="E30" s="31">
        <f>SUMIFS(_CALC_ALLOC!$AI$1:$AI$420,_CALC_ALLOC!$AS$1:$AS$420,"2027|"&amp;$P$1,_CALC_ALLOC!$B$1:$B$420,$U30,_CALC_ALLOC!$D$1:$D$420,$W30,_CALC_ALLOC!$E$1:$E$420,$X30,_CALC_ALLOC!$F$1:$F$420,$Y30)</f>
        <v>0</v>
      </c>
      <c r="F30" s="31">
        <f>SUMIFS(_CALC_ALLOC!$AJ$1:$AJ$420,_CALC_ALLOC!$AS$1:$AS$420,"2027|"&amp;$P$1,_CALC_ALLOC!$B$1:$B$420,$U30,_CALC_ALLOC!$D$1:$D$420,$W30,_CALC_ALLOC!$E$1:$E$420,$X30,_CALC_ALLOC!$F$1:$F$420,$Y30)</f>
        <v>0</v>
      </c>
      <c r="G30" s="31">
        <f>SUMIFS(_CALC_ALLOC!$AK$1:$AK$420,_CALC_ALLOC!$AS$1:$AS$420,"2027|"&amp;$P$1,_CALC_ALLOC!$B$1:$B$420,$U30,_CALC_ALLOC!$D$1:$D$420,$W30,_CALC_ALLOC!$E$1:$E$420,$X30,_CALC_ALLOC!$F$1:$F$420,$Y30)</f>
        <v>0</v>
      </c>
      <c r="H30" s="31">
        <f>SUMIFS(_CALC_ALLOC!$AL$1:$AL$420,_CALC_ALLOC!$AS$1:$AS$420,"2027|"&amp;$P$1,_CALC_ALLOC!$B$1:$B$420,$U30,_CALC_ALLOC!$D$1:$D$420,$W30,_CALC_ALLOC!$E$1:$E$420,$X30,_CALC_ALLOC!$F$1:$F$420,$Y30)</f>
        <v>0</v>
      </c>
      <c r="I30" s="31">
        <f>SUMIFS(_CALC_ALLOC!$AR$1:$AR$420,_CALC_ALLOC!$AS$1:$AS$420,"2027|"&amp;$P$1,_CALC_ALLOC!$B$1:$B$420,$U30,_CALC_ALLOC!$D$1:$D$420,$W30,_CALC_ALLOC!$E$1:$E$420,$X30,_CALC_ALLOC!$F$1:$F$420,$Y30)</f>
        <v>0</v>
      </c>
      <c r="J30" s="31">
        <f>SUMIFS(_CALC_ALLOC!$AM$1:$AM$420,_CALC_ALLOC!$AS$1:$AS$420,"2027|"&amp;$P$1,_CALC_ALLOC!$B$1:$B$420,$U30,_CALC_ALLOC!$D$1:$D$420,$W30,_CALC_ALLOC!$E$1:$E$420,$X30,_CALC_ALLOC!$F$1:$F$420,$Y30)</f>
        <v>0</v>
      </c>
      <c r="K30" s="32">
        <f t="shared" si="0"/>
        <v>0</v>
      </c>
      <c r="L30" s="33">
        <f>SUMIFS(_CALC_ALLOC!$AN$1:$AN$420,_CALC_ALLOC!$AS$1:$AS$420,"2027|"&amp;$P$1,_CALC_ALLOC!$B$1:$B$420,$U30,_CALC_ALLOC!$D$1:$D$420,$W30,_CALC_ALLOC!$E$1:$E$420,$X30,_CALC_ALLOC!$F$1:$F$420,$Y30)</f>
        <v>0</v>
      </c>
      <c r="M30" s="34">
        <f t="shared" si="1"/>
        <v>0</v>
      </c>
      <c r="T30" t="inlineStr">
        <is>
          <t>MBWAY_LYO|MAS_MGT|M2|ALT</t>
        </is>
      </c>
      <c r="U30" t="inlineStr">
        <is>
          <t>MBWAY_LYO</t>
        </is>
      </c>
      <c r="V30" t="inlineStr">
        <is>
          <t>MBWAY</t>
        </is>
      </c>
      <c r="W30" t="inlineStr">
        <is>
          <t>MAS_MGT</t>
        </is>
      </c>
      <c r="X30" t="inlineStr">
        <is>
          <t>M2</t>
        </is>
      </c>
      <c r="Y30" t="inlineStr">
        <is>
          <t>ALT</t>
        </is>
      </c>
      <c r="Z30">
        <v>3</v>
      </c>
      <c r="BF30" t="s">
        <v>122</v>
      </c>
      <c r="BG30" t="s">
        <v>123</v>
      </c>
      <c r="BH30" t="s">
        <v>124</v>
      </c>
      <c r="BI30" t="s">
        <v>125</v>
      </c>
      <c r="BJ30" t="s">
        <v>143</v>
      </c>
      <c r="BK30" t="s">
        <v>144</v>
      </c>
      <c r="BL30" t="s">
        <v>146</v>
      </c>
      <c r="BM30" t="s">
        <v>140</v>
      </c>
      <c r="BN30" t="s">
        <v>130</v>
      </c>
      <c r="BO30">
        <v>44</v>
      </c>
      <c r="BP30">
        <v>2</v>
      </c>
      <c r="BQ30">
        <v>320100</v>
      </c>
      <c r="BR30">
        <v>19281.5</v>
      </c>
      <c r="BS30">
        <v>44930.126499999998</v>
      </c>
      <c r="BT30">
        <v>16834.676820000001</v>
      </c>
      <c r="BU30">
        <v>121392.636</v>
      </c>
      <c r="BV30">
        <v>8229.0044710000002</v>
      </c>
      <c r="BW30">
        <v>42068.693780000001</v>
      </c>
      <c r="BX30">
        <v>50297.698251000002</v>
      </c>
      <c r="BY30">
        <v>36116.176820000001</v>
      </c>
      <c r="BZ30">
        <v>216620.46075100001</v>
      </c>
      <c r="CA30">
        <v>252736.637571</v>
      </c>
      <c r="CB30">
        <v>67363.362429000001</v>
      </c>
      <c r="CC30">
        <v>0</v>
      </c>
      <c r="CD30">
        <v>110180</v>
      </c>
      <c r="CE30">
        <v>256743.58</v>
      </c>
      <c r="CF30">
        <v>84556</v>
      </c>
      <c r="CG30">
        <v>20597</v>
      </c>
      <c r="CH30">
        <v>606963.18000000005</v>
      </c>
      <c r="CI30">
        <v>2639292</v>
      </c>
      <c r="CJ30">
        <v>499926</v>
      </c>
    </row>
    <row r="31" spans="2:88" x14ac:dyDescent="0.45" outlineLevel="1">
      <c r="B31" s="24" t="s">
        <v>94</v>
      </c>
      <c r="C31" s="25">
        <f>SUMIFS(_CALC_ALLOC!$G$1:$G$420,_CALC_ALLOC!$AS$1:$AS$420,"2027|"&amp;$P$1,_CALC_ALLOC!$B$1:$B$420,$U31)</f>
        <v>0</v>
      </c>
      <c r="D31" s="26">
        <f>SUMIFS(_CALC_ALLOC!$I$1:$I$420,_CALC_ALLOC!$AS$1:$AS$420,"2027|"&amp;$P$1,_CALC_ALLOC!$B$1:$B$420,$U31)</f>
        <v>0</v>
      </c>
      <c r="E31" s="26">
        <f>SUMIFS(_CALC_ALLOC!$AI$1:$AI$420,_CALC_ALLOC!$AS$1:$AS$420,"2027|"&amp;$P$1,_CALC_ALLOC!$B$1:$B$420,$U31)</f>
        <v>0</v>
      </c>
      <c r="F31" s="26">
        <f>SUMIFS(_CALC_ALLOC!$AJ$1:$AJ$420,_CALC_ALLOC!$AS$1:$AS$420,"2027|"&amp;$P$1,_CALC_ALLOC!$B$1:$B$420,$U31)</f>
        <v>0</v>
      </c>
      <c r="G31" s="26">
        <f>SUMIFS(_CALC_ALLOC!$AK$1:$AK$420,_CALC_ALLOC!$AS$1:$AS$420,"2027|"&amp;$P$1,_CALC_ALLOC!$B$1:$B$420,$U31)</f>
        <v>0</v>
      </c>
      <c r="H31" s="26">
        <f>SUMIFS(_CALC_ALLOC!$AL$1:$AL$420,_CALC_ALLOC!$AS$1:$AS$420,"2027|"&amp;$P$1,_CALC_ALLOC!$B$1:$B$420,$U31)</f>
        <v>0</v>
      </c>
      <c r="I31" s="26">
        <f>SUMIFS(_CALC_ALLOC!$AR$1:$AR$420,_CALC_ALLOC!$AS$1:$AS$420,"2027|"&amp;$P$1,_CALC_ALLOC!$B$1:$B$420,$U31)</f>
        <v>0</v>
      </c>
      <c r="J31" s="26">
        <f>SUMIFS(_CALC_ALLOC!$AM$1:$AM$420,_CALC_ALLOC!$AS$1:$AS$420,"2027|"&amp;$P$1,_CALC_ALLOC!$B$1:$B$420,$U31)</f>
        <v>0</v>
      </c>
      <c r="K31" s="26">
        <f t="shared" si="0"/>
        <v>0</v>
      </c>
      <c r="L31" s="27">
        <f>SUMIFS(_CALC_ALLOC!$AN$1:$AN$420,_CALC_ALLOC!$AS$1:$AS$420,"2027|"&amp;$P$1,_CALC_ALLOC!$B$1:$B$420,$U31)</f>
        <v>0</v>
      </c>
      <c r="M31" s="28">
        <f t="shared" si="1"/>
        <v>0</v>
      </c>
      <c r="T31" t="inlineStr">
        <is>
          <t>MBWAY_NAN</t>
        </is>
      </c>
      <c r="U31" t="inlineStr">
        <is>
          <t>MBWAY_NAN</t>
        </is>
      </c>
      <c r="V31" t="inlineStr">
        <is>
          <t>MBWAY</t>
        </is>
      </c>
      <c r="Z31">
        <v>2</v>
      </c>
      <c r="BF31" t="s">
        <v>122</v>
      </c>
      <c r="BG31" t="s">
        <v>123</v>
      </c>
      <c r="BH31" t="s">
        <v>124</v>
      </c>
      <c r="BI31" t="s">
        <v>125</v>
      </c>
      <c r="BJ31" t="s">
        <v>147</v>
      </c>
      <c r="BK31" t="s">
        <v>144</v>
      </c>
      <c r="BL31" t="s">
        <v>145</v>
      </c>
      <c r="BM31" t="s">
        <v>129</v>
      </c>
      <c r="BN31" t="s">
        <v>137</v>
      </c>
      <c r="BO31">
        <v>59</v>
      </c>
      <c r="BP31">
        <v>3</v>
      </c>
      <c r="BQ31">
        <v>469935</v>
      </c>
      <c r="BR31">
        <v>41317.711335</v>
      </c>
      <c r="BS31">
        <v>106414.00712900001</v>
      </c>
      <c r="BT31">
        <v>39727.823799999998</v>
      </c>
      <c r="BU31">
        <v>201383.224001</v>
      </c>
      <c r="BV31">
        <v>12416.529116</v>
      </c>
      <c r="BW31">
        <v>63476.349178999997</v>
      </c>
      <c r="BX31">
        <v>75892.878295000002</v>
      </c>
      <c r="BY31">
        <v>81045.535134999998</v>
      </c>
      <c r="BZ31">
        <v>383690.10942499997</v>
      </c>
      <c r="CA31">
        <v>464735.64455999999</v>
      </c>
      <c r="CB31">
        <v>5199.3554400000003</v>
      </c>
      <c r="CC31">
        <v>59</v>
      </c>
      <c r="CD31">
        <v>143235</v>
      </c>
      <c r="CE31">
        <v>368902.58</v>
      </c>
      <c r="CF31">
        <v>110025</v>
      </c>
      <c r="CG31">
        <v>34532</v>
      </c>
      <c r="CH31">
        <v>872661.51</v>
      </c>
      <c r="CI31">
        <v>2639292</v>
      </c>
      <c r="CJ31">
        <v>499926</v>
      </c>
    </row>
    <row r="32" spans="2:88" x14ac:dyDescent="0.45" outlineLevel="2" hidden="1">
      <c r="B32" s="29" t="s">
        <v>88</v>
      </c>
      <c r="C32" s="30">
        <f>SUMIFS(_CALC_ALLOC!$G$1:$G$420,_CALC_ALLOC!$AS$1:$AS$420,"2027|"&amp;$P$1,_CALC_ALLOC!$B$1:$B$420,$U32,_CALC_ALLOC!$D$1:$D$420,$W32,_CALC_ALLOC!$E$1:$E$420,$X32,_CALC_ALLOC!$F$1:$F$420,$Y32)</f>
        <v>0</v>
      </c>
      <c r="D32" s="31">
        <f>SUMIFS(_CALC_ALLOC!$I$1:$I$420,_CALC_ALLOC!$AS$1:$AS$420,"2027|"&amp;$P$1,_CALC_ALLOC!$B$1:$B$420,$U32,_CALC_ALLOC!$D$1:$D$420,$W32,_CALC_ALLOC!$E$1:$E$420,$X32,_CALC_ALLOC!$F$1:$F$420,$Y32)</f>
        <v>0</v>
      </c>
      <c r="E32" s="31">
        <f>SUMIFS(_CALC_ALLOC!$AI$1:$AI$420,_CALC_ALLOC!$AS$1:$AS$420,"2027|"&amp;$P$1,_CALC_ALLOC!$B$1:$B$420,$U32,_CALC_ALLOC!$D$1:$D$420,$W32,_CALC_ALLOC!$E$1:$E$420,$X32,_CALC_ALLOC!$F$1:$F$420,$Y32)</f>
        <v>0</v>
      </c>
      <c r="F32" s="31">
        <f>SUMIFS(_CALC_ALLOC!$AJ$1:$AJ$420,_CALC_ALLOC!$AS$1:$AS$420,"2027|"&amp;$P$1,_CALC_ALLOC!$B$1:$B$420,$U32,_CALC_ALLOC!$D$1:$D$420,$W32,_CALC_ALLOC!$E$1:$E$420,$X32,_CALC_ALLOC!$F$1:$F$420,$Y32)</f>
        <v>0</v>
      </c>
      <c r="G32" s="31">
        <f>SUMIFS(_CALC_ALLOC!$AK$1:$AK$420,_CALC_ALLOC!$AS$1:$AS$420,"2027|"&amp;$P$1,_CALC_ALLOC!$B$1:$B$420,$U32,_CALC_ALLOC!$D$1:$D$420,$W32,_CALC_ALLOC!$E$1:$E$420,$X32,_CALC_ALLOC!$F$1:$F$420,$Y32)</f>
        <v>0</v>
      </c>
      <c r="H32" s="31">
        <f>SUMIFS(_CALC_ALLOC!$AL$1:$AL$420,_CALC_ALLOC!$AS$1:$AS$420,"2027|"&amp;$P$1,_CALC_ALLOC!$B$1:$B$420,$U32,_CALC_ALLOC!$D$1:$D$420,$W32,_CALC_ALLOC!$E$1:$E$420,$X32,_CALC_ALLOC!$F$1:$F$420,$Y32)</f>
        <v>0</v>
      </c>
      <c r="I32" s="31">
        <f>SUMIFS(_CALC_ALLOC!$AR$1:$AR$420,_CALC_ALLOC!$AS$1:$AS$420,"2027|"&amp;$P$1,_CALC_ALLOC!$B$1:$B$420,$U32,_CALC_ALLOC!$D$1:$D$420,$W32,_CALC_ALLOC!$E$1:$E$420,$X32,_CALC_ALLOC!$F$1:$F$420,$Y32)</f>
        <v>0</v>
      </c>
      <c r="J32" s="31">
        <f>SUMIFS(_CALC_ALLOC!$AM$1:$AM$420,_CALC_ALLOC!$AS$1:$AS$420,"2027|"&amp;$P$1,_CALC_ALLOC!$B$1:$B$420,$U32,_CALC_ALLOC!$D$1:$D$420,$W32,_CALC_ALLOC!$E$1:$E$420,$X32,_CALC_ALLOC!$F$1:$F$420,$Y32)</f>
        <v>0</v>
      </c>
      <c r="K32" s="32">
        <f t="shared" si="0"/>
        <v>0</v>
      </c>
      <c r="L32" s="33">
        <f>SUMIFS(_CALC_ALLOC!$AN$1:$AN$420,_CALC_ALLOC!$AS$1:$AS$420,"2027|"&amp;$P$1,_CALC_ALLOC!$B$1:$B$420,$U32,_CALC_ALLOC!$D$1:$D$420,$W32,_CALC_ALLOC!$E$1:$E$420,$X32,_CALC_ALLOC!$F$1:$F$420,$Y32)</f>
        <v>0</v>
      </c>
      <c r="M32" s="34">
        <f t="shared" si="1"/>
        <v>0</v>
      </c>
      <c r="T32" t="inlineStr">
        <is>
          <t>MBWAY_NAN|BAC_MGT|B1|INIT</t>
        </is>
      </c>
      <c r="U32" t="inlineStr">
        <is>
          <t>MBWAY_NAN</t>
        </is>
      </c>
      <c r="V32" t="inlineStr">
        <is>
          <t>MBWAY</t>
        </is>
      </c>
      <c r="W32" t="inlineStr">
        <is>
          <t>BAC_MGT</t>
        </is>
      </c>
      <c r="X32" t="inlineStr">
        <is>
          <t>B1</t>
        </is>
      </c>
      <c r="Y32" t="inlineStr">
        <is>
          <t>INIT</t>
        </is>
      </c>
      <c r="Z32">
        <v>3</v>
      </c>
      <c r="BF32" t="s">
        <v>122</v>
      </c>
      <c r="BG32" t="s">
        <v>123</v>
      </c>
      <c r="BH32" t="s">
        <v>124</v>
      </c>
      <c r="BI32" t="s">
        <v>125</v>
      </c>
      <c r="BJ32" t="s">
        <v>147</v>
      </c>
      <c r="BK32" t="s">
        <v>144</v>
      </c>
      <c r="BL32" t="s">
        <v>145</v>
      </c>
      <c r="BM32" t="s">
        <v>131</v>
      </c>
      <c r="BN32" t="s">
        <v>130</v>
      </c>
      <c r="BO32">
        <v>57</v>
      </c>
      <c r="BP32">
        <v>2</v>
      </c>
      <c r="BQ32">
        <v>418950</v>
      </c>
      <c r="BR32">
        <v>22036.131809999999</v>
      </c>
      <c r="BS32">
        <v>56754.186323000002</v>
      </c>
      <c r="BT32">
        <v>21700.340775000001</v>
      </c>
      <c r="BU32">
        <v>134255.482667</v>
      </c>
      <c r="BV32">
        <v>8277.6860770000003</v>
      </c>
      <c r="BW32">
        <v>42317.566119000003</v>
      </c>
      <c r="BX32">
        <v>50595.252196000001</v>
      </c>
      <c r="BY32">
        <v>43736.472585000003</v>
      </c>
      <c r="BZ32">
        <v>241604.92118599999</v>
      </c>
      <c r="CA32">
        <v>285341.39377099997</v>
      </c>
      <c r="CB32">
        <v>133608.606229</v>
      </c>
      <c r="CC32">
        <v>0</v>
      </c>
      <c r="CD32">
        <v>143235</v>
      </c>
      <c r="CE32">
        <v>368902.58</v>
      </c>
      <c r="CF32">
        <v>110025</v>
      </c>
      <c r="CG32">
        <v>34532</v>
      </c>
      <c r="CH32">
        <v>872661.51</v>
      </c>
      <c r="CI32">
        <v>2639292</v>
      </c>
      <c r="CJ32">
        <v>499926</v>
      </c>
    </row>
    <row r="33" spans="2:88" x14ac:dyDescent="0.45" outlineLevel="2" hidden="1">
      <c r="B33" s="29" t="s">
        <v>89</v>
      </c>
      <c r="C33" s="30">
        <f>SUMIFS(_CALC_ALLOC!$G$1:$G$420,_CALC_ALLOC!$AS$1:$AS$420,"2027|"&amp;$P$1,_CALC_ALLOC!$B$1:$B$420,$U33,_CALC_ALLOC!$D$1:$D$420,$W33,_CALC_ALLOC!$E$1:$E$420,$X33,_CALC_ALLOC!$F$1:$F$420,$Y33)</f>
        <v>0</v>
      </c>
      <c r="D33" s="31">
        <f>SUMIFS(_CALC_ALLOC!$I$1:$I$420,_CALC_ALLOC!$AS$1:$AS$420,"2027|"&amp;$P$1,_CALC_ALLOC!$B$1:$B$420,$U33,_CALC_ALLOC!$D$1:$D$420,$W33,_CALC_ALLOC!$E$1:$E$420,$X33,_CALC_ALLOC!$F$1:$F$420,$Y33)</f>
        <v>0</v>
      </c>
      <c r="E33" s="31">
        <f>SUMIFS(_CALC_ALLOC!$AI$1:$AI$420,_CALC_ALLOC!$AS$1:$AS$420,"2027|"&amp;$P$1,_CALC_ALLOC!$B$1:$B$420,$U33,_CALC_ALLOC!$D$1:$D$420,$W33,_CALC_ALLOC!$E$1:$E$420,$X33,_CALC_ALLOC!$F$1:$F$420,$Y33)</f>
        <v>0</v>
      </c>
      <c r="F33" s="31">
        <f>SUMIFS(_CALC_ALLOC!$AJ$1:$AJ$420,_CALC_ALLOC!$AS$1:$AS$420,"2027|"&amp;$P$1,_CALC_ALLOC!$B$1:$B$420,$U33,_CALC_ALLOC!$D$1:$D$420,$W33,_CALC_ALLOC!$E$1:$E$420,$X33,_CALC_ALLOC!$F$1:$F$420,$Y33)</f>
        <v>0</v>
      </c>
      <c r="G33" s="31">
        <f>SUMIFS(_CALC_ALLOC!$AK$1:$AK$420,_CALC_ALLOC!$AS$1:$AS$420,"2027|"&amp;$P$1,_CALC_ALLOC!$B$1:$B$420,$U33,_CALC_ALLOC!$D$1:$D$420,$W33,_CALC_ALLOC!$E$1:$E$420,$X33,_CALC_ALLOC!$F$1:$F$420,$Y33)</f>
        <v>0</v>
      </c>
      <c r="H33" s="31">
        <f>SUMIFS(_CALC_ALLOC!$AL$1:$AL$420,_CALC_ALLOC!$AS$1:$AS$420,"2027|"&amp;$P$1,_CALC_ALLOC!$B$1:$B$420,$U33,_CALC_ALLOC!$D$1:$D$420,$W33,_CALC_ALLOC!$E$1:$E$420,$X33,_CALC_ALLOC!$F$1:$F$420,$Y33)</f>
        <v>0</v>
      </c>
      <c r="I33" s="31">
        <f>SUMIFS(_CALC_ALLOC!$AR$1:$AR$420,_CALC_ALLOC!$AS$1:$AS$420,"2027|"&amp;$P$1,_CALC_ALLOC!$B$1:$B$420,$U33,_CALC_ALLOC!$D$1:$D$420,$W33,_CALC_ALLOC!$E$1:$E$420,$X33,_CALC_ALLOC!$F$1:$F$420,$Y33)</f>
        <v>0</v>
      </c>
      <c r="J33" s="31">
        <f>SUMIFS(_CALC_ALLOC!$AM$1:$AM$420,_CALC_ALLOC!$AS$1:$AS$420,"2027|"&amp;$P$1,_CALC_ALLOC!$B$1:$B$420,$U33,_CALC_ALLOC!$D$1:$D$420,$W33,_CALC_ALLOC!$E$1:$E$420,$X33,_CALC_ALLOC!$F$1:$F$420,$Y33)</f>
        <v>0</v>
      </c>
      <c r="K33" s="32">
        <f t="shared" si="0"/>
        <v>0</v>
      </c>
      <c r="L33" s="33">
        <f>SUMIFS(_CALC_ALLOC!$AN$1:$AN$420,_CALC_ALLOC!$AS$1:$AS$420,"2027|"&amp;$P$1,_CALC_ALLOC!$B$1:$B$420,$U33,_CALC_ALLOC!$D$1:$D$420,$W33,_CALC_ALLOC!$E$1:$E$420,$X33,_CALC_ALLOC!$F$1:$F$420,$Y33)</f>
        <v>0</v>
      </c>
      <c r="M33" s="34">
        <f t="shared" si="1"/>
        <v>0</v>
      </c>
      <c r="T33" t="inlineStr">
        <is>
          <t>MBWAY_NAN|BAC_MGT|B2|ALT</t>
        </is>
      </c>
      <c r="U33" t="inlineStr">
        <is>
          <t>MBWAY_NAN</t>
        </is>
      </c>
      <c r="V33" t="inlineStr">
        <is>
          <t>MBWAY</t>
        </is>
      </c>
      <c r="W33" t="inlineStr">
        <is>
          <t>BAC_MGT</t>
        </is>
      </c>
      <c r="X33" t="inlineStr">
        <is>
          <t>B2</t>
        </is>
      </c>
      <c r="Y33" t="inlineStr">
        <is>
          <t>ALT</t>
        </is>
      </c>
      <c r="Z33">
        <v>3</v>
      </c>
      <c r="BF33" t="s">
        <v>122</v>
      </c>
      <c r="BG33" t="s">
        <v>123</v>
      </c>
      <c r="BH33" t="s">
        <v>124</v>
      </c>
      <c r="BI33" t="s">
        <v>125</v>
      </c>
      <c r="BJ33" t="s">
        <v>147</v>
      </c>
      <c r="BK33" t="s">
        <v>144</v>
      </c>
      <c r="BL33" t="s">
        <v>145</v>
      </c>
      <c r="BM33" t="s">
        <v>132</v>
      </c>
      <c r="BN33" t="s">
        <v>130</v>
      </c>
      <c r="BO33">
        <v>56</v>
      </c>
      <c r="BP33">
        <v>2</v>
      </c>
      <c r="BQ33">
        <v>411600</v>
      </c>
      <c r="BR33">
        <v>22036.131809999999</v>
      </c>
      <c r="BS33">
        <v>56754.186323000002</v>
      </c>
      <c r="BT33">
        <v>21319.654275000001</v>
      </c>
      <c r="BU33">
        <v>134255.482667</v>
      </c>
      <c r="BV33">
        <v>8277.6860770000003</v>
      </c>
      <c r="BW33">
        <v>42317.566119000003</v>
      </c>
      <c r="BX33">
        <v>50595.252196000001</v>
      </c>
      <c r="BY33">
        <v>43355.786085</v>
      </c>
      <c r="BZ33">
        <v>241604.92118599999</v>
      </c>
      <c r="CA33">
        <v>284960.70727100002</v>
      </c>
      <c r="CB33">
        <v>126639.29272899999</v>
      </c>
      <c r="CC33">
        <v>0</v>
      </c>
      <c r="CD33">
        <v>143235</v>
      </c>
      <c r="CE33">
        <v>368902.58</v>
      </c>
      <c r="CF33">
        <v>110025</v>
      </c>
      <c r="CG33">
        <v>34532</v>
      </c>
      <c r="CH33">
        <v>872661.51</v>
      </c>
      <c r="CI33">
        <v>2639292</v>
      </c>
      <c r="CJ33">
        <v>499926</v>
      </c>
    </row>
    <row r="34" spans="2:88" x14ac:dyDescent="0.45" outlineLevel="2" hidden="1">
      <c r="B34" s="29" t="s">
        <v>90</v>
      </c>
      <c r="C34" s="30">
        <f>SUMIFS(_CALC_ALLOC!$G$1:$G$420,_CALC_ALLOC!$AS$1:$AS$420,"2027|"&amp;$P$1,_CALC_ALLOC!$B$1:$B$420,$U34,_CALC_ALLOC!$D$1:$D$420,$W34,_CALC_ALLOC!$E$1:$E$420,$X34,_CALC_ALLOC!$F$1:$F$420,$Y34)</f>
        <v>0</v>
      </c>
      <c r="D34" s="31">
        <f>SUMIFS(_CALC_ALLOC!$I$1:$I$420,_CALC_ALLOC!$AS$1:$AS$420,"2027|"&amp;$P$1,_CALC_ALLOC!$B$1:$B$420,$U34,_CALC_ALLOC!$D$1:$D$420,$W34,_CALC_ALLOC!$E$1:$E$420,$X34,_CALC_ALLOC!$F$1:$F$420,$Y34)</f>
        <v>0</v>
      </c>
      <c r="E34" s="31">
        <f>SUMIFS(_CALC_ALLOC!$AI$1:$AI$420,_CALC_ALLOC!$AS$1:$AS$420,"2027|"&amp;$P$1,_CALC_ALLOC!$B$1:$B$420,$U34,_CALC_ALLOC!$D$1:$D$420,$W34,_CALC_ALLOC!$E$1:$E$420,$X34,_CALC_ALLOC!$F$1:$F$420,$Y34)</f>
        <v>0</v>
      </c>
      <c r="F34" s="31">
        <f>SUMIFS(_CALC_ALLOC!$AJ$1:$AJ$420,_CALC_ALLOC!$AS$1:$AS$420,"2027|"&amp;$P$1,_CALC_ALLOC!$B$1:$B$420,$U34,_CALC_ALLOC!$D$1:$D$420,$W34,_CALC_ALLOC!$E$1:$E$420,$X34,_CALC_ALLOC!$F$1:$F$420,$Y34)</f>
        <v>0</v>
      </c>
      <c r="G34" s="31">
        <f>SUMIFS(_CALC_ALLOC!$AK$1:$AK$420,_CALC_ALLOC!$AS$1:$AS$420,"2027|"&amp;$P$1,_CALC_ALLOC!$B$1:$B$420,$U34,_CALC_ALLOC!$D$1:$D$420,$W34,_CALC_ALLOC!$E$1:$E$420,$X34,_CALC_ALLOC!$F$1:$F$420,$Y34)</f>
        <v>0</v>
      </c>
      <c r="H34" s="31">
        <f>SUMIFS(_CALC_ALLOC!$AL$1:$AL$420,_CALC_ALLOC!$AS$1:$AS$420,"2027|"&amp;$P$1,_CALC_ALLOC!$B$1:$B$420,$U34,_CALC_ALLOC!$D$1:$D$420,$W34,_CALC_ALLOC!$E$1:$E$420,$X34,_CALC_ALLOC!$F$1:$F$420,$Y34)</f>
        <v>0</v>
      </c>
      <c r="I34" s="31">
        <f>SUMIFS(_CALC_ALLOC!$AR$1:$AR$420,_CALC_ALLOC!$AS$1:$AS$420,"2027|"&amp;$P$1,_CALC_ALLOC!$B$1:$B$420,$U34,_CALC_ALLOC!$D$1:$D$420,$W34,_CALC_ALLOC!$E$1:$E$420,$X34,_CALC_ALLOC!$F$1:$F$420,$Y34)</f>
        <v>0</v>
      </c>
      <c r="J34" s="31">
        <f>SUMIFS(_CALC_ALLOC!$AM$1:$AM$420,_CALC_ALLOC!$AS$1:$AS$420,"2027|"&amp;$P$1,_CALC_ALLOC!$B$1:$B$420,$U34,_CALC_ALLOC!$D$1:$D$420,$W34,_CALC_ALLOC!$E$1:$E$420,$X34,_CALC_ALLOC!$F$1:$F$420,$Y34)</f>
        <v>0</v>
      </c>
      <c r="K34" s="32">
        <f t="shared" si="0"/>
        <v>0</v>
      </c>
      <c r="L34" s="33">
        <f>SUMIFS(_CALC_ALLOC!$AN$1:$AN$420,_CALC_ALLOC!$AS$1:$AS$420,"2027|"&amp;$P$1,_CALC_ALLOC!$B$1:$B$420,$U34,_CALC_ALLOC!$D$1:$D$420,$W34,_CALC_ALLOC!$E$1:$E$420,$X34,_CALC_ALLOC!$F$1:$F$420,$Y34)</f>
        <v>0</v>
      </c>
      <c r="M34" s="34">
        <f t="shared" si="1"/>
        <v>0</v>
      </c>
      <c r="T34" t="inlineStr">
        <is>
          <t>MBWAY_NAN|BAC_MGT|B3|ALT</t>
        </is>
      </c>
      <c r="U34" t="inlineStr">
        <is>
          <t>MBWAY_NAN</t>
        </is>
      </c>
      <c r="V34" t="inlineStr">
        <is>
          <t>MBWAY</t>
        </is>
      </c>
      <c r="W34" t="inlineStr">
        <is>
          <t>BAC_MGT</t>
        </is>
      </c>
      <c r="X34" t="inlineStr">
        <is>
          <t>B3</t>
        </is>
      </c>
      <c r="Y34" t="inlineStr">
        <is>
          <t>ALT</t>
        </is>
      </c>
      <c r="Z34">
        <v>3</v>
      </c>
      <c r="BF34" t="s">
        <v>122</v>
      </c>
      <c r="BG34" t="s">
        <v>123</v>
      </c>
      <c r="BH34" t="s">
        <v>124</v>
      </c>
      <c r="BI34" t="s">
        <v>125</v>
      </c>
      <c r="BJ34" t="s">
        <v>147</v>
      </c>
      <c r="BK34" t="s">
        <v>144</v>
      </c>
      <c r="BL34" t="s">
        <v>146</v>
      </c>
      <c r="BM34" t="s">
        <v>139</v>
      </c>
      <c r="BN34" t="s">
        <v>130</v>
      </c>
      <c r="BO34">
        <v>59</v>
      </c>
      <c r="BP34">
        <v>3</v>
      </c>
      <c r="BQ34">
        <v>469935</v>
      </c>
      <c r="BR34">
        <v>28922.440904999999</v>
      </c>
      <c r="BS34">
        <v>74489.915661000006</v>
      </c>
      <c r="BT34">
        <v>39727.823799999998</v>
      </c>
      <c r="BU34">
        <v>201383.224001</v>
      </c>
      <c r="BV34">
        <v>12416.529116</v>
      </c>
      <c r="BW34">
        <v>63476.349178999997</v>
      </c>
      <c r="BX34">
        <v>75892.878295000002</v>
      </c>
      <c r="BY34">
        <v>68650.264704999994</v>
      </c>
      <c r="BZ34">
        <v>351766.017957</v>
      </c>
      <c r="CA34">
        <v>420416.28266199998</v>
      </c>
      <c r="CB34">
        <v>49518.717338000002</v>
      </c>
      <c r="CC34">
        <v>59</v>
      </c>
      <c r="CD34">
        <v>143235</v>
      </c>
      <c r="CE34">
        <v>368902.58</v>
      </c>
      <c r="CF34">
        <v>110025</v>
      </c>
      <c r="CG34">
        <v>34532</v>
      </c>
      <c r="CH34">
        <v>872661.51</v>
      </c>
      <c r="CI34">
        <v>2639292</v>
      </c>
      <c r="CJ34">
        <v>499926</v>
      </c>
    </row>
    <row r="35" spans="2:88" x14ac:dyDescent="0.45" outlineLevel="2" hidden="1">
      <c r="B35" s="29" t="s">
        <v>91</v>
      </c>
      <c r="C35" s="30">
        <f>SUMIFS(_CALC_ALLOC!$G$1:$G$420,_CALC_ALLOC!$AS$1:$AS$420,"2027|"&amp;$P$1,_CALC_ALLOC!$B$1:$B$420,$U35,_CALC_ALLOC!$D$1:$D$420,$W35,_CALC_ALLOC!$E$1:$E$420,$X35,_CALC_ALLOC!$F$1:$F$420,$Y35)</f>
        <v>0</v>
      </c>
      <c r="D35" s="31">
        <f>SUMIFS(_CALC_ALLOC!$I$1:$I$420,_CALC_ALLOC!$AS$1:$AS$420,"2027|"&amp;$P$1,_CALC_ALLOC!$B$1:$B$420,$U35,_CALC_ALLOC!$D$1:$D$420,$W35,_CALC_ALLOC!$E$1:$E$420,$X35,_CALC_ALLOC!$F$1:$F$420,$Y35)</f>
        <v>0</v>
      </c>
      <c r="E35" s="31">
        <f>SUMIFS(_CALC_ALLOC!$AI$1:$AI$420,_CALC_ALLOC!$AS$1:$AS$420,"2027|"&amp;$P$1,_CALC_ALLOC!$B$1:$B$420,$U35,_CALC_ALLOC!$D$1:$D$420,$W35,_CALC_ALLOC!$E$1:$E$420,$X35,_CALC_ALLOC!$F$1:$F$420,$Y35)</f>
        <v>0</v>
      </c>
      <c r="F35" s="31">
        <f>SUMIFS(_CALC_ALLOC!$AJ$1:$AJ$420,_CALC_ALLOC!$AS$1:$AS$420,"2027|"&amp;$P$1,_CALC_ALLOC!$B$1:$B$420,$U35,_CALC_ALLOC!$D$1:$D$420,$W35,_CALC_ALLOC!$E$1:$E$420,$X35,_CALC_ALLOC!$F$1:$F$420,$Y35)</f>
        <v>0</v>
      </c>
      <c r="G35" s="31">
        <f>SUMIFS(_CALC_ALLOC!$AK$1:$AK$420,_CALC_ALLOC!$AS$1:$AS$420,"2027|"&amp;$P$1,_CALC_ALLOC!$B$1:$B$420,$U35,_CALC_ALLOC!$D$1:$D$420,$W35,_CALC_ALLOC!$E$1:$E$420,$X35,_CALC_ALLOC!$F$1:$F$420,$Y35)</f>
        <v>0</v>
      </c>
      <c r="H35" s="31">
        <f>SUMIFS(_CALC_ALLOC!$AL$1:$AL$420,_CALC_ALLOC!$AS$1:$AS$420,"2027|"&amp;$P$1,_CALC_ALLOC!$B$1:$B$420,$U35,_CALC_ALLOC!$D$1:$D$420,$W35,_CALC_ALLOC!$E$1:$E$420,$X35,_CALC_ALLOC!$F$1:$F$420,$Y35)</f>
        <v>0</v>
      </c>
      <c r="I35" s="31">
        <f>SUMIFS(_CALC_ALLOC!$AR$1:$AR$420,_CALC_ALLOC!$AS$1:$AS$420,"2027|"&amp;$P$1,_CALC_ALLOC!$B$1:$B$420,$U35,_CALC_ALLOC!$D$1:$D$420,$W35,_CALC_ALLOC!$E$1:$E$420,$X35,_CALC_ALLOC!$F$1:$F$420,$Y35)</f>
        <v>0</v>
      </c>
      <c r="J35" s="31">
        <f>SUMIFS(_CALC_ALLOC!$AM$1:$AM$420,_CALC_ALLOC!$AS$1:$AS$420,"2027|"&amp;$P$1,_CALC_ALLOC!$B$1:$B$420,$U35,_CALC_ALLOC!$D$1:$D$420,$W35,_CALC_ALLOC!$E$1:$E$420,$X35,_CALC_ALLOC!$F$1:$F$420,$Y35)</f>
        <v>0</v>
      </c>
      <c r="K35" s="32">
        <f t="shared" si="0"/>
        <v>0</v>
      </c>
      <c r="L35" s="33">
        <f>SUMIFS(_CALC_ALLOC!$AN$1:$AN$420,_CALC_ALLOC!$AS$1:$AS$420,"2027|"&amp;$P$1,_CALC_ALLOC!$B$1:$B$420,$U35,_CALC_ALLOC!$D$1:$D$420,$W35,_CALC_ALLOC!$E$1:$E$420,$X35,_CALC_ALLOC!$F$1:$F$420,$Y35)</f>
        <v>0</v>
      </c>
      <c r="M35" s="34">
        <f t="shared" si="1"/>
        <v>0</v>
      </c>
      <c r="T35" t="inlineStr">
        <is>
          <t>MBWAY_NAN|MAS_MGT|M1|ALT</t>
        </is>
      </c>
      <c r="U35" t="inlineStr">
        <is>
          <t>MBWAY_NAN</t>
        </is>
      </c>
      <c r="V35" t="inlineStr">
        <is>
          <t>MBWAY</t>
        </is>
      </c>
      <c r="W35" t="inlineStr">
        <is>
          <t>MAS_MGT</t>
        </is>
      </c>
      <c r="X35" t="inlineStr">
        <is>
          <t>M1</t>
        </is>
      </c>
      <c r="Y35" t="inlineStr">
        <is>
          <t>ALT</t>
        </is>
      </c>
      <c r="Z35">
        <v>3</v>
      </c>
      <c r="BF35" t="s">
        <v>122</v>
      </c>
      <c r="BG35" t="s">
        <v>123</v>
      </c>
      <c r="BH35" t="s">
        <v>124</v>
      </c>
      <c r="BI35" t="s">
        <v>125</v>
      </c>
      <c r="BJ35" t="s">
        <v>147</v>
      </c>
      <c r="BK35" t="s">
        <v>144</v>
      </c>
      <c r="BL35" t="s">
        <v>146</v>
      </c>
      <c r="BM35" t="s">
        <v>140</v>
      </c>
      <c r="BN35" t="s">
        <v>130</v>
      </c>
      <c r="BO35">
        <v>58</v>
      </c>
      <c r="BP35">
        <v>3</v>
      </c>
      <c r="BQ35">
        <v>456750</v>
      </c>
      <c r="BR35">
        <v>28922.440904999999</v>
      </c>
      <c r="BS35">
        <v>74489.915661000006</v>
      </c>
      <c r="BT35">
        <v>22081.137299999999</v>
      </c>
      <c r="BU35">
        <v>201383.224001</v>
      </c>
      <c r="BV35">
        <v>12416.529116</v>
      </c>
      <c r="BW35">
        <v>63476.349178999997</v>
      </c>
      <c r="BX35">
        <v>75892.878295000002</v>
      </c>
      <c r="BY35">
        <v>51003.578204999998</v>
      </c>
      <c r="BZ35">
        <v>351766.017957</v>
      </c>
      <c r="CA35">
        <v>402769.59616199997</v>
      </c>
      <c r="CB35">
        <v>53980.403837999998</v>
      </c>
      <c r="CC35">
        <v>0</v>
      </c>
      <c r="CD35">
        <v>143235</v>
      </c>
      <c r="CE35">
        <v>368902.58</v>
      </c>
      <c r="CF35">
        <v>110025</v>
      </c>
      <c r="CG35">
        <v>34532</v>
      </c>
      <c r="CH35">
        <v>872661.51</v>
      </c>
      <c r="CI35">
        <v>2639292</v>
      </c>
      <c r="CJ35">
        <v>499926</v>
      </c>
    </row>
    <row r="36" spans="2:88" x14ac:dyDescent="0.45" outlineLevel="2" hidden="1">
      <c r="B36" s="29" t="s">
        <v>92</v>
      </c>
      <c r="C36" s="30">
        <f>SUMIFS(_CALC_ALLOC!$G$1:$G$420,_CALC_ALLOC!$AS$1:$AS$420,"2027|"&amp;$P$1,_CALC_ALLOC!$B$1:$B$420,$U36,_CALC_ALLOC!$D$1:$D$420,$W36,_CALC_ALLOC!$E$1:$E$420,$X36,_CALC_ALLOC!$F$1:$F$420,$Y36)</f>
        <v>0</v>
      </c>
      <c r="D36" s="31">
        <f>SUMIFS(_CALC_ALLOC!$I$1:$I$420,_CALC_ALLOC!$AS$1:$AS$420,"2027|"&amp;$P$1,_CALC_ALLOC!$B$1:$B$420,$U36,_CALC_ALLOC!$D$1:$D$420,$W36,_CALC_ALLOC!$E$1:$E$420,$X36,_CALC_ALLOC!$F$1:$F$420,$Y36)</f>
        <v>0</v>
      </c>
      <c r="E36" s="31">
        <f>SUMIFS(_CALC_ALLOC!$AI$1:$AI$420,_CALC_ALLOC!$AS$1:$AS$420,"2027|"&amp;$P$1,_CALC_ALLOC!$B$1:$B$420,$U36,_CALC_ALLOC!$D$1:$D$420,$W36,_CALC_ALLOC!$E$1:$E$420,$X36,_CALC_ALLOC!$F$1:$F$420,$Y36)</f>
        <v>0</v>
      </c>
      <c r="F36" s="31">
        <f>SUMIFS(_CALC_ALLOC!$AJ$1:$AJ$420,_CALC_ALLOC!$AS$1:$AS$420,"2027|"&amp;$P$1,_CALC_ALLOC!$B$1:$B$420,$U36,_CALC_ALLOC!$D$1:$D$420,$W36,_CALC_ALLOC!$E$1:$E$420,$X36,_CALC_ALLOC!$F$1:$F$420,$Y36)</f>
        <v>0</v>
      </c>
      <c r="G36" s="31">
        <f>SUMIFS(_CALC_ALLOC!$AK$1:$AK$420,_CALC_ALLOC!$AS$1:$AS$420,"2027|"&amp;$P$1,_CALC_ALLOC!$B$1:$B$420,$U36,_CALC_ALLOC!$D$1:$D$420,$W36,_CALC_ALLOC!$E$1:$E$420,$X36,_CALC_ALLOC!$F$1:$F$420,$Y36)</f>
        <v>0</v>
      </c>
      <c r="H36" s="31">
        <f>SUMIFS(_CALC_ALLOC!$AL$1:$AL$420,_CALC_ALLOC!$AS$1:$AS$420,"2027|"&amp;$P$1,_CALC_ALLOC!$B$1:$B$420,$U36,_CALC_ALLOC!$D$1:$D$420,$W36,_CALC_ALLOC!$E$1:$E$420,$X36,_CALC_ALLOC!$F$1:$F$420,$Y36)</f>
        <v>0</v>
      </c>
      <c r="I36" s="31">
        <f>SUMIFS(_CALC_ALLOC!$AR$1:$AR$420,_CALC_ALLOC!$AS$1:$AS$420,"2027|"&amp;$P$1,_CALC_ALLOC!$B$1:$B$420,$U36,_CALC_ALLOC!$D$1:$D$420,$W36,_CALC_ALLOC!$E$1:$E$420,$X36,_CALC_ALLOC!$F$1:$F$420,$Y36)</f>
        <v>0</v>
      </c>
      <c r="J36" s="31">
        <f>SUMIFS(_CALC_ALLOC!$AM$1:$AM$420,_CALC_ALLOC!$AS$1:$AS$420,"2027|"&amp;$P$1,_CALC_ALLOC!$B$1:$B$420,$U36,_CALC_ALLOC!$D$1:$D$420,$W36,_CALC_ALLOC!$E$1:$E$420,$X36,_CALC_ALLOC!$F$1:$F$420,$Y36)</f>
        <v>0</v>
      </c>
      <c r="K36" s="32">
        <f t="shared" si="0"/>
        <v>0</v>
      </c>
      <c r="L36" s="33">
        <f>SUMIFS(_CALC_ALLOC!$AN$1:$AN$420,_CALC_ALLOC!$AS$1:$AS$420,"2027|"&amp;$P$1,_CALC_ALLOC!$B$1:$B$420,$U36,_CALC_ALLOC!$D$1:$D$420,$W36,_CALC_ALLOC!$E$1:$E$420,$X36,_CALC_ALLOC!$F$1:$F$420,$Y36)</f>
        <v>0</v>
      </c>
      <c r="M36" s="34">
        <f t="shared" si="1"/>
        <v>0</v>
      </c>
      <c r="T36" t="inlineStr">
        <is>
          <t>MBWAY_NAN|MAS_MGT|M2|ALT</t>
        </is>
      </c>
      <c r="U36" t="inlineStr">
        <is>
          <t>MBWAY_NAN</t>
        </is>
      </c>
      <c r="V36" t="inlineStr">
        <is>
          <t>MBWAY</t>
        </is>
      </c>
      <c r="W36" t="inlineStr">
        <is>
          <t>MAS_MGT</t>
        </is>
      </c>
      <c r="X36" t="inlineStr">
        <is>
          <t>M2</t>
        </is>
      </c>
      <c r="Y36" t="inlineStr">
        <is>
          <t>ALT</t>
        </is>
      </c>
      <c r="Z36">
        <v>3</v>
      </c>
      <c r="BF36" t="s">
        <v>122</v>
      </c>
      <c r="BG36" t="s">
        <v>123</v>
      </c>
      <c r="BH36" t="s">
        <v>124</v>
      </c>
      <c r="BI36" t="s">
        <v>125</v>
      </c>
      <c r="BJ36" t="s">
        <v>148</v>
      </c>
      <c r="BK36" t="s">
        <v>144</v>
      </c>
      <c r="BL36" t="s">
        <v>145</v>
      </c>
      <c r="BM36" t="s">
        <v>129</v>
      </c>
      <c r="BN36" t="s">
        <v>137</v>
      </c>
      <c r="BO36">
        <v>53</v>
      </c>
      <c r="BP36">
        <v>2</v>
      </c>
      <c r="BQ36">
        <v>402270</v>
      </c>
      <c r="BR36">
        <v>28130.937239999999</v>
      </c>
      <c r="BS36">
        <v>67425.875306000002</v>
      </c>
      <c r="BT36">
        <v>33226.026729999998</v>
      </c>
      <c r="BU36">
        <v>123506.22930599999</v>
      </c>
      <c r="BV36">
        <v>8129.6604500000003</v>
      </c>
      <c r="BW36">
        <v>41560.822723999998</v>
      </c>
      <c r="BX36">
        <v>49690.483174000001</v>
      </c>
      <c r="BY36">
        <v>61356.963969999997</v>
      </c>
      <c r="BZ36">
        <v>240622.58778599999</v>
      </c>
      <c r="CA36">
        <v>301979.55175599997</v>
      </c>
      <c r="CB36">
        <v>100290.448244</v>
      </c>
      <c r="CC36">
        <v>53</v>
      </c>
      <c r="CD36">
        <v>132216</v>
      </c>
      <c r="CE36">
        <v>316903.03999999998</v>
      </c>
      <c r="CF36">
        <v>99837</v>
      </c>
      <c r="CG36">
        <v>26060</v>
      </c>
      <c r="CH36">
        <v>741040.34</v>
      </c>
      <c r="CI36">
        <v>2639292</v>
      </c>
      <c r="CJ36">
        <v>499926</v>
      </c>
    </row>
    <row r="37" spans="2:88" x14ac:dyDescent="0.45" outlineLevel="1">
      <c r="B37" s="24" t="s">
        <v>95</v>
      </c>
      <c r="C37" s="25">
        <f>SUMIFS(_CALC_ALLOC!$G$1:$G$420,_CALC_ALLOC!$AS$1:$AS$420,"2027|"&amp;$P$1,_CALC_ALLOC!$B$1:$B$420,$U37)</f>
        <v>0</v>
      </c>
      <c r="D37" s="26">
        <f>SUMIFS(_CALC_ALLOC!$I$1:$I$420,_CALC_ALLOC!$AS$1:$AS$420,"2027|"&amp;$P$1,_CALC_ALLOC!$B$1:$B$420,$U37)</f>
        <v>0</v>
      </c>
      <c r="E37" s="26">
        <f>SUMIFS(_CALC_ALLOC!$AI$1:$AI$420,_CALC_ALLOC!$AS$1:$AS$420,"2027|"&amp;$P$1,_CALC_ALLOC!$B$1:$B$420,$U37)</f>
        <v>0</v>
      </c>
      <c r="F37" s="26">
        <f>SUMIFS(_CALC_ALLOC!$AJ$1:$AJ$420,_CALC_ALLOC!$AS$1:$AS$420,"2027|"&amp;$P$1,_CALC_ALLOC!$B$1:$B$420,$U37)</f>
        <v>0</v>
      </c>
      <c r="G37" s="26">
        <f>SUMIFS(_CALC_ALLOC!$AK$1:$AK$420,_CALC_ALLOC!$AS$1:$AS$420,"2027|"&amp;$P$1,_CALC_ALLOC!$B$1:$B$420,$U37)</f>
        <v>0</v>
      </c>
      <c r="H37" s="26">
        <f>SUMIFS(_CALC_ALLOC!$AL$1:$AL$420,_CALC_ALLOC!$AS$1:$AS$420,"2027|"&amp;$P$1,_CALC_ALLOC!$B$1:$B$420,$U37)</f>
        <v>0</v>
      </c>
      <c r="I37" s="26">
        <f>SUMIFS(_CALC_ALLOC!$AR$1:$AR$420,_CALC_ALLOC!$AS$1:$AS$420,"2027|"&amp;$P$1,_CALC_ALLOC!$B$1:$B$420,$U37)</f>
        <v>0</v>
      </c>
      <c r="J37" s="26">
        <f>SUMIFS(_CALC_ALLOC!$AM$1:$AM$420,_CALC_ALLOC!$AS$1:$AS$420,"2027|"&amp;$P$1,_CALC_ALLOC!$B$1:$B$420,$U37)</f>
        <v>0</v>
      </c>
      <c r="K37" s="26">
        <f t="shared" si="0"/>
        <v>0</v>
      </c>
      <c r="L37" s="27">
        <f>SUMIFS(_CALC_ALLOC!$AN$1:$AN$420,_CALC_ALLOC!$AS$1:$AS$420,"2027|"&amp;$P$1,_CALC_ALLOC!$B$1:$B$420,$U37)</f>
        <v>0</v>
      </c>
      <c r="M37" s="28">
        <f t="shared" si="1"/>
        <v>0</v>
      </c>
      <c r="T37" t="inlineStr">
        <is>
          <t>MBWAY_BOR</t>
        </is>
      </c>
      <c r="U37" t="inlineStr">
        <is>
          <t>MBWAY_BOR</t>
        </is>
      </c>
      <c r="V37" t="inlineStr">
        <is>
          <t>MBWAY</t>
        </is>
      </c>
      <c r="Z37">
        <v>2</v>
      </c>
      <c r="BF37" t="s">
        <v>122</v>
      </c>
      <c r="BG37" t="s">
        <v>123</v>
      </c>
      <c r="BH37" t="s">
        <v>124</v>
      </c>
      <c r="BI37" t="s">
        <v>125</v>
      </c>
      <c r="BJ37" t="s">
        <v>148</v>
      </c>
      <c r="BK37" t="s">
        <v>144</v>
      </c>
      <c r="BL37" t="s">
        <v>145</v>
      </c>
      <c r="BM37" t="s">
        <v>131</v>
      </c>
      <c r="BN37" t="s">
        <v>130</v>
      </c>
      <c r="BO37">
        <v>52</v>
      </c>
      <c r="BP37">
        <v>2</v>
      </c>
      <c r="BQ37">
        <v>364000</v>
      </c>
      <c r="BR37">
        <v>22504.749791999999</v>
      </c>
      <c r="BS37">
        <v>53940.700244</v>
      </c>
      <c r="BT37">
        <v>19814.948901</v>
      </c>
      <c r="BU37">
        <v>123506.22930599999</v>
      </c>
      <c r="BV37">
        <v>8129.6604500000003</v>
      </c>
      <c r="BW37">
        <v>41560.822723999998</v>
      </c>
      <c r="BX37">
        <v>49690.483174000001</v>
      </c>
      <c r="BY37">
        <v>42319.698692999998</v>
      </c>
      <c r="BZ37">
        <v>227137.41272399999</v>
      </c>
      <c r="CA37">
        <v>269457.11141700001</v>
      </c>
      <c r="CB37">
        <v>94542.888583000007</v>
      </c>
      <c r="CC37">
        <v>0</v>
      </c>
      <c r="CD37">
        <v>132216</v>
      </c>
      <c r="CE37">
        <v>316903.03999999998</v>
      </c>
      <c r="CF37">
        <v>99837</v>
      </c>
      <c r="CG37">
        <v>26060</v>
      </c>
      <c r="CH37">
        <v>741040.34</v>
      </c>
      <c r="CI37">
        <v>2639292</v>
      </c>
      <c r="CJ37">
        <v>499926</v>
      </c>
    </row>
    <row r="38" spans="2:88" x14ac:dyDescent="0.45" outlineLevel="2" hidden="1">
      <c r="B38" s="29" t="s">
        <v>88</v>
      </c>
      <c r="C38" s="30">
        <f>SUMIFS(_CALC_ALLOC!$G$1:$G$420,_CALC_ALLOC!$AS$1:$AS$420,"2027|"&amp;$P$1,_CALC_ALLOC!$B$1:$B$420,$U38,_CALC_ALLOC!$D$1:$D$420,$W38,_CALC_ALLOC!$E$1:$E$420,$X38,_CALC_ALLOC!$F$1:$F$420,$Y38)</f>
        <v>0</v>
      </c>
      <c r="D38" s="31">
        <f>SUMIFS(_CALC_ALLOC!$I$1:$I$420,_CALC_ALLOC!$AS$1:$AS$420,"2027|"&amp;$P$1,_CALC_ALLOC!$B$1:$B$420,$U38,_CALC_ALLOC!$D$1:$D$420,$W38,_CALC_ALLOC!$E$1:$E$420,$X38,_CALC_ALLOC!$F$1:$F$420,$Y38)</f>
        <v>0</v>
      </c>
      <c r="E38" s="31">
        <f>SUMIFS(_CALC_ALLOC!$AI$1:$AI$420,_CALC_ALLOC!$AS$1:$AS$420,"2027|"&amp;$P$1,_CALC_ALLOC!$B$1:$B$420,$U38,_CALC_ALLOC!$D$1:$D$420,$W38,_CALC_ALLOC!$E$1:$E$420,$X38,_CALC_ALLOC!$F$1:$F$420,$Y38)</f>
        <v>0</v>
      </c>
      <c r="F38" s="31">
        <f>SUMIFS(_CALC_ALLOC!$AJ$1:$AJ$420,_CALC_ALLOC!$AS$1:$AS$420,"2027|"&amp;$P$1,_CALC_ALLOC!$B$1:$B$420,$U38,_CALC_ALLOC!$D$1:$D$420,$W38,_CALC_ALLOC!$E$1:$E$420,$X38,_CALC_ALLOC!$F$1:$F$420,$Y38)</f>
        <v>0</v>
      </c>
      <c r="G38" s="31">
        <f>SUMIFS(_CALC_ALLOC!$AK$1:$AK$420,_CALC_ALLOC!$AS$1:$AS$420,"2027|"&amp;$P$1,_CALC_ALLOC!$B$1:$B$420,$U38,_CALC_ALLOC!$D$1:$D$420,$W38,_CALC_ALLOC!$E$1:$E$420,$X38,_CALC_ALLOC!$F$1:$F$420,$Y38)</f>
        <v>0</v>
      </c>
      <c r="H38" s="31">
        <f>SUMIFS(_CALC_ALLOC!$AL$1:$AL$420,_CALC_ALLOC!$AS$1:$AS$420,"2027|"&amp;$P$1,_CALC_ALLOC!$B$1:$B$420,$U38,_CALC_ALLOC!$D$1:$D$420,$W38,_CALC_ALLOC!$E$1:$E$420,$X38,_CALC_ALLOC!$F$1:$F$420,$Y38)</f>
        <v>0</v>
      </c>
      <c r="I38" s="31">
        <f>SUMIFS(_CALC_ALLOC!$AR$1:$AR$420,_CALC_ALLOC!$AS$1:$AS$420,"2027|"&amp;$P$1,_CALC_ALLOC!$B$1:$B$420,$U38,_CALC_ALLOC!$D$1:$D$420,$W38,_CALC_ALLOC!$E$1:$E$420,$X38,_CALC_ALLOC!$F$1:$F$420,$Y38)</f>
        <v>0</v>
      </c>
      <c r="J38" s="31">
        <f>SUMIFS(_CALC_ALLOC!$AM$1:$AM$420,_CALC_ALLOC!$AS$1:$AS$420,"2027|"&amp;$P$1,_CALC_ALLOC!$B$1:$B$420,$U38,_CALC_ALLOC!$D$1:$D$420,$W38,_CALC_ALLOC!$E$1:$E$420,$X38,_CALC_ALLOC!$F$1:$F$420,$Y38)</f>
        <v>0</v>
      </c>
      <c r="K38" s="32">
        <f t="shared" si="0"/>
        <v>0</v>
      </c>
      <c r="L38" s="33">
        <f>SUMIFS(_CALC_ALLOC!$AN$1:$AN$420,_CALC_ALLOC!$AS$1:$AS$420,"2027|"&amp;$P$1,_CALC_ALLOC!$B$1:$B$420,$U38,_CALC_ALLOC!$D$1:$D$420,$W38,_CALC_ALLOC!$E$1:$E$420,$X38,_CALC_ALLOC!$F$1:$F$420,$Y38)</f>
        <v>0</v>
      </c>
      <c r="M38" s="34">
        <f t="shared" si="1"/>
        <v>0</v>
      </c>
      <c r="T38" t="inlineStr">
        <is>
          <t>MBWAY_BOR|BAC_MGT|B1|INIT</t>
        </is>
      </c>
      <c r="U38" t="inlineStr">
        <is>
          <t>MBWAY_BOR</t>
        </is>
      </c>
      <c r="V38" t="inlineStr">
        <is>
          <t>MBWAY</t>
        </is>
      </c>
      <c r="W38" t="inlineStr">
        <is>
          <t>BAC_MGT</t>
        </is>
      </c>
      <c r="X38" t="inlineStr">
        <is>
          <t>B1</t>
        </is>
      </c>
      <c r="Y38" t="inlineStr">
        <is>
          <t>INIT</t>
        </is>
      </c>
      <c r="Z38">
        <v>3</v>
      </c>
      <c r="BF38" t="s">
        <v>122</v>
      </c>
      <c r="BG38" t="s">
        <v>123</v>
      </c>
      <c r="BH38" t="s">
        <v>124</v>
      </c>
      <c r="BI38" t="s">
        <v>125</v>
      </c>
      <c r="BJ38" t="s">
        <v>148</v>
      </c>
      <c r="BK38" t="s">
        <v>144</v>
      </c>
      <c r="BL38" t="s">
        <v>145</v>
      </c>
      <c r="BM38" t="s">
        <v>132</v>
      </c>
      <c r="BN38" t="s">
        <v>130</v>
      </c>
      <c r="BO38">
        <v>51</v>
      </c>
      <c r="BP38">
        <v>2</v>
      </c>
      <c r="BQ38">
        <v>357000</v>
      </c>
      <c r="BR38">
        <v>22504.749791999999</v>
      </c>
      <c r="BS38">
        <v>53940.700244</v>
      </c>
      <c r="BT38">
        <v>19433.871072000002</v>
      </c>
      <c r="BU38">
        <v>123506.22930599999</v>
      </c>
      <c r="BV38">
        <v>8129.6604500000003</v>
      </c>
      <c r="BW38">
        <v>41560.822723999998</v>
      </c>
      <c r="BX38">
        <v>49690.483174000001</v>
      </c>
      <c r="BY38">
        <v>41938.620863999997</v>
      </c>
      <c r="BZ38">
        <v>227137.41272399999</v>
      </c>
      <c r="CA38">
        <v>269076.03358799999</v>
      </c>
      <c r="CB38">
        <v>87923.966411999994</v>
      </c>
      <c r="CC38">
        <v>0</v>
      </c>
      <c r="CD38">
        <v>132216</v>
      </c>
      <c r="CE38">
        <v>316903.03999999998</v>
      </c>
      <c r="CF38">
        <v>99837</v>
      </c>
      <c r="CG38">
        <v>26060</v>
      </c>
      <c r="CH38">
        <v>741040.34</v>
      </c>
      <c r="CI38">
        <v>2639292</v>
      </c>
      <c r="CJ38">
        <v>499926</v>
      </c>
    </row>
    <row r="39" spans="2:88" x14ac:dyDescent="0.45" outlineLevel="2" hidden="1">
      <c r="B39" s="29" t="s">
        <v>89</v>
      </c>
      <c r="C39" s="30">
        <f>SUMIFS(_CALC_ALLOC!$G$1:$G$420,_CALC_ALLOC!$AS$1:$AS$420,"2027|"&amp;$P$1,_CALC_ALLOC!$B$1:$B$420,$U39,_CALC_ALLOC!$D$1:$D$420,$W39,_CALC_ALLOC!$E$1:$E$420,$X39,_CALC_ALLOC!$F$1:$F$420,$Y39)</f>
        <v>0</v>
      </c>
      <c r="D39" s="31">
        <f>SUMIFS(_CALC_ALLOC!$I$1:$I$420,_CALC_ALLOC!$AS$1:$AS$420,"2027|"&amp;$P$1,_CALC_ALLOC!$B$1:$B$420,$U39,_CALC_ALLOC!$D$1:$D$420,$W39,_CALC_ALLOC!$E$1:$E$420,$X39,_CALC_ALLOC!$F$1:$F$420,$Y39)</f>
        <v>0</v>
      </c>
      <c r="E39" s="31">
        <f>SUMIFS(_CALC_ALLOC!$AI$1:$AI$420,_CALC_ALLOC!$AS$1:$AS$420,"2027|"&amp;$P$1,_CALC_ALLOC!$B$1:$B$420,$U39,_CALC_ALLOC!$D$1:$D$420,$W39,_CALC_ALLOC!$E$1:$E$420,$X39,_CALC_ALLOC!$F$1:$F$420,$Y39)</f>
        <v>0</v>
      </c>
      <c r="F39" s="31">
        <f>SUMIFS(_CALC_ALLOC!$AJ$1:$AJ$420,_CALC_ALLOC!$AS$1:$AS$420,"2027|"&amp;$P$1,_CALC_ALLOC!$B$1:$B$420,$U39,_CALC_ALLOC!$D$1:$D$420,$W39,_CALC_ALLOC!$E$1:$E$420,$X39,_CALC_ALLOC!$F$1:$F$420,$Y39)</f>
        <v>0</v>
      </c>
      <c r="G39" s="31">
        <f>SUMIFS(_CALC_ALLOC!$AK$1:$AK$420,_CALC_ALLOC!$AS$1:$AS$420,"2027|"&amp;$P$1,_CALC_ALLOC!$B$1:$B$420,$U39,_CALC_ALLOC!$D$1:$D$420,$W39,_CALC_ALLOC!$E$1:$E$420,$X39,_CALC_ALLOC!$F$1:$F$420,$Y39)</f>
        <v>0</v>
      </c>
      <c r="H39" s="31">
        <f>SUMIFS(_CALC_ALLOC!$AL$1:$AL$420,_CALC_ALLOC!$AS$1:$AS$420,"2027|"&amp;$P$1,_CALC_ALLOC!$B$1:$B$420,$U39,_CALC_ALLOC!$D$1:$D$420,$W39,_CALC_ALLOC!$E$1:$E$420,$X39,_CALC_ALLOC!$F$1:$F$420,$Y39)</f>
        <v>0</v>
      </c>
      <c r="I39" s="31">
        <f>SUMIFS(_CALC_ALLOC!$AR$1:$AR$420,_CALC_ALLOC!$AS$1:$AS$420,"2027|"&amp;$P$1,_CALC_ALLOC!$B$1:$B$420,$U39,_CALC_ALLOC!$D$1:$D$420,$W39,_CALC_ALLOC!$E$1:$E$420,$X39,_CALC_ALLOC!$F$1:$F$420,$Y39)</f>
        <v>0</v>
      </c>
      <c r="J39" s="31">
        <f>SUMIFS(_CALC_ALLOC!$AM$1:$AM$420,_CALC_ALLOC!$AS$1:$AS$420,"2027|"&amp;$P$1,_CALC_ALLOC!$B$1:$B$420,$U39,_CALC_ALLOC!$D$1:$D$420,$W39,_CALC_ALLOC!$E$1:$E$420,$X39,_CALC_ALLOC!$F$1:$F$420,$Y39)</f>
        <v>0</v>
      </c>
      <c r="K39" s="32">
        <f t="shared" si="0"/>
        <v>0</v>
      </c>
      <c r="L39" s="33">
        <f>SUMIFS(_CALC_ALLOC!$AN$1:$AN$420,_CALC_ALLOC!$AS$1:$AS$420,"2027|"&amp;$P$1,_CALC_ALLOC!$B$1:$B$420,$U39,_CALC_ALLOC!$D$1:$D$420,$W39,_CALC_ALLOC!$E$1:$E$420,$X39,_CALC_ALLOC!$F$1:$F$420,$Y39)</f>
        <v>0</v>
      </c>
      <c r="M39" s="34">
        <f t="shared" si="1"/>
        <v>0</v>
      </c>
      <c r="T39" t="inlineStr">
        <is>
          <t>MBWAY_BOR|BAC_MGT|B2|ALT</t>
        </is>
      </c>
      <c r="U39" t="inlineStr">
        <is>
          <t>MBWAY_BOR</t>
        </is>
      </c>
      <c r="V39" t="inlineStr">
        <is>
          <t>MBWAY</t>
        </is>
      </c>
      <c r="W39" t="inlineStr">
        <is>
          <t>BAC_MGT</t>
        </is>
      </c>
      <c r="X39" t="inlineStr">
        <is>
          <t>B2</t>
        </is>
      </c>
      <c r="Y39" t="inlineStr">
        <is>
          <t>ALT</t>
        </is>
      </c>
      <c r="Z39">
        <v>3</v>
      </c>
      <c r="BF39" t="s">
        <v>122</v>
      </c>
      <c r="BG39" t="s">
        <v>123</v>
      </c>
      <c r="BH39" t="s">
        <v>124</v>
      </c>
      <c r="BI39" t="s">
        <v>125</v>
      </c>
      <c r="BJ39" t="s">
        <v>148</v>
      </c>
      <c r="BK39" t="s">
        <v>144</v>
      </c>
      <c r="BL39" t="s">
        <v>146</v>
      </c>
      <c r="BM39" t="s">
        <v>139</v>
      </c>
      <c r="BN39" t="s">
        <v>130</v>
      </c>
      <c r="BO39">
        <v>53</v>
      </c>
      <c r="BP39">
        <v>3</v>
      </c>
      <c r="BQ39">
        <v>402270</v>
      </c>
      <c r="BR39">
        <v>29537.583264000001</v>
      </c>
      <c r="BS39">
        <v>70797.406747999994</v>
      </c>
      <c r="BT39">
        <v>33226.026729999998</v>
      </c>
      <c r="BU39">
        <v>185260.08499999999</v>
      </c>
      <c r="BV39">
        <v>12194.539452999999</v>
      </c>
      <c r="BW39">
        <v>62341.483452</v>
      </c>
      <c r="BX39">
        <v>74536.022905000005</v>
      </c>
      <c r="BY39">
        <v>62763.609993999999</v>
      </c>
      <c r="BZ39">
        <v>330593.51465299999</v>
      </c>
      <c r="CA39">
        <v>393357.12464699999</v>
      </c>
      <c r="CB39">
        <v>8912.8753529999994</v>
      </c>
      <c r="CC39">
        <v>53</v>
      </c>
      <c r="CD39">
        <v>132216</v>
      </c>
      <c r="CE39">
        <v>316903.03999999998</v>
      </c>
      <c r="CF39">
        <v>99837</v>
      </c>
      <c r="CG39">
        <v>26060</v>
      </c>
      <c r="CH39">
        <v>741040.34</v>
      </c>
      <c r="CI39">
        <v>2639292</v>
      </c>
      <c r="CJ39">
        <v>499926</v>
      </c>
    </row>
    <row r="40" spans="2:88" x14ac:dyDescent="0.45" outlineLevel="2" hidden="1">
      <c r="B40" s="29" t="s">
        <v>90</v>
      </c>
      <c r="C40" s="30">
        <f>SUMIFS(_CALC_ALLOC!$G$1:$G$420,_CALC_ALLOC!$AS$1:$AS$420,"2027|"&amp;$P$1,_CALC_ALLOC!$B$1:$B$420,$U40,_CALC_ALLOC!$D$1:$D$420,$W40,_CALC_ALLOC!$E$1:$E$420,$X40,_CALC_ALLOC!$F$1:$F$420,$Y40)</f>
        <v>0</v>
      </c>
      <c r="D40" s="31">
        <f>SUMIFS(_CALC_ALLOC!$I$1:$I$420,_CALC_ALLOC!$AS$1:$AS$420,"2027|"&amp;$P$1,_CALC_ALLOC!$B$1:$B$420,$U40,_CALC_ALLOC!$D$1:$D$420,$W40,_CALC_ALLOC!$E$1:$E$420,$X40,_CALC_ALLOC!$F$1:$F$420,$Y40)</f>
        <v>0</v>
      </c>
      <c r="E40" s="31">
        <f>SUMIFS(_CALC_ALLOC!$AI$1:$AI$420,_CALC_ALLOC!$AS$1:$AS$420,"2027|"&amp;$P$1,_CALC_ALLOC!$B$1:$B$420,$U40,_CALC_ALLOC!$D$1:$D$420,$W40,_CALC_ALLOC!$E$1:$E$420,$X40,_CALC_ALLOC!$F$1:$F$420,$Y40)</f>
        <v>0</v>
      </c>
      <c r="F40" s="31">
        <f>SUMIFS(_CALC_ALLOC!$AJ$1:$AJ$420,_CALC_ALLOC!$AS$1:$AS$420,"2027|"&amp;$P$1,_CALC_ALLOC!$B$1:$B$420,$U40,_CALC_ALLOC!$D$1:$D$420,$W40,_CALC_ALLOC!$E$1:$E$420,$X40,_CALC_ALLOC!$F$1:$F$420,$Y40)</f>
        <v>0</v>
      </c>
      <c r="G40" s="31">
        <f>SUMIFS(_CALC_ALLOC!$AK$1:$AK$420,_CALC_ALLOC!$AS$1:$AS$420,"2027|"&amp;$P$1,_CALC_ALLOC!$B$1:$B$420,$U40,_CALC_ALLOC!$D$1:$D$420,$W40,_CALC_ALLOC!$E$1:$E$420,$X40,_CALC_ALLOC!$F$1:$F$420,$Y40)</f>
        <v>0</v>
      </c>
      <c r="H40" s="31">
        <f>SUMIFS(_CALC_ALLOC!$AL$1:$AL$420,_CALC_ALLOC!$AS$1:$AS$420,"2027|"&amp;$P$1,_CALC_ALLOC!$B$1:$B$420,$U40,_CALC_ALLOC!$D$1:$D$420,$W40,_CALC_ALLOC!$E$1:$E$420,$X40,_CALC_ALLOC!$F$1:$F$420,$Y40)</f>
        <v>0</v>
      </c>
      <c r="I40" s="31">
        <f>SUMIFS(_CALC_ALLOC!$AR$1:$AR$420,_CALC_ALLOC!$AS$1:$AS$420,"2027|"&amp;$P$1,_CALC_ALLOC!$B$1:$B$420,$U40,_CALC_ALLOC!$D$1:$D$420,$W40,_CALC_ALLOC!$E$1:$E$420,$X40,_CALC_ALLOC!$F$1:$F$420,$Y40)</f>
        <v>0</v>
      </c>
      <c r="J40" s="31">
        <f>SUMIFS(_CALC_ALLOC!$AM$1:$AM$420,_CALC_ALLOC!$AS$1:$AS$420,"2027|"&amp;$P$1,_CALC_ALLOC!$B$1:$B$420,$U40,_CALC_ALLOC!$D$1:$D$420,$W40,_CALC_ALLOC!$E$1:$E$420,$X40,_CALC_ALLOC!$F$1:$F$420,$Y40)</f>
        <v>0</v>
      </c>
      <c r="K40" s="32">
        <f t="shared" si="0"/>
        <v>0</v>
      </c>
      <c r="L40" s="33">
        <f>SUMIFS(_CALC_ALLOC!$AN$1:$AN$420,_CALC_ALLOC!$AS$1:$AS$420,"2027|"&amp;$P$1,_CALC_ALLOC!$B$1:$B$420,$U40,_CALC_ALLOC!$D$1:$D$420,$W40,_CALC_ALLOC!$E$1:$E$420,$X40,_CALC_ALLOC!$F$1:$F$420,$Y40)</f>
        <v>0</v>
      </c>
      <c r="M40" s="34">
        <f t="shared" si="1"/>
        <v>0</v>
      </c>
      <c r="T40" t="inlineStr">
        <is>
          <t>MBWAY_BOR|BAC_MGT|B3|ALT</t>
        </is>
      </c>
      <c r="U40" t="inlineStr">
        <is>
          <t>MBWAY_BOR</t>
        </is>
      </c>
      <c r="V40" t="inlineStr">
        <is>
          <t>MBWAY</t>
        </is>
      </c>
      <c r="W40" t="inlineStr">
        <is>
          <t>BAC_MGT</t>
        </is>
      </c>
      <c r="X40" t="inlineStr">
        <is>
          <t>B3</t>
        </is>
      </c>
      <c r="Y40" t="inlineStr">
        <is>
          <t>ALT</t>
        </is>
      </c>
      <c r="Z40">
        <v>3</v>
      </c>
      <c r="BF40" t="s">
        <v>122</v>
      </c>
      <c r="BG40" t="s">
        <v>123</v>
      </c>
      <c r="BH40" t="s">
        <v>124</v>
      </c>
      <c r="BI40" t="s">
        <v>125</v>
      </c>
      <c r="BJ40" t="s">
        <v>148</v>
      </c>
      <c r="BK40" t="s">
        <v>144</v>
      </c>
      <c r="BL40" t="s">
        <v>146</v>
      </c>
      <c r="BM40" t="s">
        <v>140</v>
      </c>
      <c r="BN40" t="s">
        <v>130</v>
      </c>
      <c r="BO40">
        <v>53</v>
      </c>
      <c r="BP40">
        <v>3</v>
      </c>
      <c r="BQ40">
        <v>397500</v>
      </c>
      <c r="BR40">
        <v>29537.583264000001</v>
      </c>
      <c r="BS40">
        <v>70797.406747999994</v>
      </c>
      <c r="BT40">
        <v>20196.026730000001</v>
      </c>
      <c r="BU40">
        <v>185260.08499999999</v>
      </c>
      <c r="BV40">
        <v>12194.539452999999</v>
      </c>
      <c r="BW40">
        <v>62341.483452</v>
      </c>
      <c r="BX40">
        <v>74536.022905000005</v>
      </c>
      <c r="BY40">
        <v>49733.609993999999</v>
      </c>
      <c r="BZ40">
        <v>330593.51465299999</v>
      </c>
      <c r="CA40">
        <v>380327.12464699999</v>
      </c>
      <c r="CB40">
        <v>17172.875352999999</v>
      </c>
      <c r="CC40">
        <v>0</v>
      </c>
      <c r="CD40">
        <v>132216</v>
      </c>
      <c r="CE40">
        <v>316903.03999999998</v>
      </c>
      <c r="CF40">
        <v>99837</v>
      </c>
      <c r="CG40">
        <v>26060</v>
      </c>
      <c r="CH40">
        <v>741040.34</v>
      </c>
      <c r="CI40">
        <v>2639292</v>
      </c>
      <c r="CJ40">
        <v>499926</v>
      </c>
    </row>
    <row r="41" spans="2:88" x14ac:dyDescent="0.45" outlineLevel="2" hidden="1">
      <c r="B41" s="29" t="s">
        <v>91</v>
      </c>
      <c r="C41" s="30">
        <f>SUMIFS(_CALC_ALLOC!$G$1:$G$420,_CALC_ALLOC!$AS$1:$AS$420,"2027|"&amp;$P$1,_CALC_ALLOC!$B$1:$B$420,$U41,_CALC_ALLOC!$D$1:$D$420,$W41,_CALC_ALLOC!$E$1:$E$420,$X41,_CALC_ALLOC!$F$1:$F$420,$Y41)</f>
        <v>0</v>
      </c>
      <c r="D41" s="31">
        <f>SUMIFS(_CALC_ALLOC!$I$1:$I$420,_CALC_ALLOC!$AS$1:$AS$420,"2027|"&amp;$P$1,_CALC_ALLOC!$B$1:$B$420,$U41,_CALC_ALLOC!$D$1:$D$420,$W41,_CALC_ALLOC!$E$1:$E$420,$X41,_CALC_ALLOC!$F$1:$F$420,$Y41)</f>
        <v>0</v>
      </c>
      <c r="E41" s="31">
        <f>SUMIFS(_CALC_ALLOC!$AI$1:$AI$420,_CALC_ALLOC!$AS$1:$AS$420,"2027|"&amp;$P$1,_CALC_ALLOC!$B$1:$B$420,$U41,_CALC_ALLOC!$D$1:$D$420,$W41,_CALC_ALLOC!$E$1:$E$420,$X41,_CALC_ALLOC!$F$1:$F$420,$Y41)</f>
        <v>0</v>
      </c>
      <c r="F41" s="31">
        <f>SUMIFS(_CALC_ALLOC!$AJ$1:$AJ$420,_CALC_ALLOC!$AS$1:$AS$420,"2027|"&amp;$P$1,_CALC_ALLOC!$B$1:$B$420,$U41,_CALC_ALLOC!$D$1:$D$420,$W41,_CALC_ALLOC!$E$1:$E$420,$X41,_CALC_ALLOC!$F$1:$F$420,$Y41)</f>
        <v>0</v>
      </c>
      <c r="G41" s="31">
        <f>SUMIFS(_CALC_ALLOC!$AK$1:$AK$420,_CALC_ALLOC!$AS$1:$AS$420,"2027|"&amp;$P$1,_CALC_ALLOC!$B$1:$B$420,$U41,_CALC_ALLOC!$D$1:$D$420,$W41,_CALC_ALLOC!$E$1:$E$420,$X41,_CALC_ALLOC!$F$1:$F$420,$Y41)</f>
        <v>0</v>
      </c>
      <c r="H41" s="31">
        <f>SUMIFS(_CALC_ALLOC!$AL$1:$AL$420,_CALC_ALLOC!$AS$1:$AS$420,"2027|"&amp;$P$1,_CALC_ALLOC!$B$1:$B$420,$U41,_CALC_ALLOC!$D$1:$D$420,$W41,_CALC_ALLOC!$E$1:$E$420,$X41,_CALC_ALLOC!$F$1:$F$420,$Y41)</f>
        <v>0</v>
      </c>
      <c r="I41" s="31">
        <f>SUMIFS(_CALC_ALLOC!$AR$1:$AR$420,_CALC_ALLOC!$AS$1:$AS$420,"2027|"&amp;$P$1,_CALC_ALLOC!$B$1:$B$420,$U41,_CALC_ALLOC!$D$1:$D$420,$W41,_CALC_ALLOC!$E$1:$E$420,$X41,_CALC_ALLOC!$F$1:$F$420,$Y41)</f>
        <v>0</v>
      </c>
      <c r="J41" s="31">
        <f>SUMIFS(_CALC_ALLOC!$AM$1:$AM$420,_CALC_ALLOC!$AS$1:$AS$420,"2027|"&amp;$P$1,_CALC_ALLOC!$B$1:$B$420,$U41,_CALC_ALLOC!$D$1:$D$420,$W41,_CALC_ALLOC!$E$1:$E$420,$X41,_CALC_ALLOC!$F$1:$F$420,$Y41)</f>
        <v>0</v>
      </c>
      <c r="K41" s="32">
        <f t="shared" si="0"/>
        <v>0</v>
      </c>
      <c r="L41" s="33">
        <f>SUMIFS(_CALC_ALLOC!$AN$1:$AN$420,_CALC_ALLOC!$AS$1:$AS$420,"2027|"&amp;$P$1,_CALC_ALLOC!$B$1:$B$420,$U41,_CALC_ALLOC!$D$1:$D$420,$W41,_CALC_ALLOC!$E$1:$E$420,$X41,_CALC_ALLOC!$F$1:$F$420,$Y41)</f>
        <v>0</v>
      </c>
      <c r="M41" s="34">
        <f t="shared" si="1"/>
        <v>0</v>
      </c>
      <c r="T41" t="inlineStr">
        <is>
          <t>MBWAY_BOR|MAS_MGT|M1|ALT</t>
        </is>
      </c>
      <c r="U41" t="inlineStr">
        <is>
          <t>MBWAY_BOR</t>
        </is>
      </c>
      <c r="V41" t="inlineStr">
        <is>
          <t>MBWAY</t>
        </is>
      </c>
      <c r="W41" t="inlineStr">
        <is>
          <t>MAS_MGT</t>
        </is>
      </c>
      <c r="X41" t="inlineStr">
        <is>
          <t>M1</t>
        </is>
      </c>
      <c r="Y41" t="inlineStr">
        <is>
          <t>ALT</t>
        </is>
      </c>
      <c r="Z41">
        <v>3</v>
      </c>
      <c r="BF41" t="s">
        <v>122</v>
      </c>
      <c r="BG41" t="s">
        <v>123</v>
      </c>
      <c r="BH41" t="s">
        <v>124</v>
      </c>
      <c r="BI41" t="s">
        <v>125</v>
      </c>
      <c r="BJ41" t="s">
        <v>149</v>
      </c>
      <c r="BK41" t="s">
        <v>144</v>
      </c>
      <c r="BL41" t="s">
        <v>145</v>
      </c>
      <c r="BM41" t="s">
        <v>129</v>
      </c>
      <c r="BN41" t="s">
        <v>137</v>
      </c>
      <c r="BO41">
        <v>69</v>
      </c>
      <c r="BP41">
        <v>3</v>
      </c>
      <c r="BQ41">
        <v>585810</v>
      </c>
      <c r="BR41">
        <v>41317.75</v>
      </c>
      <c r="BS41">
        <v>115398.44</v>
      </c>
      <c r="BT41">
        <v>54544.506520000003</v>
      </c>
      <c r="BU41">
        <v>221608.66200000001</v>
      </c>
      <c r="BV41">
        <v>12659.990953</v>
      </c>
      <c r="BW41">
        <v>64720.985939999999</v>
      </c>
      <c r="BX41">
        <v>77380.976892999999</v>
      </c>
      <c r="BY41">
        <v>95862.256519999995</v>
      </c>
      <c r="BZ41">
        <v>414388.07889300003</v>
      </c>
      <c r="CA41">
        <v>510250.33541300002</v>
      </c>
      <c r="CB41">
        <v>75559.664587000007</v>
      </c>
      <c r="CC41">
        <v>69</v>
      </c>
      <c r="CD41">
        <v>165271</v>
      </c>
      <c r="CE41">
        <v>461593.76</v>
      </c>
      <c r="CF41">
        <v>129720</v>
      </c>
      <c r="CG41">
        <v>56438</v>
      </c>
      <c r="CH41">
        <v>1108043.31</v>
      </c>
      <c r="CI41">
        <v>2639292</v>
      </c>
      <c r="CJ41">
        <v>499926</v>
      </c>
    </row>
    <row r="42" spans="2:88" x14ac:dyDescent="0.45" outlineLevel="2" hidden="1">
      <c r="B42" s="29" t="s">
        <v>92</v>
      </c>
      <c r="C42" s="30">
        <f>SUMIFS(_CALC_ALLOC!$G$1:$G$420,_CALC_ALLOC!$AS$1:$AS$420,"2027|"&amp;$P$1,_CALC_ALLOC!$B$1:$B$420,$U42,_CALC_ALLOC!$D$1:$D$420,$W42,_CALC_ALLOC!$E$1:$E$420,$X42,_CALC_ALLOC!$F$1:$F$420,$Y42)</f>
        <v>0</v>
      </c>
      <c r="D42" s="31">
        <f>SUMIFS(_CALC_ALLOC!$I$1:$I$420,_CALC_ALLOC!$AS$1:$AS$420,"2027|"&amp;$P$1,_CALC_ALLOC!$B$1:$B$420,$U42,_CALC_ALLOC!$D$1:$D$420,$W42,_CALC_ALLOC!$E$1:$E$420,$X42,_CALC_ALLOC!$F$1:$F$420,$Y42)</f>
        <v>0</v>
      </c>
      <c r="E42" s="31">
        <f>SUMIFS(_CALC_ALLOC!$AI$1:$AI$420,_CALC_ALLOC!$AS$1:$AS$420,"2027|"&amp;$P$1,_CALC_ALLOC!$B$1:$B$420,$U42,_CALC_ALLOC!$D$1:$D$420,$W42,_CALC_ALLOC!$E$1:$E$420,$X42,_CALC_ALLOC!$F$1:$F$420,$Y42)</f>
        <v>0</v>
      </c>
      <c r="F42" s="31">
        <f>SUMIFS(_CALC_ALLOC!$AJ$1:$AJ$420,_CALC_ALLOC!$AS$1:$AS$420,"2027|"&amp;$P$1,_CALC_ALLOC!$B$1:$B$420,$U42,_CALC_ALLOC!$D$1:$D$420,$W42,_CALC_ALLOC!$E$1:$E$420,$X42,_CALC_ALLOC!$F$1:$F$420,$Y42)</f>
        <v>0</v>
      </c>
      <c r="G42" s="31">
        <f>SUMIFS(_CALC_ALLOC!$AK$1:$AK$420,_CALC_ALLOC!$AS$1:$AS$420,"2027|"&amp;$P$1,_CALC_ALLOC!$B$1:$B$420,$U42,_CALC_ALLOC!$D$1:$D$420,$W42,_CALC_ALLOC!$E$1:$E$420,$X42,_CALC_ALLOC!$F$1:$F$420,$Y42)</f>
        <v>0</v>
      </c>
      <c r="H42" s="31">
        <f>SUMIFS(_CALC_ALLOC!$AL$1:$AL$420,_CALC_ALLOC!$AS$1:$AS$420,"2027|"&amp;$P$1,_CALC_ALLOC!$B$1:$B$420,$U42,_CALC_ALLOC!$D$1:$D$420,$W42,_CALC_ALLOC!$E$1:$E$420,$X42,_CALC_ALLOC!$F$1:$F$420,$Y42)</f>
        <v>0</v>
      </c>
      <c r="I42" s="31">
        <f>SUMIFS(_CALC_ALLOC!$AR$1:$AR$420,_CALC_ALLOC!$AS$1:$AS$420,"2027|"&amp;$P$1,_CALC_ALLOC!$B$1:$B$420,$U42,_CALC_ALLOC!$D$1:$D$420,$W42,_CALC_ALLOC!$E$1:$E$420,$X42,_CALC_ALLOC!$F$1:$F$420,$Y42)</f>
        <v>0</v>
      </c>
      <c r="J42" s="31">
        <f>SUMIFS(_CALC_ALLOC!$AM$1:$AM$420,_CALC_ALLOC!$AS$1:$AS$420,"2027|"&amp;$P$1,_CALC_ALLOC!$B$1:$B$420,$U42,_CALC_ALLOC!$D$1:$D$420,$W42,_CALC_ALLOC!$E$1:$E$420,$X42,_CALC_ALLOC!$F$1:$F$420,$Y42)</f>
        <v>0</v>
      </c>
      <c r="K42" s="32">
        <f t="shared" si="0"/>
        <v>0</v>
      </c>
      <c r="L42" s="33">
        <f>SUMIFS(_CALC_ALLOC!$AN$1:$AN$420,_CALC_ALLOC!$AS$1:$AS$420,"2027|"&amp;$P$1,_CALC_ALLOC!$B$1:$B$420,$U42,_CALC_ALLOC!$D$1:$D$420,$W42,_CALC_ALLOC!$E$1:$E$420,$X42,_CALC_ALLOC!$F$1:$F$420,$Y42)</f>
        <v>0</v>
      </c>
      <c r="M42" s="34">
        <f t="shared" si="1"/>
        <v>0</v>
      </c>
      <c r="T42" t="inlineStr">
        <is>
          <t>MBWAY_BOR|MAS_MGT|M2|ALT</t>
        </is>
      </c>
      <c r="U42" t="inlineStr">
        <is>
          <t>MBWAY_BOR</t>
        </is>
      </c>
      <c r="V42" t="inlineStr">
        <is>
          <t>MBWAY</t>
        </is>
      </c>
      <c r="W42" t="inlineStr">
        <is>
          <t>MAS_MGT</t>
        </is>
      </c>
      <c r="X42" t="inlineStr">
        <is>
          <t>M2</t>
        </is>
      </c>
      <c r="Y42" t="inlineStr">
        <is>
          <t>ALT</t>
        </is>
      </c>
      <c r="Z42">
        <v>3</v>
      </c>
      <c r="BF42" t="s">
        <v>122</v>
      </c>
      <c r="BG42" t="s">
        <v>123</v>
      </c>
      <c r="BH42" t="s">
        <v>124</v>
      </c>
      <c r="BI42" t="s">
        <v>125</v>
      </c>
      <c r="BJ42" t="s">
        <v>149</v>
      </c>
      <c r="BK42" t="s">
        <v>144</v>
      </c>
      <c r="BL42" t="s">
        <v>145</v>
      </c>
      <c r="BM42" t="s">
        <v>131</v>
      </c>
      <c r="BN42" t="s">
        <v>130</v>
      </c>
      <c r="BO42">
        <v>68</v>
      </c>
      <c r="BP42">
        <v>3</v>
      </c>
      <c r="BQ42">
        <v>533120</v>
      </c>
      <c r="BR42">
        <v>33054.199999999997</v>
      </c>
      <c r="BS42">
        <v>92318.751999999993</v>
      </c>
      <c r="BT42">
        <v>25944</v>
      </c>
      <c r="BU42">
        <v>221608.66200000001</v>
      </c>
      <c r="BV42">
        <v>12659.990953</v>
      </c>
      <c r="BW42">
        <v>64720.985939999999</v>
      </c>
      <c r="BX42">
        <v>77380.976892999999</v>
      </c>
      <c r="BY42">
        <v>58998.2</v>
      </c>
      <c r="BZ42">
        <v>391308.390893</v>
      </c>
      <c r="CA42">
        <v>450306.59089300002</v>
      </c>
      <c r="CB42">
        <v>82813.409106999999</v>
      </c>
      <c r="CC42">
        <v>0</v>
      </c>
      <c r="CD42">
        <v>165271</v>
      </c>
      <c r="CE42">
        <v>461593.76</v>
      </c>
      <c r="CF42">
        <v>129720</v>
      </c>
      <c r="CG42">
        <v>56438</v>
      </c>
      <c r="CH42">
        <v>1108043.31</v>
      </c>
      <c r="CI42">
        <v>2639292</v>
      </c>
      <c r="CJ42">
        <v>499926</v>
      </c>
    </row>
    <row r="43" spans="2:88" collapsed="1" x14ac:dyDescent="0.45" outlineLevel="0">
      <c r="B43" s="19" t="s">
        <v>0</v>
      </c>
      <c r="C43" s="20">
        <f>SUMIFS(_CALC_ALLOC!$G$1:$G$420,_CALC_ALLOC!$AS$1:$AS$420,"2027|"&amp;$P$1,_CALC_ALLOC!$C$1:$C$420,$V43)</f>
        <v>0</v>
      </c>
      <c r="D43" s="21">
        <f>SUMIFS(_CALC_ALLOC!$I$1:$I$420,_CALC_ALLOC!$AS$1:$AS$420,"2027|"&amp;$P$1,_CALC_ALLOC!$C$1:$C$420,$V43)</f>
        <v>0</v>
      </c>
      <c r="E43" s="21">
        <f>SUMIFS(_CALC_ALLOC!$AI$1:$AI$420,_CALC_ALLOC!$AS$1:$AS$420,"2027|"&amp;$P$1,_CALC_ALLOC!$C$1:$C$420,$V43)</f>
        <v>0</v>
      </c>
      <c r="F43" s="21">
        <f>SUMIFS(_CALC_ALLOC!$AJ$1:$AJ$420,_CALC_ALLOC!$AS$1:$AS$420,"2027|"&amp;$P$1,_CALC_ALLOC!$C$1:$C$420,$V43)</f>
        <v>0</v>
      </c>
      <c r="G43" s="21">
        <f>SUMIFS(_CALC_ALLOC!$AK$1:$AK$420,_CALC_ALLOC!$AS$1:$AS$420,"2027|"&amp;$P$1,_CALC_ALLOC!$C$1:$C$420,$V43)</f>
        <v>0</v>
      </c>
      <c r="H43" s="21">
        <f>SUMIFS(_CALC_ALLOC!$AL$1:$AL$420,_CALC_ALLOC!$AS$1:$AS$420,"2027|"&amp;$P$1,_CALC_ALLOC!$C$1:$C$420,$V43)</f>
        <v>0</v>
      </c>
      <c r="I43" s="21">
        <f>SUMIFS(_CALC_ALLOC!$AR$1:$AR$420,_CALC_ALLOC!$AS$1:$AS$420,"2027|"&amp;$P$1,_CALC_ALLOC!$C$1:$C$420,$V43)</f>
        <v>0</v>
      </c>
      <c r="J43" s="21">
        <f>SUMIFS(_CALC_ALLOC!$AM$1:$AM$420,_CALC_ALLOC!$AS$1:$AS$420,"2027|"&amp;$P$1,_CALC_ALLOC!$C$1:$C$420,$V43)</f>
        <v>0</v>
      </c>
      <c r="K43" s="21">
        <f t="shared" si="0"/>
        <v>0</v>
      </c>
      <c r="L43" s="22">
        <f>SUMIFS(_CALC_ALLOC!$AN$1:$AN$420,_CALC_ALLOC!$AS$1:$AS$420,"2027|"&amp;$P$1,_CALC_ALLOC!$C$1:$C$420,$V43)</f>
        <v>0</v>
      </c>
      <c r="M43" s="23">
        <f t="shared" si="1"/>
        <v>0</v>
      </c>
      <c r="T43" t="inlineStr">
        <is>
          <t>ISCOM</t>
        </is>
      </c>
      <c r="V43" t="inlineStr">
        <is>
          <t>ISCOM</t>
        </is>
      </c>
      <c r="Z43">
        <v>1</v>
      </c>
      <c r="BF43" t="s">
        <v>122</v>
      </c>
      <c r="BG43" t="s">
        <v>123</v>
      </c>
      <c r="BH43" t="s">
        <v>124</v>
      </c>
      <c r="BI43" t="s">
        <v>125</v>
      </c>
      <c r="BJ43" t="s">
        <v>149</v>
      </c>
      <c r="BK43" t="s">
        <v>144</v>
      </c>
      <c r="BL43" t="s">
        <v>145</v>
      </c>
      <c r="BM43" t="s">
        <v>132</v>
      </c>
      <c r="BN43" t="s">
        <v>130</v>
      </c>
      <c r="BO43">
        <v>66</v>
      </c>
      <c r="BP43">
        <v>3</v>
      </c>
      <c r="BQ43">
        <v>517440</v>
      </c>
      <c r="BR43">
        <v>33054.199999999997</v>
      </c>
      <c r="BS43">
        <v>92318.751999999993</v>
      </c>
      <c r="BT43">
        <v>25180.857240000001</v>
      </c>
      <c r="BU43">
        <v>221608.66200000001</v>
      </c>
      <c r="BV43">
        <v>12659.990953</v>
      </c>
      <c r="BW43">
        <v>64720.985939999999</v>
      </c>
      <c r="BX43">
        <v>77380.976892999999</v>
      </c>
      <c r="BY43">
        <v>58235.057240000002</v>
      </c>
      <c r="BZ43">
        <v>391308.390893</v>
      </c>
      <c r="CA43">
        <v>449543.448133</v>
      </c>
      <c r="CB43">
        <v>67896.551867000002</v>
      </c>
      <c r="CC43">
        <v>0</v>
      </c>
      <c r="CD43">
        <v>165271</v>
      </c>
      <c r="CE43">
        <v>461593.76</v>
      </c>
      <c r="CF43">
        <v>129720</v>
      </c>
      <c r="CG43">
        <v>56438</v>
      </c>
      <c r="CH43">
        <v>1108043.31</v>
      </c>
      <c r="CI43">
        <v>2639292</v>
      </c>
      <c r="CJ43">
        <v>499926</v>
      </c>
    </row>
    <row r="44" spans="2:88" collapsed="1" x14ac:dyDescent="0.45" outlineLevel="1">
      <c r="B44" s="24" t="s">
        <v>87</v>
      </c>
      <c r="C44" s="25">
        <f>SUMIFS(_CALC_ALLOC!$G$1:$G$420,_CALC_ALLOC!$AS$1:$AS$420,"2027|"&amp;$P$1,_CALC_ALLOC!$B$1:$B$420,$U44)</f>
        <v>0</v>
      </c>
      <c r="D44" s="26">
        <f>SUMIFS(_CALC_ALLOC!$I$1:$I$420,_CALC_ALLOC!$AS$1:$AS$420,"2027|"&amp;$P$1,_CALC_ALLOC!$B$1:$B$420,$U44)</f>
        <v>0</v>
      </c>
      <c r="E44" s="26">
        <f>SUMIFS(_CALC_ALLOC!$AI$1:$AI$420,_CALC_ALLOC!$AS$1:$AS$420,"2027|"&amp;$P$1,_CALC_ALLOC!$B$1:$B$420,$U44)</f>
        <v>0</v>
      </c>
      <c r="F44" s="26">
        <f>SUMIFS(_CALC_ALLOC!$AJ$1:$AJ$420,_CALC_ALLOC!$AS$1:$AS$420,"2027|"&amp;$P$1,_CALC_ALLOC!$B$1:$B$420,$U44)</f>
        <v>0</v>
      </c>
      <c r="G44" s="26">
        <f>SUMIFS(_CALC_ALLOC!$AK$1:$AK$420,_CALC_ALLOC!$AS$1:$AS$420,"2027|"&amp;$P$1,_CALC_ALLOC!$B$1:$B$420,$U44)</f>
        <v>0</v>
      </c>
      <c r="H44" s="26">
        <f>SUMIFS(_CALC_ALLOC!$AL$1:$AL$420,_CALC_ALLOC!$AS$1:$AS$420,"2027|"&amp;$P$1,_CALC_ALLOC!$B$1:$B$420,$U44)</f>
        <v>0</v>
      </c>
      <c r="I44" s="26">
        <f>SUMIFS(_CALC_ALLOC!$AR$1:$AR$420,_CALC_ALLOC!$AS$1:$AS$420,"2027|"&amp;$P$1,_CALC_ALLOC!$B$1:$B$420,$U44)</f>
        <v>0</v>
      </c>
      <c r="J44" s="26">
        <f>SUMIFS(_CALC_ALLOC!$AM$1:$AM$420,_CALC_ALLOC!$AS$1:$AS$420,"2027|"&amp;$P$1,_CALC_ALLOC!$B$1:$B$420,$U44)</f>
        <v>0</v>
      </c>
      <c r="K44" s="26">
        <f t="shared" si="0"/>
        <v>0</v>
      </c>
      <c r="L44" s="27">
        <f>SUMIFS(_CALC_ALLOC!$AN$1:$AN$420,_CALC_ALLOC!$AS$1:$AS$420,"2027|"&amp;$P$1,_CALC_ALLOC!$B$1:$B$420,$U44)</f>
        <v>0</v>
      </c>
      <c r="M44" s="28">
        <f t="shared" si="1"/>
        <v>0</v>
      </c>
      <c r="T44" t="inlineStr">
        <is>
          <t>ISCOM_PAR</t>
        </is>
      </c>
      <c r="U44" t="inlineStr">
        <is>
          <t>ISCOM_PAR</t>
        </is>
      </c>
      <c r="V44" t="inlineStr">
        <is>
          <t>ISCOM</t>
        </is>
      </c>
      <c r="Z44">
        <v>2</v>
      </c>
      <c r="BF44" t="s">
        <v>122</v>
      </c>
      <c r="BG44" t="s">
        <v>123</v>
      </c>
      <c r="BH44" t="s">
        <v>124</v>
      </c>
      <c r="BI44" t="s">
        <v>125</v>
      </c>
      <c r="BJ44" t="s">
        <v>149</v>
      </c>
      <c r="BK44" t="s">
        <v>144</v>
      </c>
      <c r="BL44" t="s">
        <v>146</v>
      </c>
      <c r="BM44" t="s">
        <v>139</v>
      </c>
      <c r="BN44" t="s">
        <v>130</v>
      </c>
      <c r="BO44">
        <v>69</v>
      </c>
      <c r="BP44">
        <v>3</v>
      </c>
      <c r="BQ44">
        <v>585810</v>
      </c>
      <c r="BR44">
        <v>28922.424999999999</v>
      </c>
      <c r="BS44">
        <v>80778.907999999996</v>
      </c>
      <c r="BT44">
        <v>54544.506520000003</v>
      </c>
      <c r="BU44">
        <v>221608.66200000001</v>
      </c>
      <c r="BV44">
        <v>12659.990953</v>
      </c>
      <c r="BW44">
        <v>64720.985939999999</v>
      </c>
      <c r="BX44">
        <v>77380.976892999999</v>
      </c>
      <c r="BY44">
        <v>83466.931519999998</v>
      </c>
      <c r="BZ44">
        <v>379768.54689300002</v>
      </c>
      <c r="CA44">
        <v>463235.478413</v>
      </c>
      <c r="CB44">
        <v>122574.521587</v>
      </c>
      <c r="CC44">
        <v>69</v>
      </c>
      <c r="CD44">
        <v>165271</v>
      </c>
      <c r="CE44">
        <v>461593.76</v>
      </c>
      <c r="CF44">
        <v>129720</v>
      </c>
      <c r="CG44">
        <v>56438</v>
      </c>
      <c r="CH44">
        <v>1108043.31</v>
      </c>
      <c r="CI44">
        <v>2639292</v>
      </c>
      <c r="CJ44">
        <v>499926</v>
      </c>
    </row>
    <row r="45" spans="2:88" x14ac:dyDescent="0.45" outlineLevel="2" hidden="1">
      <c r="B45" s="29" t="s">
        <v>96</v>
      </c>
      <c r="C45" s="30">
        <f>SUMIFS(_CALC_ALLOC!$G$1:$G$420,_CALC_ALLOC!$AS$1:$AS$420,"2027|"&amp;$P$1,_CALC_ALLOC!$B$1:$B$420,$U45,_CALC_ALLOC!$D$1:$D$420,$W45,_CALC_ALLOC!$E$1:$E$420,$X45,_CALC_ALLOC!$F$1:$F$420,$Y45)</f>
        <v>0</v>
      </c>
      <c r="D45" s="31">
        <f>SUMIFS(_CALC_ALLOC!$I$1:$I$420,_CALC_ALLOC!$AS$1:$AS$420,"2027|"&amp;$P$1,_CALC_ALLOC!$B$1:$B$420,$U45,_CALC_ALLOC!$D$1:$D$420,$W45,_CALC_ALLOC!$E$1:$E$420,$X45,_CALC_ALLOC!$F$1:$F$420,$Y45)</f>
        <v>0</v>
      </c>
      <c r="E45" s="31">
        <f>SUMIFS(_CALC_ALLOC!$AI$1:$AI$420,_CALC_ALLOC!$AS$1:$AS$420,"2027|"&amp;$P$1,_CALC_ALLOC!$B$1:$B$420,$U45,_CALC_ALLOC!$D$1:$D$420,$W45,_CALC_ALLOC!$E$1:$E$420,$X45,_CALC_ALLOC!$F$1:$F$420,$Y45)</f>
        <v>0</v>
      </c>
      <c r="F45" s="31">
        <f>SUMIFS(_CALC_ALLOC!$AJ$1:$AJ$420,_CALC_ALLOC!$AS$1:$AS$420,"2027|"&amp;$P$1,_CALC_ALLOC!$B$1:$B$420,$U45,_CALC_ALLOC!$D$1:$D$420,$W45,_CALC_ALLOC!$E$1:$E$420,$X45,_CALC_ALLOC!$F$1:$F$420,$Y45)</f>
        <v>0</v>
      </c>
      <c r="G45" s="31">
        <f>SUMIFS(_CALC_ALLOC!$AK$1:$AK$420,_CALC_ALLOC!$AS$1:$AS$420,"2027|"&amp;$P$1,_CALC_ALLOC!$B$1:$B$420,$U45,_CALC_ALLOC!$D$1:$D$420,$W45,_CALC_ALLOC!$E$1:$E$420,$X45,_CALC_ALLOC!$F$1:$F$420,$Y45)</f>
        <v>0</v>
      </c>
      <c r="H45" s="31">
        <f>SUMIFS(_CALC_ALLOC!$AL$1:$AL$420,_CALC_ALLOC!$AS$1:$AS$420,"2027|"&amp;$P$1,_CALC_ALLOC!$B$1:$B$420,$U45,_CALC_ALLOC!$D$1:$D$420,$W45,_CALC_ALLOC!$E$1:$E$420,$X45,_CALC_ALLOC!$F$1:$F$420,$Y45)</f>
        <v>0</v>
      </c>
      <c r="I45" s="31">
        <f>SUMIFS(_CALC_ALLOC!$AR$1:$AR$420,_CALC_ALLOC!$AS$1:$AS$420,"2027|"&amp;$P$1,_CALC_ALLOC!$B$1:$B$420,$U45,_CALC_ALLOC!$D$1:$D$420,$W45,_CALC_ALLOC!$E$1:$E$420,$X45,_CALC_ALLOC!$F$1:$F$420,$Y45)</f>
        <v>0</v>
      </c>
      <c r="J45" s="31">
        <f>SUMIFS(_CALC_ALLOC!$AM$1:$AM$420,_CALC_ALLOC!$AS$1:$AS$420,"2027|"&amp;$P$1,_CALC_ALLOC!$B$1:$B$420,$U45,_CALC_ALLOC!$D$1:$D$420,$W45,_CALC_ALLOC!$E$1:$E$420,$X45,_CALC_ALLOC!$F$1:$F$420,$Y45)</f>
        <v>0</v>
      </c>
      <c r="K45" s="32">
        <f t="shared" si="0"/>
        <v>0</v>
      </c>
      <c r="L45" s="33">
        <f>SUMIFS(_CALC_ALLOC!$AN$1:$AN$420,_CALC_ALLOC!$AS$1:$AS$420,"2027|"&amp;$P$1,_CALC_ALLOC!$B$1:$B$420,$U45,_CALC_ALLOC!$D$1:$D$420,$W45,_CALC_ALLOC!$E$1:$E$420,$X45,_CALC_ALLOC!$F$1:$F$420,$Y45)</f>
        <v>0</v>
      </c>
      <c r="M45" s="34">
        <f t="shared" si="1"/>
        <v>0</v>
      </c>
      <c r="T45" t="inlineStr">
        <is>
          <t>ISCOM_PAR|BAC_COM|B1|INIT</t>
        </is>
      </c>
      <c r="U45" t="inlineStr">
        <is>
          <t>ISCOM_PAR</t>
        </is>
      </c>
      <c r="V45" t="inlineStr">
        <is>
          <t>ISCOM</t>
        </is>
      </c>
      <c r="W45" t="inlineStr">
        <is>
          <t>BAC_COM</t>
        </is>
      </c>
      <c r="X45" t="inlineStr">
        <is>
          <t>B1</t>
        </is>
      </c>
      <c r="Y45" t="inlineStr">
        <is>
          <t>INIT</t>
        </is>
      </c>
      <c r="Z45">
        <v>3</v>
      </c>
      <c r="BF45" t="s">
        <v>122</v>
      </c>
      <c r="BG45" t="s">
        <v>123</v>
      </c>
      <c r="BH45" t="s">
        <v>124</v>
      </c>
      <c r="BI45" t="s">
        <v>125</v>
      </c>
      <c r="BJ45" t="s">
        <v>149</v>
      </c>
      <c r="BK45" t="s">
        <v>144</v>
      </c>
      <c r="BL45" t="s">
        <v>146</v>
      </c>
      <c r="BM45" t="s">
        <v>140</v>
      </c>
      <c r="BN45" t="s">
        <v>130</v>
      </c>
      <c r="BO45">
        <v>68</v>
      </c>
      <c r="BP45">
        <v>3</v>
      </c>
      <c r="BQ45">
        <v>571200</v>
      </c>
      <c r="BR45">
        <v>28922.424999999999</v>
      </c>
      <c r="BS45">
        <v>80778.907999999996</v>
      </c>
      <c r="BT45">
        <v>25944</v>
      </c>
      <c r="BU45">
        <v>221608.66200000001</v>
      </c>
      <c r="BV45">
        <v>12659.990953</v>
      </c>
      <c r="BW45">
        <v>64720.985939999999</v>
      </c>
      <c r="BX45">
        <v>77380.976892999999</v>
      </c>
      <c r="BY45">
        <v>54866.425000000003</v>
      </c>
      <c r="BZ45">
        <v>379768.54689300002</v>
      </c>
      <c r="CA45">
        <v>434634.97189300001</v>
      </c>
      <c r="CB45">
        <v>136565.02810699999</v>
      </c>
      <c r="CC45">
        <v>0</v>
      </c>
      <c r="CD45">
        <v>165271</v>
      </c>
      <c r="CE45">
        <v>461593.76</v>
      </c>
      <c r="CF45">
        <v>129720</v>
      </c>
      <c r="CG45">
        <v>56438</v>
      </c>
      <c r="CH45">
        <v>1108043.31</v>
      </c>
      <c r="CI45">
        <v>2639292</v>
      </c>
      <c r="CJ45">
        <v>499926</v>
      </c>
    </row>
    <row r="46" spans="2:88" x14ac:dyDescent="0.45" outlineLevel="2" hidden="1">
      <c r="B46" s="29" t="s">
        <v>97</v>
      </c>
      <c r="C46" s="30">
        <f>SUMIFS(_CALC_ALLOC!$G$1:$G$420,_CALC_ALLOC!$AS$1:$AS$420,"2027|"&amp;$P$1,_CALC_ALLOC!$B$1:$B$420,$U46,_CALC_ALLOC!$D$1:$D$420,$W46,_CALC_ALLOC!$E$1:$E$420,$X46,_CALC_ALLOC!$F$1:$F$420,$Y46)</f>
        <v>0</v>
      </c>
      <c r="D46" s="31">
        <f>SUMIFS(_CALC_ALLOC!$I$1:$I$420,_CALC_ALLOC!$AS$1:$AS$420,"2027|"&amp;$P$1,_CALC_ALLOC!$B$1:$B$420,$U46,_CALC_ALLOC!$D$1:$D$420,$W46,_CALC_ALLOC!$E$1:$E$420,$X46,_CALC_ALLOC!$F$1:$F$420,$Y46)</f>
        <v>0</v>
      </c>
      <c r="E46" s="31">
        <f>SUMIFS(_CALC_ALLOC!$AI$1:$AI$420,_CALC_ALLOC!$AS$1:$AS$420,"2027|"&amp;$P$1,_CALC_ALLOC!$B$1:$B$420,$U46,_CALC_ALLOC!$D$1:$D$420,$W46,_CALC_ALLOC!$E$1:$E$420,$X46,_CALC_ALLOC!$F$1:$F$420,$Y46)</f>
        <v>0</v>
      </c>
      <c r="F46" s="31">
        <f>SUMIFS(_CALC_ALLOC!$AJ$1:$AJ$420,_CALC_ALLOC!$AS$1:$AS$420,"2027|"&amp;$P$1,_CALC_ALLOC!$B$1:$B$420,$U46,_CALC_ALLOC!$D$1:$D$420,$W46,_CALC_ALLOC!$E$1:$E$420,$X46,_CALC_ALLOC!$F$1:$F$420,$Y46)</f>
        <v>0</v>
      </c>
      <c r="G46" s="31">
        <f>SUMIFS(_CALC_ALLOC!$AK$1:$AK$420,_CALC_ALLOC!$AS$1:$AS$420,"2027|"&amp;$P$1,_CALC_ALLOC!$B$1:$B$420,$U46,_CALC_ALLOC!$D$1:$D$420,$W46,_CALC_ALLOC!$E$1:$E$420,$X46,_CALC_ALLOC!$F$1:$F$420,$Y46)</f>
        <v>0</v>
      </c>
      <c r="H46" s="31">
        <f>SUMIFS(_CALC_ALLOC!$AL$1:$AL$420,_CALC_ALLOC!$AS$1:$AS$420,"2027|"&amp;$P$1,_CALC_ALLOC!$B$1:$B$420,$U46,_CALC_ALLOC!$D$1:$D$420,$W46,_CALC_ALLOC!$E$1:$E$420,$X46,_CALC_ALLOC!$F$1:$F$420,$Y46)</f>
        <v>0</v>
      </c>
      <c r="I46" s="31">
        <f>SUMIFS(_CALC_ALLOC!$AR$1:$AR$420,_CALC_ALLOC!$AS$1:$AS$420,"2027|"&amp;$P$1,_CALC_ALLOC!$B$1:$B$420,$U46,_CALC_ALLOC!$D$1:$D$420,$W46,_CALC_ALLOC!$E$1:$E$420,$X46,_CALC_ALLOC!$F$1:$F$420,$Y46)</f>
        <v>0</v>
      </c>
      <c r="J46" s="31">
        <f>SUMIFS(_CALC_ALLOC!$AM$1:$AM$420,_CALC_ALLOC!$AS$1:$AS$420,"2027|"&amp;$P$1,_CALC_ALLOC!$B$1:$B$420,$U46,_CALC_ALLOC!$D$1:$D$420,$W46,_CALC_ALLOC!$E$1:$E$420,$X46,_CALC_ALLOC!$F$1:$F$420,$Y46)</f>
        <v>0</v>
      </c>
      <c r="K46" s="32">
        <f t="shared" si="0"/>
        <v>0</v>
      </c>
      <c r="L46" s="33">
        <f>SUMIFS(_CALC_ALLOC!$AN$1:$AN$420,_CALC_ALLOC!$AS$1:$AS$420,"2027|"&amp;$P$1,_CALC_ALLOC!$B$1:$B$420,$U46,_CALC_ALLOC!$D$1:$D$420,$W46,_CALC_ALLOC!$E$1:$E$420,$X46,_CALC_ALLOC!$F$1:$F$420,$Y46)</f>
        <v>0</v>
      </c>
      <c r="M46" s="34">
        <f t="shared" si="1"/>
        <v>0</v>
      </c>
      <c r="T46" t="inlineStr">
        <is>
          <t>ISCOM_PAR|BAC_COM|B2|ALT</t>
        </is>
      </c>
      <c r="U46" t="inlineStr">
        <is>
          <t>ISCOM_PAR</t>
        </is>
      </c>
      <c r="V46" t="inlineStr">
        <is>
          <t>ISCOM</t>
        </is>
      </c>
      <c r="W46" t="inlineStr">
        <is>
          <t>BAC_COM</t>
        </is>
      </c>
      <c r="X46" t="inlineStr">
        <is>
          <t>B2</t>
        </is>
      </c>
      <c r="Y46" t="inlineStr">
        <is>
          <t>ALT</t>
        </is>
      </c>
      <c r="Z46">
        <v>3</v>
      </c>
      <c r="BF46" t="s">
        <v>122</v>
      </c>
      <c r="BG46" t="s">
        <v>123</v>
      </c>
      <c r="BH46" t="s">
        <v>124</v>
      </c>
      <c r="BI46" t="s">
        <v>125</v>
      </c>
      <c r="BJ46" t="s">
        <v>150</v>
      </c>
      <c r="BK46" t="s">
        <v>151</v>
      </c>
      <c r="BL46" t="s">
        <v>152</v>
      </c>
      <c r="BM46" t="s">
        <v>153</v>
      </c>
      <c r="BN46" t="s">
        <v>130</v>
      </c>
      <c r="BO46">
        <v>32</v>
      </c>
      <c r="BP46">
        <v>2</v>
      </c>
      <c r="BQ46">
        <v>189120</v>
      </c>
      <c r="BR46">
        <v>21725.556831999998</v>
      </c>
      <c r="BS46">
        <v>40999.742066999999</v>
      </c>
      <c r="BT46">
        <v>18968.77216</v>
      </c>
      <c r="BU46">
        <v>63370.351999999999</v>
      </c>
      <c r="BV46">
        <v>5105.8971689999998</v>
      </c>
      <c r="BW46">
        <v>29695.450102999999</v>
      </c>
      <c r="BX46">
        <v>34801.347271999999</v>
      </c>
      <c r="BY46">
        <v>40694.328992000002</v>
      </c>
      <c r="BZ46">
        <v>139171.44133900001</v>
      </c>
      <c r="CA46">
        <v>179865.77033100001</v>
      </c>
      <c r="CB46">
        <v>9254.2296690000003</v>
      </c>
      <c r="CC46">
        <v>32</v>
      </c>
      <c r="CD46">
        <v>88144</v>
      </c>
      <c r="CE46">
        <v>166342.39999999999</v>
      </c>
      <c r="CF46">
        <v>48220</v>
      </c>
      <c r="CG46">
        <v>18155</v>
      </c>
      <c r="CH46">
        <v>316851.76</v>
      </c>
      <c r="CI46">
        <v>2639292</v>
      </c>
      <c r="CJ46">
        <v>499926</v>
      </c>
    </row>
    <row r="47" spans="2:88" x14ac:dyDescent="0.45" outlineLevel="2" hidden="1">
      <c r="B47" s="29" t="s">
        <v>98</v>
      </c>
      <c r="C47" s="30">
        <f>SUMIFS(_CALC_ALLOC!$G$1:$G$420,_CALC_ALLOC!$AS$1:$AS$420,"2027|"&amp;$P$1,_CALC_ALLOC!$B$1:$B$420,$U47,_CALC_ALLOC!$D$1:$D$420,$W47,_CALC_ALLOC!$E$1:$E$420,$X47,_CALC_ALLOC!$F$1:$F$420,$Y47)</f>
        <v>0</v>
      </c>
      <c r="D47" s="31">
        <f>SUMIFS(_CALC_ALLOC!$I$1:$I$420,_CALC_ALLOC!$AS$1:$AS$420,"2027|"&amp;$P$1,_CALC_ALLOC!$B$1:$B$420,$U47,_CALC_ALLOC!$D$1:$D$420,$W47,_CALC_ALLOC!$E$1:$E$420,$X47,_CALC_ALLOC!$F$1:$F$420,$Y47)</f>
        <v>0</v>
      </c>
      <c r="E47" s="31">
        <f>SUMIFS(_CALC_ALLOC!$AI$1:$AI$420,_CALC_ALLOC!$AS$1:$AS$420,"2027|"&amp;$P$1,_CALC_ALLOC!$B$1:$B$420,$U47,_CALC_ALLOC!$D$1:$D$420,$W47,_CALC_ALLOC!$E$1:$E$420,$X47,_CALC_ALLOC!$F$1:$F$420,$Y47)</f>
        <v>0</v>
      </c>
      <c r="F47" s="31">
        <f>SUMIFS(_CALC_ALLOC!$AJ$1:$AJ$420,_CALC_ALLOC!$AS$1:$AS$420,"2027|"&amp;$P$1,_CALC_ALLOC!$B$1:$B$420,$U47,_CALC_ALLOC!$D$1:$D$420,$W47,_CALC_ALLOC!$E$1:$E$420,$X47,_CALC_ALLOC!$F$1:$F$420,$Y47)</f>
        <v>0</v>
      </c>
      <c r="G47" s="31">
        <f>SUMIFS(_CALC_ALLOC!$AK$1:$AK$420,_CALC_ALLOC!$AS$1:$AS$420,"2027|"&amp;$P$1,_CALC_ALLOC!$B$1:$B$420,$U47,_CALC_ALLOC!$D$1:$D$420,$W47,_CALC_ALLOC!$E$1:$E$420,$X47,_CALC_ALLOC!$F$1:$F$420,$Y47)</f>
        <v>0</v>
      </c>
      <c r="H47" s="31">
        <f>SUMIFS(_CALC_ALLOC!$AL$1:$AL$420,_CALC_ALLOC!$AS$1:$AS$420,"2027|"&amp;$P$1,_CALC_ALLOC!$B$1:$B$420,$U47,_CALC_ALLOC!$D$1:$D$420,$W47,_CALC_ALLOC!$E$1:$E$420,$X47,_CALC_ALLOC!$F$1:$F$420,$Y47)</f>
        <v>0</v>
      </c>
      <c r="I47" s="31">
        <f>SUMIFS(_CALC_ALLOC!$AR$1:$AR$420,_CALC_ALLOC!$AS$1:$AS$420,"2027|"&amp;$P$1,_CALC_ALLOC!$B$1:$B$420,$U47,_CALC_ALLOC!$D$1:$D$420,$W47,_CALC_ALLOC!$E$1:$E$420,$X47,_CALC_ALLOC!$F$1:$F$420,$Y47)</f>
        <v>0</v>
      </c>
      <c r="J47" s="31">
        <f>SUMIFS(_CALC_ALLOC!$AM$1:$AM$420,_CALC_ALLOC!$AS$1:$AS$420,"2027|"&amp;$P$1,_CALC_ALLOC!$B$1:$B$420,$U47,_CALC_ALLOC!$D$1:$D$420,$W47,_CALC_ALLOC!$E$1:$E$420,$X47,_CALC_ALLOC!$F$1:$F$420,$Y47)</f>
        <v>0</v>
      </c>
      <c r="K47" s="32">
        <f t="shared" si="0"/>
        <v>0</v>
      </c>
      <c r="L47" s="33">
        <f>SUMIFS(_CALC_ALLOC!$AN$1:$AN$420,_CALC_ALLOC!$AS$1:$AS$420,"2027|"&amp;$P$1,_CALC_ALLOC!$B$1:$B$420,$U47,_CALC_ALLOC!$D$1:$D$420,$W47,_CALC_ALLOC!$E$1:$E$420,$X47,_CALC_ALLOC!$F$1:$F$420,$Y47)</f>
        <v>0</v>
      </c>
      <c r="M47" s="34">
        <f t="shared" si="1"/>
        <v>0</v>
      </c>
      <c r="T47" t="inlineStr">
        <is>
          <t>ISCOM_PAR|BAC_COM|B3|ALT</t>
        </is>
      </c>
      <c r="U47" t="inlineStr">
        <is>
          <t>ISCOM_PAR</t>
        </is>
      </c>
      <c r="V47" t="inlineStr">
        <is>
          <t>ISCOM</t>
        </is>
      </c>
      <c r="W47" t="inlineStr">
        <is>
          <t>BAC_COM</t>
        </is>
      </c>
      <c r="X47" t="inlineStr">
        <is>
          <t>B3</t>
        </is>
      </c>
      <c r="Y47" t="inlineStr">
        <is>
          <t>ALT</t>
        </is>
      </c>
      <c r="Z47">
        <v>3</v>
      </c>
      <c r="BF47" t="s">
        <v>122</v>
      </c>
      <c r="BG47" t="s">
        <v>123</v>
      </c>
      <c r="BH47" t="s">
        <v>124</v>
      </c>
      <c r="BI47" t="s">
        <v>125</v>
      </c>
      <c r="BJ47" t="s">
        <v>150</v>
      </c>
      <c r="BK47" t="s">
        <v>151</v>
      </c>
      <c r="BL47" t="s">
        <v>152</v>
      </c>
      <c r="BM47" t="s">
        <v>154</v>
      </c>
      <c r="BN47" t="s">
        <v>130</v>
      </c>
      <c r="BO47">
        <v>31</v>
      </c>
      <c r="BP47">
        <v>2</v>
      </c>
      <c r="BQ47">
        <v>180420</v>
      </c>
      <c r="BR47">
        <v>21725.556831999998</v>
      </c>
      <c r="BS47">
        <v>40999.742066999999</v>
      </c>
      <c r="BT47">
        <v>9582.1337399999993</v>
      </c>
      <c r="BU47">
        <v>63370.351999999999</v>
      </c>
      <c r="BV47">
        <v>5105.8971689999998</v>
      </c>
      <c r="BW47">
        <v>29695.450102999999</v>
      </c>
      <c r="BX47">
        <v>34801.347271999999</v>
      </c>
      <c r="BY47">
        <v>31307.690572</v>
      </c>
      <c r="BZ47">
        <v>139171.44133900001</v>
      </c>
      <c r="CA47">
        <v>170479.131911</v>
      </c>
      <c r="CB47">
        <v>9940.8680889999996</v>
      </c>
      <c r="CC47">
        <v>0</v>
      </c>
      <c r="CD47">
        <v>88144</v>
      </c>
      <c r="CE47">
        <v>166342.39999999999</v>
      </c>
      <c r="CF47">
        <v>48220</v>
      </c>
      <c r="CG47">
        <v>18155</v>
      </c>
      <c r="CH47">
        <v>316851.76</v>
      </c>
      <c r="CI47">
        <v>2639292</v>
      </c>
      <c r="CJ47">
        <v>499926</v>
      </c>
    </row>
    <row r="48" spans="2:88" x14ac:dyDescent="0.45" outlineLevel="2" hidden="1">
      <c r="B48" s="29" t="s">
        <v>99</v>
      </c>
      <c r="C48" s="30">
        <f>SUMIFS(_CALC_ALLOC!$G$1:$G$420,_CALC_ALLOC!$AS$1:$AS$420,"2027|"&amp;$P$1,_CALC_ALLOC!$B$1:$B$420,$U48,_CALC_ALLOC!$D$1:$D$420,$W48,_CALC_ALLOC!$E$1:$E$420,$X48,_CALC_ALLOC!$F$1:$F$420,$Y48)</f>
        <v>0</v>
      </c>
      <c r="D48" s="31">
        <f>SUMIFS(_CALC_ALLOC!$I$1:$I$420,_CALC_ALLOC!$AS$1:$AS$420,"2027|"&amp;$P$1,_CALC_ALLOC!$B$1:$B$420,$U48,_CALC_ALLOC!$D$1:$D$420,$W48,_CALC_ALLOC!$E$1:$E$420,$X48,_CALC_ALLOC!$F$1:$F$420,$Y48)</f>
        <v>0</v>
      </c>
      <c r="E48" s="31">
        <f>SUMIFS(_CALC_ALLOC!$AI$1:$AI$420,_CALC_ALLOC!$AS$1:$AS$420,"2027|"&amp;$P$1,_CALC_ALLOC!$B$1:$B$420,$U48,_CALC_ALLOC!$D$1:$D$420,$W48,_CALC_ALLOC!$E$1:$E$420,$X48,_CALC_ALLOC!$F$1:$F$420,$Y48)</f>
        <v>0</v>
      </c>
      <c r="F48" s="31">
        <f>SUMIFS(_CALC_ALLOC!$AJ$1:$AJ$420,_CALC_ALLOC!$AS$1:$AS$420,"2027|"&amp;$P$1,_CALC_ALLOC!$B$1:$B$420,$U48,_CALC_ALLOC!$D$1:$D$420,$W48,_CALC_ALLOC!$E$1:$E$420,$X48,_CALC_ALLOC!$F$1:$F$420,$Y48)</f>
        <v>0</v>
      </c>
      <c r="G48" s="31">
        <f>SUMIFS(_CALC_ALLOC!$AK$1:$AK$420,_CALC_ALLOC!$AS$1:$AS$420,"2027|"&amp;$P$1,_CALC_ALLOC!$B$1:$B$420,$U48,_CALC_ALLOC!$D$1:$D$420,$W48,_CALC_ALLOC!$E$1:$E$420,$X48,_CALC_ALLOC!$F$1:$F$420,$Y48)</f>
        <v>0</v>
      </c>
      <c r="H48" s="31">
        <f>SUMIFS(_CALC_ALLOC!$AL$1:$AL$420,_CALC_ALLOC!$AS$1:$AS$420,"2027|"&amp;$P$1,_CALC_ALLOC!$B$1:$B$420,$U48,_CALC_ALLOC!$D$1:$D$420,$W48,_CALC_ALLOC!$E$1:$E$420,$X48,_CALC_ALLOC!$F$1:$F$420,$Y48)</f>
        <v>0</v>
      </c>
      <c r="I48" s="31">
        <f>SUMIFS(_CALC_ALLOC!$AR$1:$AR$420,_CALC_ALLOC!$AS$1:$AS$420,"2027|"&amp;$P$1,_CALC_ALLOC!$B$1:$B$420,$U48,_CALC_ALLOC!$D$1:$D$420,$W48,_CALC_ALLOC!$E$1:$E$420,$X48,_CALC_ALLOC!$F$1:$F$420,$Y48)</f>
        <v>0</v>
      </c>
      <c r="J48" s="31">
        <f>SUMIFS(_CALC_ALLOC!$AM$1:$AM$420,_CALC_ALLOC!$AS$1:$AS$420,"2027|"&amp;$P$1,_CALC_ALLOC!$B$1:$B$420,$U48,_CALC_ALLOC!$D$1:$D$420,$W48,_CALC_ALLOC!$E$1:$E$420,$X48,_CALC_ALLOC!$F$1:$F$420,$Y48)</f>
        <v>0</v>
      </c>
      <c r="K48" s="32">
        <f t="shared" si="0"/>
        <v>0</v>
      </c>
      <c r="L48" s="33">
        <f>SUMIFS(_CALC_ALLOC!$AN$1:$AN$420,_CALC_ALLOC!$AS$1:$AS$420,"2027|"&amp;$P$1,_CALC_ALLOC!$B$1:$B$420,$U48,_CALC_ALLOC!$D$1:$D$420,$W48,_CALC_ALLOC!$E$1:$E$420,$X48,_CALC_ALLOC!$F$1:$F$420,$Y48)</f>
        <v>0</v>
      </c>
      <c r="M48" s="34">
        <f t="shared" si="1"/>
        <v>0</v>
      </c>
      <c r="T48" t="inlineStr">
        <is>
          <t>ISCOM_PAR|MAS_COM|M1|ALT</t>
        </is>
      </c>
      <c r="U48" t="inlineStr">
        <is>
          <t>ISCOM_PAR</t>
        </is>
      </c>
      <c r="V48" t="inlineStr">
        <is>
          <t>ISCOM</t>
        </is>
      </c>
      <c r="W48" t="inlineStr">
        <is>
          <t>MAS_COM</t>
        </is>
      </c>
      <c r="X48" t="inlineStr">
        <is>
          <t>M1</t>
        </is>
      </c>
      <c r="Y48" t="inlineStr">
        <is>
          <t>ALT</t>
        </is>
      </c>
      <c r="Z48">
        <v>3</v>
      </c>
      <c r="BF48" t="s">
        <v>122</v>
      </c>
      <c r="BG48" t="s">
        <v>123</v>
      </c>
      <c r="BH48" t="s">
        <v>124</v>
      </c>
      <c r="BI48" t="s">
        <v>125</v>
      </c>
      <c r="BJ48" t="s">
        <v>150</v>
      </c>
      <c r="BK48" t="s">
        <v>151</v>
      </c>
      <c r="BL48" t="s">
        <v>155</v>
      </c>
      <c r="BM48" t="s">
        <v>129</v>
      </c>
      <c r="BN48" t="s">
        <v>130</v>
      </c>
      <c r="BO48">
        <v>32</v>
      </c>
      <c r="BP48">
        <v>2</v>
      </c>
      <c r="BQ48">
        <v>220160</v>
      </c>
      <c r="BR48">
        <v>14897.570016</v>
      </c>
      <c r="BS48">
        <v>28114.194393999998</v>
      </c>
      <c r="BT48">
        <v>18968.77216</v>
      </c>
      <c r="BU48">
        <v>63370.351999999999</v>
      </c>
      <c r="BV48">
        <v>5105.8971689999998</v>
      </c>
      <c r="BW48">
        <v>29695.450102999999</v>
      </c>
      <c r="BX48">
        <v>34801.347271999999</v>
      </c>
      <c r="BY48">
        <v>33866.342175999998</v>
      </c>
      <c r="BZ48">
        <v>126285.893666</v>
      </c>
      <c r="CA48">
        <v>160152.23584199999</v>
      </c>
      <c r="CB48">
        <v>60007.764157999998</v>
      </c>
      <c r="CC48">
        <v>32</v>
      </c>
      <c r="CD48">
        <v>88144</v>
      </c>
      <c r="CE48">
        <v>166342.39999999999</v>
      </c>
      <c r="CF48">
        <v>48220</v>
      </c>
      <c r="CG48">
        <v>18155</v>
      </c>
      <c r="CH48">
        <v>316851.76</v>
      </c>
      <c r="CI48">
        <v>2639292</v>
      </c>
      <c r="CJ48">
        <v>499926</v>
      </c>
    </row>
    <row r="49" spans="2:88" x14ac:dyDescent="0.45" outlineLevel="2" hidden="1">
      <c r="B49" s="29" t="s">
        <v>100</v>
      </c>
      <c r="C49" s="30">
        <f>SUMIFS(_CALC_ALLOC!$G$1:$G$420,_CALC_ALLOC!$AS$1:$AS$420,"2027|"&amp;$P$1,_CALC_ALLOC!$B$1:$B$420,$U49,_CALC_ALLOC!$D$1:$D$420,$W49,_CALC_ALLOC!$E$1:$E$420,$X49,_CALC_ALLOC!$F$1:$F$420,$Y49)</f>
        <v>0</v>
      </c>
      <c r="D49" s="31">
        <f>SUMIFS(_CALC_ALLOC!$I$1:$I$420,_CALC_ALLOC!$AS$1:$AS$420,"2027|"&amp;$P$1,_CALC_ALLOC!$B$1:$B$420,$U49,_CALC_ALLOC!$D$1:$D$420,$W49,_CALC_ALLOC!$E$1:$E$420,$X49,_CALC_ALLOC!$F$1:$F$420,$Y49)</f>
        <v>0</v>
      </c>
      <c r="E49" s="31">
        <f>SUMIFS(_CALC_ALLOC!$AI$1:$AI$420,_CALC_ALLOC!$AS$1:$AS$420,"2027|"&amp;$P$1,_CALC_ALLOC!$B$1:$B$420,$U49,_CALC_ALLOC!$D$1:$D$420,$W49,_CALC_ALLOC!$E$1:$E$420,$X49,_CALC_ALLOC!$F$1:$F$420,$Y49)</f>
        <v>0</v>
      </c>
      <c r="F49" s="31">
        <f>SUMIFS(_CALC_ALLOC!$AJ$1:$AJ$420,_CALC_ALLOC!$AS$1:$AS$420,"2027|"&amp;$P$1,_CALC_ALLOC!$B$1:$B$420,$U49,_CALC_ALLOC!$D$1:$D$420,$W49,_CALC_ALLOC!$E$1:$E$420,$X49,_CALC_ALLOC!$F$1:$F$420,$Y49)</f>
        <v>0</v>
      </c>
      <c r="G49" s="31">
        <f>SUMIFS(_CALC_ALLOC!$AK$1:$AK$420,_CALC_ALLOC!$AS$1:$AS$420,"2027|"&amp;$P$1,_CALC_ALLOC!$B$1:$B$420,$U49,_CALC_ALLOC!$D$1:$D$420,$W49,_CALC_ALLOC!$E$1:$E$420,$X49,_CALC_ALLOC!$F$1:$F$420,$Y49)</f>
        <v>0</v>
      </c>
      <c r="H49" s="31">
        <f>SUMIFS(_CALC_ALLOC!$AL$1:$AL$420,_CALC_ALLOC!$AS$1:$AS$420,"2027|"&amp;$P$1,_CALC_ALLOC!$B$1:$B$420,$U49,_CALC_ALLOC!$D$1:$D$420,$W49,_CALC_ALLOC!$E$1:$E$420,$X49,_CALC_ALLOC!$F$1:$F$420,$Y49)</f>
        <v>0</v>
      </c>
      <c r="I49" s="31">
        <f>SUMIFS(_CALC_ALLOC!$AR$1:$AR$420,_CALC_ALLOC!$AS$1:$AS$420,"2027|"&amp;$P$1,_CALC_ALLOC!$B$1:$B$420,$U49,_CALC_ALLOC!$D$1:$D$420,$W49,_CALC_ALLOC!$E$1:$E$420,$X49,_CALC_ALLOC!$F$1:$F$420,$Y49)</f>
        <v>0</v>
      </c>
      <c r="J49" s="31">
        <f>SUMIFS(_CALC_ALLOC!$AM$1:$AM$420,_CALC_ALLOC!$AS$1:$AS$420,"2027|"&amp;$P$1,_CALC_ALLOC!$B$1:$B$420,$U49,_CALC_ALLOC!$D$1:$D$420,$W49,_CALC_ALLOC!$E$1:$E$420,$X49,_CALC_ALLOC!$F$1:$F$420,$Y49)</f>
        <v>0</v>
      </c>
      <c r="K49" s="32">
        <f t="shared" si="0"/>
        <v>0</v>
      </c>
      <c r="L49" s="33">
        <f>SUMIFS(_CALC_ALLOC!$AN$1:$AN$420,_CALC_ALLOC!$AS$1:$AS$420,"2027|"&amp;$P$1,_CALC_ALLOC!$B$1:$B$420,$U49,_CALC_ALLOC!$D$1:$D$420,$W49,_CALC_ALLOC!$E$1:$E$420,$X49,_CALC_ALLOC!$F$1:$F$420,$Y49)</f>
        <v>0</v>
      </c>
      <c r="M49" s="34">
        <f t="shared" si="1"/>
        <v>0</v>
      </c>
      <c r="T49" t="inlineStr">
        <is>
          <t>ISCOM_PAR|MAS_COM|M2|ALT</t>
        </is>
      </c>
      <c r="U49" t="inlineStr">
        <is>
          <t>ISCOM_PAR</t>
        </is>
      </c>
      <c r="V49" t="inlineStr">
        <is>
          <t>ISCOM</t>
        </is>
      </c>
      <c r="W49" t="inlineStr">
        <is>
          <t>MAS_COM</t>
        </is>
      </c>
      <c r="X49" t="inlineStr">
        <is>
          <t>M2</t>
        </is>
      </c>
      <c r="Y49" t="inlineStr">
        <is>
          <t>ALT</t>
        </is>
      </c>
      <c r="Z49">
        <v>3</v>
      </c>
      <c r="BF49" t="s">
        <v>122</v>
      </c>
      <c r="BG49" t="s">
        <v>123</v>
      </c>
      <c r="BH49" t="s">
        <v>124</v>
      </c>
      <c r="BI49" t="s">
        <v>125</v>
      </c>
      <c r="BJ49" t="s">
        <v>150</v>
      </c>
      <c r="BK49" t="s">
        <v>151</v>
      </c>
      <c r="BL49" t="s">
        <v>155</v>
      </c>
      <c r="BM49" t="s">
        <v>131</v>
      </c>
      <c r="BN49" t="s">
        <v>130</v>
      </c>
      <c r="BO49">
        <v>31</v>
      </c>
      <c r="BP49">
        <v>2</v>
      </c>
      <c r="BQ49">
        <v>210490</v>
      </c>
      <c r="BR49">
        <v>14897.570016</v>
      </c>
      <c r="BS49">
        <v>28114.194393999998</v>
      </c>
      <c r="BT49">
        <v>9582.1337399999993</v>
      </c>
      <c r="BU49">
        <v>63370.351999999999</v>
      </c>
      <c r="BV49">
        <v>5105.8971689999998</v>
      </c>
      <c r="BW49">
        <v>29695.450102999999</v>
      </c>
      <c r="BX49">
        <v>34801.347271999999</v>
      </c>
      <c r="BY49">
        <v>24479.703755999999</v>
      </c>
      <c r="BZ49">
        <v>126285.893666</v>
      </c>
      <c r="CA49">
        <v>150765.59742199999</v>
      </c>
      <c r="CB49">
        <v>59724.402578000001</v>
      </c>
      <c r="CC49">
        <v>0</v>
      </c>
      <c r="CD49">
        <v>88144</v>
      </c>
      <c r="CE49">
        <v>166342.39999999999</v>
      </c>
      <c r="CF49">
        <v>48220</v>
      </c>
      <c r="CG49">
        <v>18155</v>
      </c>
      <c r="CH49">
        <v>316851.76</v>
      </c>
      <c r="CI49">
        <v>2639292</v>
      </c>
      <c r="CJ49">
        <v>499926</v>
      </c>
    </row>
    <row r="50" spans="2:88" x14ac:dyDescent="0.45" outlineLevel="1">
      <c r="B50" s="24" t="s">
        <v>101</v>
      </c>
      <c r="C50" s="25">
        <f>SUMIFS(_CALC_ALLOC!$G$1:$G$420,_CALC_ALLOC!$AS$1:$AS$420,"2027|"&amp;$P$1,_CALC_ALLOC!$B$1:$B$420,$U50)</f>
        <v>0</v>
      </c>
      <c r="D50" s="26">
        <f>SUMIFS(_CALC_ALLOC!$I$1:$I$420,_CALC_ALLOC!$AS$1:$AS$420,"2027|"&amp;$P$1,_CALC_ALLOC!$B$1:$B$420,$U50)</f>
        <v>0</v>
      </c>
      <c r="E50" s="26">
        <f>SUMIFS(_CALC_ALLOC!$AI$1:$AI$420,_CALC_ALLOC!$AS$1:$AS$420,"2027|"&amp;$P$1,_CALC_ALLOC!$B$1:$B$420,$U50)</f>
        <v>0</v>
      </c>
      <c r="F50" s="26">
        <f>SUMIFS(_CALC_ALLOC!$AJ$1:$AJ$420,_CALC_ALLOC!$AS$1:$AS$420,"2027|"&amp;$P$1,_CALC_ALLOC!$B$1:$B$420,$U50)</f>
        <v>0</v>
      </c>
      <c r="G50" s="26">
        <f>SUMIFS(_CALC_ALLOC!$AK$1:$AK$420,_CALC_ALLOC!$AS$1:$AS$420,"2027|"&amp;$P$1,_CALC_ALLOC!$B$1:$B$420,$U50)</f>
        <v>0</v>
      </c>
      <c r="H50" s="26">
        <f>SUMIFS(_CALC_ALLOC!$AL$1:$AL$420,_CALC_ALLOC!$AS$1:$AS$420,"2027|"&amp;$P$1,_CALC_ALLOC!$B$1:$B$420,$U50)</f>
        <v>0</v>
      </c>
      <c r="I50" s="26">
        <f>SUMIFS(_CALC_ALLOC!$AR$1:$AR$420,_CALC_ALLOC!$AS$1:$AS$420,"2027|"&amp;$P$1,_CALC_ALLOC!$B$1:$B$420,$U50)</f>
        <v>0</v>
      </c>
      <c r="J50" s="26">
        <f>SUMIFS(_CALC_ALLOC!$AM$1:$AM$420,_CALC_ALLOC!$AS$1:$AS$420,"2027|"&amp;$P$1,_CALC_ALLOC!$B$1:$B$420,$U50)</f>
        <v>0</v>
      </c>
      <c r="K50" s="26">
        <f t="shared" si="0"/>
        <v>0</v>
      </c>
      <c r="L50" s="27">
        <f>SUMIFS(_CALC_ALLOC!$AN$1:$AN$420,_CALC_ALLOC!$AS$1:$AS$420,"2027|"&amp;$P$1,_CALC_ALLOC!$B$1:$B$420,$U50)</f>
        <v>0</v>
      </c>
      <c r="M50" s="28">
        <f t="shared" si="1"/>
        <v>0</v>
      </c>
      <c r="T50" t="inlineStr">
        <is>
          <t>ISCOM_LIL</t>
        </is>
      </c>
      <c r="U50" t="inlineStr">
        <is>
          <t>ISCOM_LIL</t>
        </is>
      </c>
      <c r="V50" t="inlineStr">
        <is>
          <t>ISCOM</t>
        </is>
      </c>
      <c r="Z50">
        <v>2</v>
      </c>
      <c r="BF50" t="s">
        <v>122</v>
      </c>
      <c r="BG50" t="s">
        <v>123</v>
      </c>
      <c r="BH50" t="s">
        <v>124</v>
      </c>
      <c r="BI50" t="s">
        <v>125</v>
      </c>
      <c r="BJ50" t="s">
        <v>150</v>
      </c>
      <c r="BK50" t="s">
        <v>151</v>
      </c>
      <c r="BL50" t="s">
        <v>155</v>
      </c>
      <c r="BM50" t="s">
        <v>132</v>
      </c>
      <c r="BN50" t="s">
        <v>130</v>
      </c>
      <c r="BO50">
        <v>30</v>
      </c>
      <c r="BP50">
        <v>2</v>
      </c>
      <c r="BQ50">
        <v>203700</v>
      </c>
      <c r="BR50">
        <v>14897.570016</v>
      </c>
      <c r="BS50">
        <v>28114.194393999998</v>
      </c>
      <c r="BT50">
        <v>9273.0435400000006</v>
      </c>
      <c r="BU50">
        <v>63370.351999999999</v>
      </c>
      <c r="BV50">
        <v>5105.8971689999998</v>
      </c>
      <c r="BW50">
        <v>29695.450102999999</v>
      </c>
      <c r="BX50">
        <v>34801.347271999999</v>
      </c>
      <c r="BY50">
        <v>24170.613556</v>
      </c>
      <c r="BZ50">
        <v>126285.893666</v>
      </c>
      <c r="CA50">
        <v>150456.50722199999</v>
      </c>
      <c r="CB50">
        <v>53243.492778</v>
      </c>
      <c r="CC50">
        <v>0</v>
      </c>
      <c r="CD50">
        <v>88144</v>
      </c>
      <c r="CE50">
        <v>166342.39999999999</v>
      </c>
      <c r="CF50">
        <v>48220</v>
      </c>
      <c r="CG50">
        <v>18155</v>
      </c>
      <c r="CH50">
        <v>316851.76</v>
      </c>
      <c r="CI50">
        <v>2639292</v>
      </c>
      <c r="CJ50">
        <v>499926</v>
      </c>
    </row>
    <row r="51" spans="2:88" x14ac:dyDescent="0.45" outlineLevel="2" hidden="1">
      <c r="B51" s="29" t="s">
        <v>96</v>
      </c>
      <c r="C51" s="30">
        <f>SUMIFS(_CALC_ALLOC!$G$1:$G$420,_CALC_ALLOC!$AS$1:$AS$420,"2027|"&amp;$P$1,_CALC_ALLOC!$B$1:$B$420,$U51,_CALC_ALLOC!$D$1:$D$420,$W51,_CALC_ALLOC!$E$1:$E$420,$X51,_CALC_ALLOC!$F$1:$F$420,$Y51)</f>
        <v>0</v>
      </c>
      <c r="D51" s="31">
        <f>SUMIFS(_CALC_ALLOC!$I$1:$I$420,_CALC_ALLOC!$AS$1:$AS$420,"2027|"&amp;$P$1,_CALC_ALLOC!$B$1:$B$420,$U51,_CALC_ALLOC!$D$1:$D$420,$W51,_CALC_ALLOC!$E$1:$E$420,$X51,_CALC_ALLOC!$F$1:$F$420,$Y51)</f>
        <v>0</v>
      </c>
      <c r="E51" s="31">
        <f>SUMIFS(_CALC_ALLOC!$AI$1:$AI$420,_CALC_ALLOC!$AS$1:$AS$420,"2027|"&amp;$P$1,_CALC_ALLOC!$B$1:$B$420,$U51,_CALC_ALLOC!$D$1:$D$420,$W51,_CALC_ALLOC!$E$1:$E$420,$X51,_CALC_ALLOC!$F$1:$F$420,$Y51)</f>
        <v>0</v>
      </c>
      <c r="F51" s="31">
        <f>SUMIFS(_CALC_ALLOC!$AJ$1:$AJ$420,_CALC_ALLOC!$AS$1:$AS$420,"2027|"&amp;$P$1,_CALC_ALLOC!$B$1:$B$420,$U51,_CALC_ALLOC!$D$1:$D$420,$W51,_CALC_ALLOC!$E$1:$E$420,$X51,_CALC_ALLOC!$F$1:$F$420,$Y51)</f>
        <v>0</v>
      </c>
      <c r="G51" s="31">
        <f>SUMIFS(_CALC_ALLOC!$AK$1:$AK$420,_CALC_ALLOC!$AS$1:$AS$420,"2027|"&amp;$P$1,_CALC_ALLOC!$B$1:$B$420,$U51,_CALC_ALLOC!$D$1:$D$420,$W51,_CALC_ALLOC!$E$1:$E$420,$X51,_CALC_ALLOC!$F$1:$F$420,$Y51)</f>
        <v>0</v>
      </c>
      <c r="H51" s="31">
        <f>SUMIFS(_CALC_ALLOC!$AL$1:$AL$420,_CALC_ALLOC!$AS$1:$AS$420,"2027|"&amp;$P$1,_CALC_ALLOC!$B$1:$B$420,$U51,_CALC_ALLOC!$D$1:$D$420,$W51,_CALC_ALLOC!$E$1:$E$420,$X51,_CALC_ALLOC!$F$1:$F$420,$Y51)</f>
        <v>0</v>
      </c>
      <c r="I51" s="31">
        <f>SUMIFS(_CALC_ALLOC!$AR$1:$AR$420,_CALC_ALLOC!$AS$1:$AS$420,"2027|"&amp;$P$1,_CALC_ALLOC!$B$1:$B$420,$U51,_CALC_ALLOC!$D$1:$D$420,$W51,_CALC_ALLOC!$E$1:$E$420,$X51,_CALC_ALLOC!$F$1:$F$420,$Y51)</f>
        <v>0</v>
      </c>
      <c r="J51" s="31">
        <f>SUMIFS(_CALC_ALLOC!$AM$1:$AM$420,_CALC_ALLOC!$AS$1:$AS$420,"2027|"&amp;$P$1,_CALC_ALLOC!$B$1:$B$420,$U51,_CALC_ALLOC!$D$1:$D$420,$W51,_CALC_ALLOC!$E$1:$E$420,$X51,_CALC_ALLOC!$F$1:$F$420,$Y51)</f>
        <v>0</v>
      </c>
      <c r="K51" s="32">
        <f t="shared" si="0"/>
        <v>0</v>
      </c>
      <c r="L51" s="33">
        <f>SUMIFS(_CALC_ALLOC!$AN$1:$AN$420,_CALC_ALLOC!$AS$1:$AS$420,"2027|"&amp;$P$1,_CALC_ALLOC!$B$1:$B$420,$U51,_CALC_ALLOC!$D$1:$D$420,$W51,_CALC_ALLOC!$E$1:$E$420,$X51,_CALC_ALLOC!$F$1:$F$420,$Y51)</f>
        <v>0</v>
      </c>
      <c r="M51" s="34">
        <f t="shared" si="1"/>
        <v>0</v>
      </c>
      <c r="T51" t="inlineStr">
        <is>
          <t>ISCOM_LIL|BAC_COM|B1|INIT</t>
        </is>
      </c>
      <c r="U51" t="inlineStr">
        <is>
          <t>ISCOM_LIL</t>
        </is>
      </c>
      <c r="V51" t="inlineStr">
        <is>
          <t>ISCOM</t>
        </is>
      </c>
      <c r="W51" t="inlineStr">
        <is>
          <t>BAC_COM</t>
        </is>
      </c>
      <c r="X51" t="inlineStr">
        <is>
          <t>B1</t>
        </is>
      </c>
      <c r="Y51" t="inlineStr">
        <is>
          <t>INIT</t>
        </is>
      </c>
      <c r="Z51">
        <v>3</v>
      </c>
      <c r="BF51" t="s">
        <v>122</v>
      </c>
      <c r="BG51" t="s">
        <v>123</v>
      </c>
      <c r="BH51" t="s">
        <v>124</v>
      </c>
      <c r="BI51" t="s">
        <v>125</v>
      </c>
      <c r="BJ51" t="s">
        <v>156</v>
      </c>
      <c r="BK51" t="s">
        <v>151</v>
      </c>
      <c r="BL51" t="s">
        <v>155</v>
      </c>
      <c r="BM51" t="s">
        <v>132</v>
      </c>
      <c r="BN51" t="s">
        <v>130</v>
      </c>
      <c r="BO51">
        <v>39</v>
      </c>
      <c r="BP51">
        <v>2</v>
      </c>
      <c r="BQ51">
        <v>286650</v>
      </c>
      <c r="BR51">
        <v>14897.570016</v>
      </c>
      <c r="BS51">
        <v>37284.457976999998</v>
      </c>
      <c r="BT51">
        <v>11991.768316</v>
      </c>
      <c r="BU51">
        <v>98210.433999999994</v>
      </c>
      <c r="BV51">
        <v>6578.7615589999996</v>
      </c>
      <c r="BW51">
        <v>38261.500214</v>
      </c>
      <c r="BX51">
        <v>44840.261772999998</v>
      </c>
      <c r="BY51">
        <v>26889.338331999999</v>
      </c>
      <c r="BZ51">
        <v>180335.15375</v>
      </c>
      <c r="CA51">
        <v>207224.49208200001</v>
      </c>
      <c r="CB51">
        <v>79425.507918000003</v>
      </c>
      <c r="CC51">
        <v>0</v>
      </c>
      <c r="CD51">
        <v>88144</v>
      </c>
      <c r="CE51">
        <v>220599.82</v>
      </c>
      <c r="CF51">
        <v>61804</v>
      </c>
      <c r="CG51">
        <v>30258</v>
      </c>
      <c r="CH51">
        <v>491052.17</v>
      </c>
      <c r="CI51">
        <v>2639292</v>
      </c>
      <c r="CJ51">
        <v>499926</v>
      </c>
    </row>
    <row r="52" spans="2:88" x14ac:dyDescent="0.45" outlineLevel="2" hidden="1">
      <c r="B52" s="29" t="s">
        <v>97</v>
      </c>
      <c r="C52" s="30">
        <f>SUMIFS(_CALC_ALLOC!$G$1:$G$420,_CALC_ALLOC!$AS$1:$AS$420,"2027|"&amp;$P$1,_CALC_ALLOC!$B$1:$B$420,$U52,_CALC_ALLOC!$D$1:$D$420,$W52,_CALC_ALLOC!$E$1:$E$420,$X52,_CALC_ALLOC!$F$1:$F$420,$Y52)</f>
        <v>0</v>
      </c>
      <c r="D52" s="31">
        <f>SUMIFS(_CALC_ALLOC!$I$1:$I$420,_CALC_ALLOC!$AS$1:$AS$420,"2027|"&amp;$P$1,_CALC_ALLOC!$B$1:$B$420,$U52,_CALC_ALLOC!$D$1:$D$420,$W52,_CALC_ALLOC!$E$1:$E$420,$X52,_CALC_ALLOC!$F$1:$F$420,$Y52)</f>
        <v>0</v>
      </c>
      <c r="E52" s="31">
        <f>SUMIFS(_CALC_ALLOC!$AI$1:$AI$420,_CALC_ALLOC!$AS$1:$AS$420,"2027|"&amp;$P$1,_CALC_ALLOC!$B$1:$B$420,$U52,_CALC_ALLOC!$D$1:$D$420,$W52,_CALC_ALLOC!$E$1:$E$420,$X52,_CALC_ALLOC!$F$1:$F$420,$Y52)</f>
        <v>0</v>
      </c>
      <c r="F52" s="31">
        <f>SUMIFS(_CALC_ALLOC!$AJ$1:$AJ$420,_CALC_ALLOC!$AS$1:$AS$420,"2027|"&amp;$P$1,_CALC_ALLOC!$B$1:$B$420,$U52,_CALC_ALLOC!$D$1:$D$420,$W52,_CALC_ALLOC!$E$1:$E$420,$X52,_CALC_ALLOC!$F$1:$F$420,$Y52)</f>
        <v>0</v>
      </c>
      <c r="G52" s="31">
        <f>SUMIFS(_CALC_ALLOC!$AK$1:$AK$420,_CALC_ALLOC!$AS$1:$AS$420,"2027|"&amp;$P$1,_CALC_ALLOC!$B$1:$B$420,$U52,_CALC_ALLOC!$D$1:$D$420,$W52,_CALC_ALLOC!$E$1:$E$420,$X52,_CALC_ALLOC!$F$1:$F$420,$Y52)</f>
        <v>0</v>
      </c>
      <c r="H52" s="31">
        <f>SUMIFS(_CALC_ALLOC!$AL$1:$AL$420,_CALC_ALLOC!$AS$1:$AS$420,"2027|"&amp;$P$1,_CALC_ALLOC!$B$1:$B$420,$U52,_CALC_ALLOC!$D$1:$D$420,$W52,_CALC_ALLOC!$E$1:$E$420,$X52,_CALC_ALLOC!$F$1:$F$420,$Y52)</f>
        <v>0</v>
      </c>
      <c r="I52" s="31">
        <f>SUMIFS(_CALC_ALLOC!$AR$1:$AR$420,_CALC_ALLOC!$AS$1:$AS$420,"2027|"&amp;$P$1,_CALC_ALLOC!$B$1:$B$420,$U52,_CALC_ALLOC!$D$1:$D$420,$W52,_CALC_ALLOC!$E$1:$E$420,$X52,_CALC_ALLOC!$F$1:$F$420,$Y52)</f>
        <v>0</v>
      </c>
      <c r="J52" s="31">
        <f>SUMIFS(_CALC_ALLOC!$AM$1:$AM$420,_CALC_ALLOC!$AS$1:$AS$420,"2027|"&amp;$P$1,_CALC_ALLOC!$B$1:$B$420,$U52,_CALC_ALLOC!$D$1:$D$420,$W52,_CALC_ALLOC!$E$1:$E$420,$X52,_CALC_ALLOC!$F$1:$F$420,$Y52)</f>
        <v>0</v>
      </c>
      <c r="K52" s="32">
        <f t="shared" si="0"/>
        <v>0</v>
      </c>
      <c r="L52" s="33">
        <f>SUMIFS(_CALC_ALLOC!$AN$1:$AN$420,_CALC_ALLOC!$AS$1:$AS$420,"2027|"&amp;$P$1,_CALC_ALLOC!$B$1:$B$420,$U52,_CALC_ALLOC!$D$1:$D$420,$W52,_CALC_ALLOC!$E$1:$E$420,$X52,_CALC_ALLOC!$F$1:$F$420,$Y52)</f>
        <v>0</v>
      </c>
      <c r="M52" s="34">
        <f t="shared" si="1"/>
        <v>0</v>
      </c>
      <c r="T52" t="inlineStr">
        <is>
          <t>ISCOM_LIL|BAC_COM|B2|ALT</t>
        </is>
      </c>
      <c r="U52" t="inlineStr">
        <is>
          <t>ISCOM_LIL</t>
        </is>
      </c>
      <c r="V52" t="inlineStr">
        <is>
          <t>ISCOM</t>
        </is>
      </c>
      <c r="W52" t="inlineStr">
        <is>
          <t>BAC_COM</t>
        </is>
      </c>
      <c r="X52" t="inlineStr">
        <is>
          <t>B2</t>
        </is>
      </c>
      <c r="Y52" t="inlineStr">
        <is>
          <t>ALT</t>
        </is>
      </c>
      <c r="Z52">
        <v>3</v>
      </c>
      <c r="BF52" t="s">
        <v>122</v>
      </c>
      <c r="BG52" t="s">
        <v>123</v>
      </c>
      <c r="BH52" t="s">
        <v>124</v>
      </c>
      <c r="BI52" t="s">
        <v>125</v>
      </c>
      <c r="BJ52" t="s">
        <v>156</v>
      </c>
      <c r="BK52" t="s">
        <v>151</v>
      </c>
      <c r="BL52" t="s">
        <v>152</v>
      </c>
      <c r="BM52" t="s">
        <v>153</v>
      </c>
      <c r="BN52" t="s">
        <v>130</v>
      </c>
      <c r="BO52">
        <v>41</v>
      </c>
      <c r="BP52">
        <v>2</v>
      </c>
      <c r="BQ52">
        <v>261990</v>
      </c>
      <c r="BR52">
        <v>21725.556831999998</v>
      </c>
      <c r="BS52">
        <v>54373.002434000002</v>
      </c>
      <c r="BT52">
        <v>27735.779920000001</v>
      </c>
      <c r="BU52">
        <v>98210.433999999994</v>
      </c>
      <c r="BV52">
        <v>6578.7615589999996</v>
      </c>
      <c r="BW52">
        <v>38261.500214</v>
      </c>
      <c r="BX52">
        <v>44840.261772999998</v>
      </c>
      <c r="BY52">
        <v>49461.336752000003</v>
      </c>
      <c r="BZ52">
        <v>197423.69820700001</v>
      </c>
      <c r="CA52">
        <v>246885.03495900001</v>
      </c>
      <c r="CB52">
        <v>15104.965040999999</v>
      </c>
      <c r="CC52">
        <v>41</v>
      </c>
      <c r="CD52">
        <v>88144</v>
      </c>
      <c r="CE52">
        <v>220599.82</v>
      </c>
      <c r="CF52">
        <v>61804</v>
      </c>
      <c r="CG52">
        <v>30258</v>
      </c>
      <c r="CH52">
        <v>491052.17</v>
      </c>
      <c r="CI52">
        <v>2639292</v>
      </c>
      <c r="CJ52">
        <v>499926</v>
      </c>
    </row>
    <row r="53" spans="2:88" x14ac:dyDescent="0.45" outlineLevel="2" hidden="1">
      <c r="B53" s="29" t="s">
        <v>98</v>
      </c>
      <c r="C53" s="30">
        <f>SUMIFS(_CALC_ALLOC!$G$1:$G$420,_CALC_ALLOC!$AS$1:$AS$420,"2027|"&amp;$P$1,_CALC_ALLOC!$B$1:$B$420,$U53,_CALC_ALLOC!$D$1:$D$420,$W53,_CALC_ALLOC!$E$1:$E$420,$X53,_CALC_ALLOC!$F$1:$F$420,$Y53)</f>
        <v>0</v>
      </c>
      <c r="D53" s="31">
        <f>SUMIFS(_CALC_ALLOC!$I$1:$I$420,_CALC_ALLOC!$AS$1:$AS$420,"2027|"&amp;$P$1,_CALC_ALLOC!$B$1:$B$420,$U53,_CALC_ALLOC!$D$1:$D$420,$W53,_CALC_ALLOC!$E$1:$E$420,$X53,_CALC_ALLOC!$F$1:$F$420,$Y53)</f>
        <v>0</v>
      </c>
      <c r="E53" s="31">
        <f>SUMIFS(_CALC_ALLOC!$AI$1:$AI$420,_CALC_ALLOC!$AS$1:$AS$420,"2027|"&amp;$P$1,_CALC_ALLOC!$B$1:$B$420,$U53,_CALC_ALLOC!$D$1:$D$420,$W53,_CALC_ALLOC!$E$1:$E$420,$X53,_CALC_ALLOC!$F$1:$F$420,$Y53)</f>
        <v>0</v>
      </c>
      <c r="F53" s="31">
        <f>SUMIFS(_CALC_ALLOC!$AJ$1:$AJ$420,_CALC_ALLOC!$AS$1:$AS$420,"2027|"&amp;$P$1,_CALC_ALLOC!$B$1:$B$420,$U53,_CALC_ALLOC!$D$1:$D$420,$W53,_CALC_ALLOC!$E$1:$E$420,$X53,_CALC_ALLOC!$F$1:$F$420,$Y53)</f>
        <v>0</v>
      </c>
      <c r="G53" s="31">
        <f>SUMIFS(_CALC_ALLOC!$AK$1:$AK$420,_CALC_ALLOC!$AS$1:$AS$420,"2027|"&amp;$P$1,_CALC_ALLOC!$B$1:$B$420,$U53,_CALC_ALLOC!$D$1:$D$420,$W53,_CALC_ALLOC!$E$1:$E$420,$X53,_CALC_ALLOC!$F$1:$F$420,$Y53)</f>
        <v>0</v>
      </c>
      <c r="H53" s="31">
        <f>SUMIFS(_CALC_ALLOC!$AL$1:$AL$420,_CALC_ALLOC!$AS$1:$AS$420,"2027|"&amp;$P$1,_CALC_ALLOC!$B$1:$B$420,$U53,_CALC_ALLOC!$D$1:$D$420,$W53,_CALC_ALLOC!$E$1:$E$420,$X53,_CALC_ALLOC!$F$1:$F$420,$Y53)</f>
        <v>0</v>
      </c>
      <c r="I53" s="31">
        <f>SUMIFS(_CALC_ALLOC!$AR$1:$AR$420,_CALC_ALLOC!$AS$1:$AS$420,"2027|"&amp;$P$1,_CALC_ALLOC!$B$1:$B$420,$U53,_CALC_ALLOC!$D$1:$D$420,$W53,_CALC_ALLOC!$E$1:$E$420,$X53,_CALC_ALLOC!$F$1:$F$420,$Y53)</f>
        <v>0</v>
      </c>
      <c r="J53" s="31">
        <f>SUMIFS(_CALC_ALLOC!$AM$1:$AM$420,_CALC_ALLOC!$AS$1:$AS$420,"2027|"&amp;$P$1,_CALC_ALLOC!$B$1:$B$420,$U53,_CALC_ALLOC!$D$1:$D$420,$W53,_CALC_ALLOC!$E$1:$E$420,$X53,_CALC_ALLOC!$F$1:$F$420,$Y53)</f>
        <v>0</v>
      </c>
      <c r="K53" s="32">
        <f t="shared" si="0"/>
        <v>0</v>
      </c>
      <c r="L53" s="33">
        <f>SUMIFS(_CALC_ALLOC!$AN$1:$AN$420,_CALC_ALLOC!$AS$1:$AS$420,"2027|"&amp;$P$1,_CALC_ALLOC!$B$1:$B$420,$U53,_CALC_ALLOC!$D$1:$D$420,$W53,_CALC_ALLOC!$E$1:$E$420,$X53,_CALC_ALLOC!$F$1:$F$420,$Y53)</f>
        <v>0</v>
      </c>
      <c r="M53" s="34">
        <f t="shared" si="1"/>
        <v>0</v>
      </c>
      <c r="T53" t="inlineStr">
        <is>
          <t>ISCOM_LIL|BAC_COM|B3|ALT</t>
        </is>
      </c>
      <c r="U53" t="inlineStr">
        <is>
          <t>ISCOM_LIL</t>
        </is>
      </c>
      <c r="V53" t="inlineStr">
        <is>
          <t>ISCOM</t>
        </is>
      </c>
      <c r="W53" t="inlineStr">
        <is>
          <t>BAC_COM</t>
        </is>
      </c>
      <c r="X53" t="inlineStr">
        <is>
          <t>B3</t>
        </is>
      </c>
      <c r="Y53" t="inlineStr">
        <is>
          <t>ALT</t>
        </is>
      </c>
      <c r="Z53">
        <v>3</v>
      </c>
      <c r="BF53" t="s">
        <v>122</v>
      </c>
      <c r="BG53" t="s">
        <v>123</v>
      </c>
      <c r="BH53" t="s">
        <v>124</v>
      </c>
      <c r="BI53" t="s">
        <v>125</v>
      </c>
      <c r="BJ53" t="s">
        <v>156</v>
      </c>
      <c r="BK53" t="s">
        <v>151</v>
      </c>
      <c r="BL53" t="s">
        <v>152</v>
      </c>
      <c r="BM53" t="s">
        <v>154</v>
      </c>
      <c r="BN53" t="s">
        <v>130</v>
      </c>
      <c r="BO53">
        <v>40</v>
      </c>
      <c r="BP53">
        <v>2</v>
      </c>
      <c r="BQ53">
        <v>252000</v>
      </c>
      <c r="BR53">
        <v>21725.556831999998</v>
      </c>
      <c r="BS53">
        <v>54373.002434000002</v>
      </c>
      <c r="BT53">
        <v>12299.243216000001</v>
      </c>
      <c r="BU53">
        <v>98210.433999999994</v>
      </c>
      <c r="BV53">
        <v>6578.7615589999996</v>
      </c>
      <c r="BW53">
        <v>38261.500214</v>
      </c>
      <c r="BX53">
        <v>44840.261772999998</v>
      </c>
      <c r="BY53">
        <v>34024.800047999997</v>
      </c>
      <c r="BZ53">
        <v>197423.69820700001</v>
      </c>
      <c r="CA53">
        <v>231448.49825500001</v>
      </c>
      <c r="CB53">
        <v>20551.501745000001</v>
      </c>
      <c r="CC53">
        <v>0</v>
      </c>
      <c r="CD53">
        <v>88144</v>
      </c>
      <c r="CE53">
        <v>220599.82</v>
      </c>
      <c r="CF53">
        <v>61804</v>
      </c>
      <c r="CG53">
        <v>30258</v>
      </c>
      <c r="CH53">
        <v>491052.17</v>
      </c>
      <c r="CI53">
        <v>2639292</v>
      </c>
      <c r="CJ53">
        <v>499926</v>
      </c>
    </row>
    <row r="54" spans="2:88" x14ac:dyDescent="0.45" outlineLevel="2" hidden="1">
      <c r="B54" s="29" t="s">
        <v>99</v>
      </c>
      <c r="C54" s="30">
        <f>SUMIFS(_CALC_ALLOC!$G$1:$G$420,_CALC_ALLOC!$AS$1:$AS$420,"2027|"&amp;$P$1,_CALC_ALLOC!$B$1:$B$420,$U54,_CALC_ALLOC!$D$1:$D$420,$W54,_CALC_ALLOC!$E$1:$E$420,$X54,_CALC_ALLOC!$F$1:$F$420,$Y54)</f>
        <v>0</v>
      </c>
      <c r="D54" s="31">
        <f>SUMIFS(_CALC_ALLOC!$I$1:$I$420,_CALC_ALLOC!$AS$1:$AS$420,"2027|"&amp;$P$1,_CALC_ALLOC!$B$1:$B$420,$U54,_CALC_ALLOC!$D$1:$D$420,$W54,_CALC_ALLOC!$E$1:$E$420,$X54,_CALC_ALLOC!$F$1:$F$420,$Y54)</f>
        <v>0</v>
      </c>
      <c r="E54" s="31">
        <f>SUMIFS(_CALC_ALLOC!$AI$1:$AI$420,_CALC_ALLOC!$AS$1:$AS$420,"2027|"&amp;$P$1,_CALC_ALLOC!$B$1:$B$420,$U54,_CALC_ALLOC!$D$1:$D$420,$W54,_CALC_ALLOC!$E$1:$E$420,$X54,_CALC_ALLOC!$F$1:$F$420,$Y54)</f>
        <v>0</v>
      </c>
      <c r="F54" s="31">
        <f>SUMIFS(_CALC_ALLOC!$AJ$1:$AJ$420,_CALC_ALLOC!$AS$1:$AS$420,"2027|"&amp;$P$1,_CALC_ALLOC!$B$1:$B$420,$U54,_CALC_ALLOC!$D$1:$D$420,$W54,_CALC_ALLOC!$E$1:$E$420,$X54,_CALC_ALLOC!$F$1:$F$420,$Y54)</f>
        <v>0</v>
      </c>
      <c r="G54" s="31">
        <f>SUMIFS(_CALC_ALLOC!$AK$1:$AK$420,_CALC_ALLOC!$AS$1:$AS$420,"2027|"&amp;$P$1,_CALC_ALLOC!$B$1:$B$420,$U54,_CALC_ALLOC!$D$1:$D$420,$W54,_CALC_ALLOC!$E$1:$E$420,$X54,_CALC_ALLOC!$F$1:$F$420,$Y54)</f>
        <v>0</v>
      </c>
      <c r="H54" s="31">
        <f>SUMIFS(_CALC_ALLOC!$AL$1:$AL$420,_CALC_ALLOC!$AS$1:$AS$420,"2027|"&amp;$P$1,_CALC_ALLOC!$B$1:$B$420,$U54,_CALC_ALLOC!$D$1:$D$420,$W54,_CALC_ALLOC!$E$1:$E$420,$X54,_CALC_ALLOC!$F$1:$F$420,$Y54)</f>
        <v>0</v>
      </c>
      <c r="I54" s="31">
        <f>SUMIFS(_CALC_ALLOC!$AR$1:$AR$420,_CALC_ALLOC!$AS$1:$AS$420,"2027|"&amp;$P$1,_CALC_ALLOC!$B$1:$B$420,$U54,_CALC_ALLOC!$D$1:$D$420,$W54,_CALC_ALLOC!$E$1:$E$420,$X54,_CALC_ALLOC!$F$1:$F$420,$Y54)</f>
        <v>0</v>
      </c>
      <c r="J54" s="31">
        <f>SUMIFS(_CALC_ALLOC!$AM$1:$AM$420,_CALC_ALLOC!$AS$1:$AS$420,"2027|"&amp;$P$1,_CALC_ALLOC!$B$1:$B$420,$U54,_CALC_ALLOC!$D$1:$D$420,$W54,_CALC_ALLOC!$E$1:$E$420,$X54,_CALC_ALLOC!$F$1:$F$420,$Y54)</f>
        <v>0</v>
      </c>
      <c r="K54" s="32">
        <f t="shared" si="0"/>
        <v>0</v>
      </c>
      <c r="L54" s="33">
        <f>SUMIFS(_CALC_ALLOC!$AN$1:$AN$420,_CALC_ALLOC!$AS$1:$AS$420,"2027|"&amp;$P$1,_CALC_ALLOC!$B$1:$B$420,$U54,_CALC_ALLOC!$D$1:$D$420,$W54,_CALC_ALLOC!$E$1:$E$420,$X54,_CALC_ALLOC!$F$1:$F$420,$Y54)</f>
        <v>0</v>
      </c>
      <c r="M54" s="34">
        <f t="shared" si="1"/>
        <v>0</v>
      </c>
      <c r="T54" t="inlineStr">
        <is>
          <t>ISCOM_LIL|MAS_COM|M1|ALT</t>
        </is>
      </c>
      <c r="U54" t="inlineStr">
        <is>
          <t>ISCOM_LIL</t>
        </is>
      </c>
      <c r="V54" t="inlineStr">
        <is>
          <t>ISCOM</t>
        </is>
      </c>
      <c r="W54" t="inlineStr">
        <is>
          <t>MAS_COM</t>
        </is>
      </c>
      <c r="X54" t="inlineStr">
        <is>
          <t>M1</t>
        </is>
      </c>
      <c r="Y54" t="inlineStr">
        <is>
          <t>ALT</t>
        </is>
      </c>
      <c r="Z54">
        <v>3</v>
      </c>
      <c r="BF54" t="s">
        <v>122</v>
      </c>
      <c r="BG54" t="s">
        <v>123</v>
      </c>
      <c r="BH54" t="s">
        <v>124</v>
      </c>
      <c r="BI54" t="s">
        <v>125</v>
      </c>
      <c r="BJ54" t="s">
        <v>156</v>
      </c>
      <c r="BK54" t="s">
        <v>151</v>
      </c>
      <c r="BL54" t="s">
        <v>155</v>
      </c>
      <c r="BM54" t="s">
        <v>129</v>
      </c>
      <c r="BN54" t="s">
        <v>130</v>
      </c>
      <c r="BO54">
        <v>41</v>
      </c>
      <c r="BP54">
        <v>2</v>
      </c>
      <c r="BQ54">
        <v>305040</v>
      </c>
      <c r="BR54">
        <v>14897.570016</v>
      </c>
      <c r="BS54">
        <v>37284.457976999998</v>
      </c>
      <c r="BT54">
        <v>27735.779920000001</v>
      </c>
      <c r="BU54">
        <v>98210.433999999994</v>
      </c>
      <c r="BV54">
        <v>6578.7615589999996</v>
      </c>
      <c r="BW54">
        <v>38261.500214</v>
      </c>
      <c r="BX54">
        <v>44840.261772999998</v>
      </c>
      <c r="BY54">
        <v>42633.349935999999</v>
      </c>
      <c r="BZ54">
        <v>180335.15375</v>
      </c>
      <c r="CA54">
        <v>222968.50368600001</v>
      </c>
      <c r="CB54">
        <v>82071.496314000004</v>
      </c>
      <c r="CC54">
        <v>41</v>
      </c>
      <c r="CD54">
        <v>88144</v>
      </c>
      <c r="CE54">
        <v>220599.82</v>
      </c>
      <c r="CF54">
        <v>61804</v>
      </c>
      <c r="CG54">
        <v>30258</v>
      </c>
      <c r="CH54">
        <v>491052.17</v>
      </c>
      <c r="CI54">
        <v>2639292</v>
      </c>
      <c r="CJ54">
        <v>499926</v>
      </c>
    </row>
    <row r="55" spans="2:88" x14ac:dyDescent="0.45" outlineLevel="2" hidden="1">
      <c r="B55" s="29" t="s">
        <v>100</v>
      </c>
      <c r="C55" s="30">
        <f>SUMIFS(_CALC_ALLOC!$G$1:$G$420,_CALC_ALLOC!$AS$1:$AS$420,"2027|"&amp;$P$1,_CALC_ALLOC!$B$1:$B$420,$U55,_CALC_ALLOC!$D$1:$D$420,$W55,_CALC_ALLOC!$E$1:$E$420,$X55,_CALC_ALLOC!$F$1:$F$420,$Y55)</f>
        <v>0</v>
      </c>
      <c r="D55" s="31">
        <f>SUMIFS(_CALC_ALLOC!$I$1:$I$420,_CALC_ALLOC!$AS$1:$AS$420,"2027|"&amp;$P$1,_CALC_ALLOC!$B$1:$B$420,$U55,_CALC_ALLOC!$D$1:$D$420,$W55,_CALC_ALLOC!$E$1:$E$420,$X55,_CALC_ALLOC!$F$1:$F$420,$Y55)</f>
        <v>0</v>
      </c>
      <c r="E55" s="31">
        <f>SUMIFS(_CALC_ALLOC!$AI$1:$AI$420,_CALC_ALLOC!$AS$1:$AS$420,"2027|"&amp;$P$1,_CALC_ALLOC!$B$1:$B$420,$U55,_CALC_ALLOC!$D$1:$D$420,$W55,_CALC_ALLOC!$E$1:$E$420,$X55,_CALC_ALLOC!$F$1:$F$420,$Y55)</f>
        <v>0</v>
      </c>
      <c r="F55" s="31">
        <f>SUMIFS(_CALC_ALLOC!$AJ$1:$AJ$420,_CALC_ALLOC!$AS$1:$AS$420,"2027|"&amp;$P$1,_CALC_ALLOC!$B$1:$B$420,$U55,_CALC_ALLOC!$D$1:$D$420,$W55,_CALC_ALLOC!$E$1:$E$420,$X55,_CALC_ALLOC!$F$1:$F$420,$Y55)</f>
        <v>0</v>
      </c>
      <c r="G55" s="31">
        <f>SUMIFS(_CALC_ALLOC!$AK$1:$AK$420,_CALC_ALLOC!$AS$1:$AS$420,"2027|"&amp;$P$1,_CALC_ALLOC!$B$1:$B$420,$U55,_CALC_ALLOC!$D$1:$D$420,$W55,_CALC_ALLOC!$E$1:$E$420,$X55,_CALC_ALLOC!$F$1:$F$420,$Y55)</f>
        <v>0</v>
      </c>
      <c r="H55" s="31">
        <f>SUMIFS(_CALC_ALLOC!$AL$1:$AL$420,_CALC_ALLOC!$AS$1:$AS$420,"2027|"&amp;$P$1,_CALC_ALLOC!$B$1:$B$420,$U55,_CALC_ALLOC!$D$1:$D$420,$W55,_CALC_ALLOC!$E$1:$E$420,$X55,_CALC_ALLOC!$F$1:$F$420,$Y55)</f>
        <v>0</v>
      </c>
      <c r="I55" s="31">
        <f>SUMIFS(_CALC_ALLOC!$AR$1:$AR$420,_CALC_ALLOC!$AS$1:$AS$420,"2027|"&amp;$P$1,_CALC_ALLOC!$B$1:$B$420,$U55,_CALC_ALLOC!$D$1:$D$420,$W55,_CALC_ALLOC!$E$1:$E$420,$X55,_CALC_ALLOC!$F$1:$F$420,$Y55)</f>
        <v>0</v>
      </c>
      <c r="J55" s="31">
        <f>SUMIFS(_CALC_ALLOC!$AM$1:$AM$420,_CALC_ALLOC!$AS$1:$AS$420,"2027|"&amp;$P$1,_CALC_ALLOC!$B$1:$B$420,$U55,_CALC_ALLOC!$D$1:$D$420,$W55,_CALC_ALLOC!$E$1:$E$420,$X55,_CALC_ALLOC!$F$1:$F$420,$Y55)</f>
        <v>0</v>
      </c>
      <c r="K55" s="32">
        <f t="shared" si="0"/>
        <v>0</v>
      </c>
      <c r="L55" s="33">
        <f>SUMIFS(_CALC_ALLOC!$AN$1:$AN$420,_CALC_ALLOC!$AS$1:$AS$420,"2027|"&amp;$P$1,_CALC_ALLOC!$B$1:$B$420,$U55,_CALC_ALLOC!$D$1:$D$420,$W55,_CALC_ALLOC!$E$1:$E$420,$X55,_CALC_ALLOC!$F$1:$F$420,$Y55)</f>
        <v>0</v>
      </c>
      <c r="M55" s="34">
        <f t="shared" si="1"/>
        <v>0</v>
      </c>
      <c r="T55" t="inlineStr">
        <is>
          <t>ISCOM_LIL|MAS_COM|M2|ALT</t>
        </is>
      </c>
      <c r="U55" t="inlineStr">
        <is>
          <t>ISCOM_LIL</t>
        </is>
      </c>
      <c r="V55" t="inlineStr">
        <is>
          <t>ISCOM</t>
        </is>
      </c>
      <c r="W55" t="inlineStr">
        <is>
          <t>MAS_COM</t>
        </is>
      </c>
      <c r="X55" t="inlineStr">
        <is>
          <t>M2</t>
        </is>
      </c>
      <c r="Y55" t="inlineStr">
        <is>
          <t>ALT</t>
        </is>
      </c>
      <c r="Z55">
        <v>3</v>
      </c>
      <c r="BF55" t="s">
        <v>122</v>
      </c>
      <c r="BG55" t="s">
        <v>123</v>
      </c>
      <c r="BH55" t="s">
        <v>124</v>
      </c>
      <c r="BI55" t="s">
        <v>125</v>
      </c>
      <c r="BJ55" t="s">
        <v>156</v>
      </c>
      <c r="BK55" t="s">
        <v>151</v>
      </c>
      <c r="BL55" t="s">
        <v>155</v>
      </c>
      <c r="BM55" t="s">
        <v>131</v>
      </c>
      <c r="BN55" t="s">
        <v>130</v>
      </c>
      <c r="BO55">
        <v>40</v>
      </c>
      <c r="BP55">
        <v>2</v>
      </c>
      <c r="BQ55">
        <v>294000</v>
      </c>
      <c r="BR55">
        <v>14897.570016</v>
      </c>
      <c r="BS55">
        <v>37284.457976999998</v>
      </c>
      <c r="BT55">
        <v>12299.243216000001</v>
      </c>
      <c r="BU55">
        <v>98210.433999999994</v>
      </c>
      <c r="BV55">
        <v>6578.7615589999996</v>
      </c>
      <c r="BW55">
        <v>38261.500214</v>
      </c>
      <c r="BX55">
        <v>44840.261772999998</v>
      </c>
      <c r="BY55">
        <v>27196.813232</v>
      </c>
      <c r="BZ55">
        <v>180335.15375</v>
      </c>
      <c r="CA55">
        <v>207531.96698200001</v>
      </c>
      <c r="CB55">
        <v>86468.033018000002</v>
      </c>
      <c r="CC55">
        <v>0</v>
      </c>
      <c r="CD55">
        <v>88144</v>
      </c>
      <c r="CE55">
        <v>220599.82</v>
      </c>
      <c r="CF55">
        <v>61804</v>
      </c>
      <c r="CG55">
        <v>30258</v>
      </c>
      <c r="CH55">
        <v>491052.17</v>
      </c>
      <c r="CI55">
        <v>2639292</v>
      </c>
      <c r="CJ55">
        <v>499926</v>
      </c>
    </row>
    <row r="56" spans="2:88" x14ac:dyDescent="0.45" outlineLevel="1">
      <c r="B56" s="24" t="s">
        <v>102</v>
      </c>
      <c r="C56" s="25">
        <f>SUMIFS(_CALC_ALLOC!$G$1:$G$420,_CALC_ALLOC!$AS$1:$AS$420,"2027|"&amp;$P$1,_CALC_ALLOC!$B$1:$B$420,$U56)</f>
        <v>0</v>
      </c>
      <c r="D56" s="26">
        <f>SUMIFS(_CALC_ALLOC!$I$1:$I$420,_CALC_ALLOC!$AS$1:$AS$420,"2027|"&amp;$P$1,_CALC_ALLOC!$B$1:$B$420,$U56)</f>
        <v>0</v>
      </c>
      <c r="E56" s="26">
        <f>SUMIFS(_CALC_ALLOC!$AI$1:$AI$420,_CALC_ALLOC!$AS$1:$AS$420,"2027|"&amp;$P$1,_CALC_ALLOC!$B$1:$B$420,$U56)</f>
        <v>0</v>
      </c>
      <c r="F56" s="26">
        <f>SUMIFS(_CALC_ALLOC!$AJ$1:$AJ$420,_CALC_ALLOC!$AS$1:$AS$420,"2027|"&amp;$P$1,_CALC_ALLOC!$B$1:$B$420,$U56)</f>
        <v>0</v>
      </c>
      <c r="G56" s="26">
        <f>SUMIFS(_CALC_ALLOC!$AK$1:$AK$420,_CALC_ALLOC!$AS$1:$AS$420,"2027|"&amp;$P$1,_CALC_ALLOC!$B$1:$B$420,$U56)</f>
        <v>0</v>
      </c>
      <c r="H56" s="26">
        <f>SUMIFS(_CALC_ALLOC!$AL$1:$AL$420,_CALC_ALLOC!$AS$1:$AS$420,"2027|"&amp;$P$1,_CALC_ALLOC!$B$1:$B$420,$U56)</f>
        <v>0</v>
      </c>
      <c r="I56" s="26">
        <f>SUMIFS(_CALC_ALLOC!$AR$1:$AR$420,_CALC_ALLOC!$AS$1:$AS$420,"2027|"&amp;$P$1,_CALC_ALLOC!$B$1:$B$420,$U56)</f>
        <v>0</v>
      </c>
      <c r="J56" s="26">
        <f>SUMIFS(_CALC_ALLOC!$AM$1:$AM$420,_CALC_ALLOC!$AS$1:$AS$420,"2027|"&amp;$P$1,_CALC_ALLOC!$B$1:$B$420,$U56)</f>
        <v>0</v>
      </c>
      <c r="K56" s="26">
        <f t="shared" si="0"/>
        <v>0</v>
      </c>
      <c r="L56" s="27">
        <f>SUMIFS(_CALC_ALLOC!$AN$1:$AN$420,_CALC_ALLOC!$AS$1:$AS$420,"2027|"&amp;$P$1,_CALC_ALLOC!$B$1:$B$420,$U56)</f>
        <v>0</v>
      </c>
      <c r="M56" s="28">
        <f t="shared" si="1"/>
        <v>0</v>
      </c>
      <c r="T56" t="inlineStr">
        <is>
          <t>ISCOM_TLS</t>
        </is>
      </c>
      <c r="U56" t="inlineStr">
        <is>
          <t>ISCOM_TLS</t>
        </is>
      </c>
      <c r="V56" t="inlineStr">
        <is>
          <t>ISCOM</t>
        </is>
      </c>
      <c r="Z56">
        <v>2</v>
      </c>
      <c r="BF56" t="s">
        <v>122</v>
      </c>
      <c r="BG56" t="s">
        <v>123</v>
      </c>
      <c r="BH56" t="s">
        <v>124</v>
      </c>
      <c r="BI56" t="s">
        <v>125</v>
      </c>
      <c r="BJ56" t="s">
        <v>157</v>
      </c>
      <c r="BK56" t="s">
        <v>158</v>
      </c>
      <c r="BL56" t="s">
        <v>159</v>
      </c>
      <c r="BM56" t="s">
        <v>129</v>
      </c>
      <c r="BN56" t="s">
        <v>130</v>
      </c>
      <c r="BO56">
        <v>36</v>
      </c>
      <c r="BP56">
        <v>2</v>
      </c>
      <c r="BQ56">
        <v>267840</v>
      </c>
      <c r="BR56">
        <v>22035.977964000002</v>
      </c>
      <c r="BS56">
        <v>53952.792714000003</v>
      </c>
      <c r="BT56">
        <v>29200.051467000001</v>
      </c>
      <c r="BU56">
        <v>108834.584499</v>
      </c>
      <c r="BV56">
        <v>6503.9605160000001</v>
      </c>
      <c r="BW56">
        <v>33312.149826000001</v>
      </c>
      <c r="BX56">
        <v>39816.110342</v>
      </c>
      <c r="BY56">
        <v>51236.029431000003</v>
      </c>
      <c r="BZ56">
        <v>202603.487555</v>
      </c>
      <c r="CA56">
        <v>253839.516986</v>
      </c>
      <c r="CB56">
        <v>14000.483013999999</v>
      </c>
      <c r="CC56">
        <v>36</v>
      </c>
      <c r="CD56">
        <v>66108</v>
      </c>
      <c r="CE56">
        <v>161858.54</v>
      </c>
      <c r="CF56">
        <v>39731</v>
      </c>
      <c r="CG56">
        <v>15578</v>
      </c>
      <c r="CH56">
        <v>326504.08</v>
      </c>
      <c r="CI56">
        <v>2639292</v>
      </c>
      <c r="CJ56">
        <v>499926</v>
      </c>
    </row>
    <row r="57" spans="2:88" x14ac:dyDescent="0.45" outlineLevel="2" hidden="1">
      <c r="B57" s="29" t="s">
        <v>96</v>
      </c>
      <c r="C57" s="30">
        <f>SUMIFS(_CALC_ALLOC!$G$1:$G$420,_CALC_ALLOC!$AS$1:$AS$420,"2027|"&amp;$P$1,_CALC_ALLOC!$B$1:$B$420,$U57,_CALC_ALLOC!$D$1:$D$420,$W57,_CALC_ALLOC!$E$1:$E$420,$X57,_CALC_ALLOC!$F$1:$F$420,$Y57)</f>
        <v>0</v>
      </c>
      <c r="D57" s="31">
        <f>SUMIFS(_CALC_ALLOC!$I$1:$I$420,_CALC_ALLOC!$AS$1:$AS$420,"2027|"&amp;$P$1,_CALC_ALLOC!$B$1:$B$420,$U57,_CALC_ALLOC!$D$1:$D$420,$W57,_CALC_ALLOC!$E$1:$E$420,$X57,_CALC_ALLOC!$F$1:$F$420,$Y57)</f>
        <v>0</v>
      </c>
      <c r="E57" s="31">
        <f>SUMIFS(_CALC_ALLOC!$AI$1:$AI$420,_CALC_ALLOC!$AS$1:$AS$420,"2027|"&amp;$P$1,_CALC_ALLOC!$B$1:$B$420,$U57,_CALC_ALLOC!$D$1:$D$420,$W57,_CALC_ALLOC!$E$1:$E$420,$X57,_CALC_ALLOC!$F$1:$F$420,$Y57)</f>
        <v>0</v>
      </c>
      <c r="F57" s="31">
        <f>SUMIFS(_CALC_ALLOC!$AJ$1:$AJ$420,_CALC_ALLOC!$AS$1:$AS$420,"2027|"&amp;$P$1,_CALC_ALLOC!$B$1:$B$420,$U57,_CALC_ALLOC!$D$1:$D$420,$W57,_CALC_ALLOC!$E$1:$E$420,$X57,_CALC_ALLOC!$F$1:$F$420,$Y57)</f>
        <v>0</v>
      </c>
      <c r="G57" s="31">
        <f>SUMIFS(_CALC_ALLOC!$AK$1:$AK$420,_CALC_ALLOC!$AS$1:$AS$420,"2027|"&amp;$P$1,_CALC_ALLOC!$B$1:$B$420,$U57,_CALC_ALLOC!$D$1:$D$420,$W57,_CALC_ALLOC!$E$1:$E$420,$X57,_CALC_ALLOC!$F$1:$F$420,$Y57)</f>
        <v>0</v>
      </c>
      <c r="H57" s="31">
        <f>SUMIFS(_CALC_ALLOC!$AL$1:$AL$420,_CALC_ALLOC!$AS$1:$AS$420,"2027|"&amp;$P$1,_CALC_ALLOC!$B$1:$B$420,$U57,_CALC_ALLOC!$D$1:$D$420,$W57,_CALC_ALLOC!$E$1:$E$420,$X57,_CALC_ALLOC!$F$1:$F$420,$Y57)</f>
        <v>0</v>
      </c>
      <c r="I57" s="31">
        <f>SUMIFS(_CALC_ALLOC!$AR$1:$AR$420,_CALC_ALLOC!$AS$1:$AS$420,"2027|"&amp;$P$1,_CALC_ALLOC!$B$1:$B$420,$U57,_CALC_ALLOC!$D$1:$D$420,$W57,_CALC_ALLOC!$E$1:$E$420,$X57,_CALC_ALLOC!$F$1:$F$420,$Y57)</f>
        <v>0</v>
      </c>
      <c r="J57" s="31">
        <f>SUMIFS(_CALC_ALLOC!$AM$1:$AM$420,_CALC_ALLOC!$AS$1:$AS$420,"2027|"&amp;$P$1,_CALC_ALLOC!$B$1:$B$420,$U57,_CALC_ALLOC!$D$1:$D$420,$W57,_CALC_ALLOC!$E$1:$E$420,$X57,_CALC_ALLOC!$F$1:$F$420,$Y57)</f>
        <v>0</v>
      </c>
      <c r="K57" s="32">
        <f t="shared" si="0"/>
        <v>0</v>
      </c>
      <c r="L57" s="33">
        <f>SUMIFS(_CALC_ALLOC!$AN$1:$AN$420,_CALC_ALLOC!$AS$1:$AS$420,"2027|"&amp;$P$1,_CALC_ALLOC!$B$1:$B$420,$U57,_CALC_ALLOC!$D$1:$D$420,$W57,_CALC_ALLOC!$E$1:$E$420,$X57,_CALC_ALLOC!$F$1:$F$420,$Y57)</f>
        <v>0</v>
      </c>
      <c r="M57" s="34">
        <f t="shared" si="1"/>
        <v>0</v>
      </c>
      <c r="T57" t="inlineStr">
        <is>
          <t>ISCOM_TLS|BAC_COM|B1|INIT</t>
        </is>
      </c>
      <c r="U57" t="inlineStr">
        <is>
          <t>ISCOM_TLS</t>
        </is>
      </c>
      <c r="V57" t="inlineStr">
        <is>
          <t>ISCOM</t>
        </is>
      </c>
      <c r="W57" t="inlineStr">
        <is>
          <t>BAC_COM</t>
        </is>
      </c>
      <c r="X57" t="inlineStr">
        <is>
          <t>B1</t>
        </is>
      </c>
      <c r="Y57" t="inlineStr">
        <is>
          <t>INIT</t>
        </is>
      </c>
      <c r="Z57">
        <v>3</v>
      </c>
      <c r="BF57" t="s">
        <v>122</v>
      </c>
      <c r="BG57" t="s">
        <v>123</v>
      </c>
      <c r="BH57" t="s">
        <v>124</v>
      </c>
      <c r="BI57" t="s">
        <v>125</v>
      </c>
      <c r="BJ57" t="s">
        <v>157</v>
      </c>
      <c r="BK57" t="s">
        <v>158</v>
      </c>
      <c r="BL57" t="s">
        <v>159</v>
      </c>
      <c r="BM57" t="s">
        <v>131</v>
      </c>
      <c r="BN57" t="s">
        <v>130</v>
      </c>
      <c r="BO57">
        <v>35</v>
      </c>
      <c r="BP57">
        <v>2</v>
      </c>
      <c r="BQ57">
        <v>257250</v>
      </c>
      <c r="BR57">
        <v>22035.977964000002</v>
      </c>
      <c r="BS57">
        <v>53952.792714000003</v>
      </c>
      <c r="BT57">
        <v>13243.653423</v>
      </c>
      <c r="BU57">
        <v>108834.584499</v>
      </c>
      <c r="BV57">
        <v>6503.9605160000001</v>
      </c>
      <c r="BW57">
        <v>33312.149826000001</v>
      </c>
      <c r="BX57">
        <v>39816.110342</v>
      </c>
      <c r="BY57">
        <v>35279.631387000001</v>
      </c>
      <c r="BZ57">
        <v>202603.487555</v>
      </c>
      <c r="CA57">
        <v>237883.118942</v>
      </c>
      <c r="CB57">
        <v>19366.881057999999</v>
      </c>
      <c r="CC57">
        <v>0</v>
      </c>
      <c r="CD57">
        <v>66108</v>
      </c>
      <c r="CE57">
        <v>161858.54</v>
      </c>
      <c r="CF57">
        <v>39731</v>
      </c>
      <c r="CG57">
        <v>15578</v>
      </c>
      <c r="CH57">
        <v>326504.08</v>
      </c>
      <c r="CI57">
        <v>2639292</v>
      </c>
      <c r="CJ57">
        <v>499926</v>
      </c>
    </row>
    <row r="58" spans="2:88" x14ac:dyDescent="0.45" outlineLevel="2" hidden="1">
      <c r="B58" s="29" t="s">
        <v>97</v>
      </c>
      <c r="C58" s="30">
        <f>SUMIFS(_CALC_ALLOC!$G$1:$G$420,_CALC_ALLOC!$AS$1:$AS$420,"2027|"&amp;$P$1,_CALC_ALLOC!$B$1:$B$420,$U58,_CALC_ALLOC!$D$1:$D$420,$W58,_CALC_ALLOC!$E$1:$E$420,$X58,_CALC_ALLOC!$F$1:$F$420,$Y58)</f>
        <v>0</v>
      </c>
      <c r="D58" s="31">
        <f>SUMIFS(_CALC_ALLOC!$I$1:$I$420,_CALC_ALLOC!$AS$1:$AS$420,"2027|"&amp;$P$1,_CALC_ALLOC!$B$1:$B$420,$U58,_CALC_ALLOC!$D$1:$D$420,$W58,_CALC_ALLOC!$E$1:$E$420,$X58,_CALC_ALLOC!$F$1:$F$420,$Y58)</f>
        <v>0</v>
      </c>
      <c r="E58" s="31">
        <f>SUMIFS(_CALC_ALLOC!$AI$1:$AI$420,_CALC_ALLOC!$AS$1:$AS$420,"2027|"&amp;$P$1,_CALC_ALLOC!$B$1:$B$420,$U58,_CALC_ALLOC!$D$1:$D$420,$W58,_CALC_ALLOC!$E$1:$E$420,$X58,_CALC_ALLOC!$F$1:$F$420,$Y58)</f>
        <v>0</v>
      </c>
      <c r="F58" s="31">
        <f>SUMIFS(_CALC_ALLOC!$AJ$1:$AJ$420,_CALC_ALLOC!$AS$1:$AS$420,"2027|"&amp;$P$1,_CALC_ALLOC!$B$1:$B$420,$U58,_CALC_ALLOC!$D$1:$D$420,$W58,_CALC_ALLOC!$E$1:$E$420,$X58,_CALC_ALLOC!$F$1:$F$420,$Y58)</f>
        <v>0</v>
      </c>
      <c r="G58" s="31">
        <f>SUMIFS(_CALC_ALLOC!$AK$1:$AK$420,_CALC_ALLOC!$AS$1:$AS$420,"2027|"&amp;$P$1,_CALC_ALLOC!$B$1:$B$420,$U58,_CALC_ALLOC!$D$1:$D$420,$W58,_CALC_ALLOC!$E$1:$E$420,$X58,_CALC_ALLOC!$F$1:$F$420,$Y58)</f>
        <v>0</v>
      </c>
      <c r="H58" s="31">
        <f>SUMIFS(_CALC_ALLOC!$AL$1:$AL$420,_CALC_ALLOC!$AS$1:$AS$420,"2027|"&amp;$P$1,_CALC_ALLOC!$B$1:$B$420,$U58,_CALC_ALLOC!$D$1:$D$420,$W58,_CALC_ALLOC!$E$1:$E$420,$X58,_CALC_ALLOC!$F$1:$F$420,$Y58)</f>
        <v>0</v>
      </c>
      <c r="I58" s="31">
        <f>SUMIFS(_CALC_ALLOC!$AR$1:$AR$420,_CALC_ALLOC!$AS$1:$AS$420,"2027|"&amp;$P$1,_CALC_ALLOC!$B$1:$B$420,$U58,_CALC_ALLOC!$D$1:$D$420,$W58,_CALC_ALLOC!$E$1:$E$420,$X58,_CALC_ALLOC!$F$1:$F$420,$Y58)</f>
        <v>0</v>
      </c>
      <c r="J58" s="31">
        <f>SUMIFS(_CALC_ALLOC!$AM$1:$AM$420,_CALC_ALLOC!$AS$1:$AS$420,"2027|"&amp;$P$1,_CALC_ALLOC!$B$1:$B$420,$U58,_CALC_ALLOC!$D$1:$D$420,$W58,_CALC_ALLOC!$E$1:$E$420,$X58,_CALC_ALLOC!$F$1:$F$420,$Y58)</f>
        <v>0</v>
      </c>
      <c r="K58" s="32">
        <f t="shared" si="0"/>
        <v>0</v>
      </c>
      <c r="L58" s="33">
        <f>SUMIFS(_CALC_ALLOC!$AN$1:$AN$420,_CALC_ALLOC!$AS$1:$AS$420,"2027|"&amp;$P$1,_CALC_ALLOC!$B$1:$B$420,$U58,_CALC_ALLOC!$D$1:$D$420,$W58,_CALC_ALLOC!$E$1:$E$420,$X58,_CALC_ALLOC!$F$1:$F$420,$Y58)</f>
        <v>0</v>
      </c>
      <c r="M58" s="34">
        <f t="shared" si="1"/>
        <v>0</v>
      </c>
      <c r="T58" t="inlineStr">
        <is>
          <t>ISCOM_TLS|BAC_COM|B2|ALT</t>
        </is>
      </c>
      <c r="U58" t="inlineStr">
        <is>
          <t>ISCOM_TLS</t>
        </is>
      </c>
      <c r="V58" t="inlineStr">
        <is>
          <t>ISCOM</t>
        </is>
      </c>
      <c r="W58" t="inlineStr">
        <is>
          <t>BAC_COM</t>
        </is>
      </c>
      <c r="X58" t="inlineStr">
        <is>
          <t>B2</t>
        </is>
      </c>
      <c r="Y58" t="inlineStr">
        <is>
          <t>ALT</t>
        </is>
      </c>
      <c r="Z58">
        <v>3</v>
      </c>
      <c r="BF58" t="s">
        <v>122</v>
      </c>
      <c r="BG58" t="s">
        <v>123</v>
      </c>
      <c r="BH58" t="s">
        <v>124</v>
      </c>
      <c r="BI58" t="s">
        <v>125</v>
      </c>
      <c r="BJ58" t="s">
        <v>157</v>
      </c>
      <c r="BK58" t="s">
        <v>158</v>
      </c>
      <c r="BL58" t="s">
        <v>159</v>
      </c>
      <c r="BM58" t="s">
        <v>132</v>
      </c>
      <c r="BN58" t="s">
        <v>130</v>
      </c>
      <c r="BO58">
        <v>34</v>
      </c>
      <c r="BP58">
        <v>2</v>
      </c>
      <c r="BQ58">
        <v>249900</v>
      </c>
      <c r="BR58">
        <v>22035.977964000002</v>
      </c>
      <c r="BS58">
        <v>53952.792714000003</v>
      </c>
      <c r="BT58">
        <v>12865.255379</v>
      </c>
      <c r="BU58">
        <v>108834.584499</v>
      </c>
      <c r="BV58">
        <v>6503.9605160000001</v>
      </c>
      <c r="BW58">
        <v>33312.149826000001</v>
      </c>
      <c r="BX58">
        <v>39816.110342</v>
      </c>
      <c r="BY58">
        <v>34901.233343</v>
      </c>
      <c r="BZ58">
        <v>202603.487555</v>
      </c>
      <c r="CA58">
        <v>237504.720898</v>
      </c>
      <c r="CB58">
        <v>12395.279102</v>
      </c>
      <c r="CC58">
        <v>0</v>
      </c>
      <c r="CD58">
        <v>66108</v>
      </c>
      <c r="CE58">
        <v>161858.54</v>
      </c>
      <c r="CF58">
        <v>39731</v>
      </c>
      <c r="CG58">
        <v>15578</v>
      </c>
      <c r="CH58">
        <v>326504.08</v>
      </c>
      <c r="CI58">
        <v>2639292</v>
      </c>
      <c r="CJ58">
        <v>499926</v>
      </c>
    </row>
    <row r="59" spans="2:88" x14ac:dyDescent="0.45" outlineLevel="2" hidden="1">
      <c r="B59" s="29" t="s">
        <v>98</v>
      </c>
      <c r="C59" s="30">
        <f>SUMIFS(_CALC_ALLOC!$G$1:$G$420,_CALC_ALLOC!$AS$1:$AS$420,"2027|"&amp;$P$1,_CALC_ALLOC!$B$1:$B$420,$U59,_CALC_ALLOC!$D$1:$D$420,$W59,_CALC_ALLOC!$E$1:$E$420,$X59,_CALC_ALLOC!$F$1:$F$420,$Y59)</f>
        <v>0</v>
      </c>
      <c r="D59" s="31">
        <f>SUMIFS(_CALC_ALLOC!$I$1:$I$420,_CALC_ALLOC!$AS$1:$AS$420,"2027|"&amp;$P$1,_CALC_ALLOC!$B$1:$B$420,$U59,_CALC_ALLOC!$D$1:$D$420,$W59,_CALC_ALLOC!$E$1:$E$420,$X59,_CALC_ALLOC!$F$1:$F$420,$Y59)</f>
        <v>0</v>
      </c>
      <c r="E59" s="31">
        <f>SUMIFS(_CALC_ALLOC!$AI$1:$AI$420,_CALC_ALLOC!$AS$1:$AS$420,"2027|"&amp;$P$1,_CALC_ALLOC!$B$1:$B$420,$U59,_CALC_ALLOC!$D$1:$D$420,$W59,_CALC_ALLOC!$E$1:$E$420,$X59,_CALC_ALLOC!$F$1:$F$420,$Y59)</f>
        <v>0</v>
      </c>
      <c r="F59" s="31">
        <f>SUMIFS(_CALC_ALLOC!$AJ$1:$AJ$420,_CALC_ALLOC!$AS$1:$AS$420,"2027|"&amp;$P$1,_CALC_ALLOC!$B$1:$B$420,$U59,_CALC_ALLOC!$D$1:$D$420,$W59,_CALC_ALLOC!$E$1:$E$420,$X59,_CALC_ALLOC!$F$1:$F$420,$Y59)</f>
        <v>0</v>
      </c>
      <c r="G59" s="31">
        <f>SUMIFS(_CALC_ALLOC!$AK$1:$AK$420,_CALC_ALLOC!$AS$1:$AS$420,"2027|"&amp;$P$1,_CALC_ALLOC!$B$1:$B$420,$U59,_CALC_ALLOC!$D$1:$D$420,$W59,_CALC_ALLOC!$E$1:$E$420,$X59,_CALC_ALLOC!$F$1:$F$420,$Y59)</f>
        <v>0</v>
      </c>
      <c r="H59" s="31">
        <f>SUMIFS(_CALC_ALLOC!$AL$1:$AL$420,_CALC_ALLOC!$AS$1:$AS$420,"2027|"&amp;$P$1,_CALC_ALLOC!$B$1:$B$420,$U59,_CALC_ALLOC!$D$1:$D$420,$W59,_CALC_ALLOC!$E$1:$E$420,$X59,_CALC_ALLOC!$F$1:$F$420,$Y59)</f>
        <v>0</v>
      </c>
      <c r="I59" s="31">
        <f>SUMIFS(_CALC_ALLOC!$AR$1:$AR$420,_CALC_ALLOC!$AS$1:$AS$420,"2027|"&amp;$P$1,_CALC_ALLOC!$B$1:$B$420,$U59,_CALC_ALLOC!$D$1:$D$420,$W59,_CALC_ALLOC!$E$1:$E$420,$X59,_CALC_ALLOC!$F$1:$F$420,$Y59)</f>
        <v>0</v>
      </c>
      <c r="J59" s="31">
        <f>SUMIFS(_CALC_ALLOC!$AM$1:$AM$420,_CALC_ALLOC!$AS$1:$AS$420,"2027|"&amp;$P$1,_CALC_ALLOC!$B$1:$B$420,$U59,_CALC_ALLOC!$D$1:$D$420,$W59,_CALC_ALLOC!$E$1:$E$420,$X59,_CALC_ALLOC!$F$1:$F$420,$Y59)</f>
        <v>0</v>
      </c>
      <c r="K59" s="32">
        <f t="shared" si="0"/>
        <v>0</v>
      </c>
      <c r="L59" s="33">
        <f>SUMIFS(_CALC_ALLOC!$AN$1:$AN$420,_CALC_ALLOC!$AS$1:$AS$420,"2027|"&amp;$P$1,_CALC_ALLOC!$B$1:$B$420,$U59,_CALC_ALLOC!$D$1:$D$420,$W59,_CALC_ALLOC!$E$1:$E$420,$X59,_CALC_ALLOC!$F$1:$F$420,$Y59)</f>
        <v>0</v>
      </c>
      <c r="M59" s="34">
        <f t="shared" si="1"/>
        <v>0</v>
      </c>
      <c r="T59" t="inlineStr">
        <is>
          <t>ISCOM_TLS|BAC_COM|B3|ALT</t>
        </is>
      </c>
      <c r="U59" t="inlineStr">
        <is>
          <t>ISCOM_TLS</t>
        </is>
      </c>
      <c r="V59" t="inlineStr">
        <is>
          <t>ISCOM</t>
        </is>
      </c>
      <c r="W59" t="inlineStr">
        <is>
          <t>BAC_COM</t>
        </is>
      </c>
      <c r="X59" t="inlineStr">
        <is>
          <t>B3</t>
        </is>
      </c>
      <c r="Y59" t="inlineStr">
        <is>
          <t>ALT</t>
        </is>
      </c>
      <c r="Z59">
        <v>3</v>
      </c>
      <c r="BF59" t="s">
        <v>122</v>
      </c>
      <c r="BG59" t="s">
        <v>123</v>
      </c>
      <c r="BH59" t="s">
        <v>124</v>
      </c>
      <c r="BI59" t="s">
        <v>125</v>
      </c>
      <c r="BJ59" t="s">
        <v>160</v>
      </c>
      <c r="BK59" t="s">
        <v>158</v>
      </c>
      <c r="BL59" t="s">
        <v>159</v>
      </c>
      <c r="BM59" t="s">
        <v>129</v>
      </c>
      <c r="BN59" t="s">
        <v>130</v>
      </c>
      <c r="BO59">
        <v>42</v>
      </c>
      <c r="BP59">
        <v>2</v>
      </c>
      <c r="BQ59">
        <v>333060</v>
      </c>
      <c r="BR59">
        <v>22035.977964000002</v>
      </c>
      <c r="BS59">
        <v>64380.832285999997</v>
      </c>
      <c r="BT59">
        <v>40993.639106000002</v>
      </c>
      <c r="BU59">
        <v>144344.21565599999</v>
      </c>
      <c r="BV59">
        <v>7618.9207379999998</v>
      </c>
      <c r="BW59">
        <v>39022.781347999997</v>
      </c>
      <c r="BX59">
        <v>46641.702085999998</v>
      </c>
      <c r="BY59">
        <v>63029.61707</v>
      </c>
      <c r="BZ59">
        <v>255366.75002800001</v>
      </c>
      <c r="CA59">
        <v>318396.36709800002</v>
      </c>
      <c r="CB59">
        <v>14663.632901999999</v>
      </c>
      <c r="CC59">
        <v>42</v>
      </c>
      <c r="CD59">
        <v>66108</v>
      </c>
      <c r="CE59">
        <v>193142.69</v>
      </c>
      <c r="CF59">
        <v>46862</v>
      </c>
      <c r="CG59">
        <v>24992</v>
      </c>
      <c r="CH59">
        <v>433033.08</v>
      </c>
      <c r="CI59">
        <v>2639292</v>
      </c>
      <c r="CJ59">
        <v>499926</v>
      </c>
    </row>
    <row r="60" spans="2:88" x14ac:dyDescent="0.45" outlineLevel="2" hidden="1">
      <c r="B60" s="29" t="s">
        <v>99</v>
      </c>
      <c r="C60" s="30">
        <f>SUMIFS(_CALC_ALLOC!$G$1:$G$420,_CALC_ALLOC!$AS$1:$AS$420,"2027|"&amp;$P$1,_CALC_ALLOC!$B$1:$B$420,$U60,_CALC_ALLOC!$D$1:$D$420,$W60,_CALC_ALLOC!$E$1:$E$420,$X60,_CALC_ALLOC!$F$1:$F$420,$Y60)</f>
        <v>0</v>
      </c>
      <c r="D60" s="31">
        <f>SUMIFS(_CALC_ALLOC!$I$1:$I$420,_CALC_ALLOC!$AS$1:$AS$420,"2027|"&amp;$P$1,_CALC_ALLOC!$B$1:$B$420,$U60,_CALC_ALLOC!$D$1:$D$420,$W60,_CALC_ALLOC!$E$1:$E$420,$X60,_CALC_ALLOC!$F$1:$F$420,$Y60)</f>
        <v>0</v>
      </c>
      <c r="E60" s="31">
        <f>SUMIFS(_CALC_ALLOC!$AI$1:$AI$420,_CALC_ALLOC!$AS$1:$AS$420,"2027|"&amp;$P$1,_CALC_ALLOC!$B$1:$B$420,$U60,_CALC_ALLOC!$D$1:$D$420,$W60,_CALC_ALLOC!$E$1:$E$420,$X60,_CALC_ALLOC!$F$1:$F$420,$Y60)</f>
        <v>0</v>
      </c>
      <c r="F60" s="31">
        <f>SUMIFS(_CALC_ALLOC!$AJ$1:$AJ$420,_CALC_ALLOC!$AS$1:$AS$420,"2027|"&amp;$P$1,_CALC_ALLOC!$B$1:$B$420,$U60,_CALC_ALLOC!$D$1:$D$420,$W60,_CALC_ALLOC!$E$1:$E$420,$X60,_CALC_ALLOC!$F$1:$F$420,$Y60)</f>
        <v>0</v>
      </c>
      <c r="G60" s="31">
        <f>SUMIFS(_CALC_ALLOC!$AK$1:$AK$420,_CALC_ALLOC!$AS$1:$AS$420,"2027|"&amp;$P$1,_CALC_ALLOC!$B$1:$B$420,$U60,_CALC_ALLOC!$D$1:$D$420,$W60,_CALC_ALLOC!$E$1:$E$420,$X60,_CALC_ALLOC!$F$1:$F$420,$Y60)</f>
        <v>0</v>
      </c>
      <c r="H60" s="31">
        <f>SUMIFS(_CALC_ALLOC!$AL$1:$AL$420,_CALC_ALLOC!$AS$1:$AS$420,"2027|"&amp;$P$1,_CALC_ALLOC!$B$1:$B$420,$U60,_CALC_ALLOC!$D$1:$D$420,$W60,_CALC_ALLOC!$E$1:$E$420,$X60,_CALC_ALLOC!$F$1:$F$420,$Y60)</f>
        <v>0</v>
      </c>
      <c r="I60" s="31">
        <f>SUMIFS(_CALC_ALLOC!$AR$1:$AR$420,_CALC_ALLOC!$AS$1:$AS$420,"2027|"&amp;$P$1,_CALC_ALLOC!$B$1:$B$420,$U60,_CALC_ALLOC!$D$1:$D$420,$W60,_CALC_ALLOC!$E$1:$E$420,$X60,_CALC_ALLOC!$F$1:$F$420,$Y60)</f>
        <v>0</v>
      </c>
      <c r="J60" s="31">
        <f>SUMIFS(_CALC_ALLOC!$AM$1:$AM$420,_CALC_ALLOC!$AS$1:$AS$420,"2027|"&amp;$P$1,_CALC_ALLOC!$B$1:$B$420,$U60,_CALC_ALLOC!$D$1:$D$420,$W60,_CALC_ALLOC!$E$1:$E$420,$X60,_CALC_ALLOC!$F$1:$F$420,$Y60)</f>
        <v>0</v>
      </c>
      <c r="K60" s="32">
        <f t="shared" si="0"/>
        <v>0</v>
      </c>
      <c r="L60" s="33">
        <f>SUMIFS(_CALC_ALLOC!$AN$1:$AN$420,_CALC_ALLOC!$AS$1:$AS$420,"2027|"&amp;$P$1,_CALC_ALLOC!$B$1:$B$420,$U60,_CALC_ALLOC!$D$1:$D$420,$W60,_CALC_ALLOC!$E$1:$E$420,$X60,_CALC_ALLOC!$F$1:$F$420,$Y60)</f>
        <v>0</v>
      </c>
      <c r="M60" s="34">
        <f t="shared" si="1"/>
        <v>0</v>
      </c>
      <c r="T60" t="inlineStr">
        <is>
          <t>ISCOM_TLS|MAS_COM|M1|ALT</t>
        </is>
      </c>
      <c r="U60" t="inlineStr">
        <is>
          <t>ISCOM_TLS</t>
        </is>
      </c>
      <c r="V60" t="inlineStr">
        <is>
          <t>ISCOM</t>
        </is>
      </c>
      <c r="W60" t="inlineStr">
        <is>
          <t>MAS_COM</t>
        </is>
      </c>
      <c r="X60" t="inlineStr">
        <is>
          <t>M1</t>
        </is>
      </c>
      <c r="Y60" t="inlineStr">
        <is>
          <t>ALT</t>
        </is>
      </c>
      <c r="Z60">
        <v>3</v>
      </c>
      <c r="BF60" t="s">
        <v>122</v>
      </c>
      <c r="BG60" t="s">
        <v>123</v>
      </c>
      <c r="BH60" t="s">
        <v>124</v>
      </c>
      <c r="BI60" t="s">
        <v>125</v>
      </c>
      <c r="BJ60" t="s">
        <v>160</v>
      </c>
      <c r="BK60" t="s">
        <v>158</v>
      </c>
      <c r="BL60" t="s">
        <v>159</v>
      </c>
      <c r="BM60" t="s">
        <v>131</v>
      </c>
      <c r="BN60" t="s">
        <v>130</v>
      </c>
      <c r="BO60">
        <v>41</v>
      </c>
      <c r="BP60">
        <v>2</v>
      </c>
      <c r="BQ60">
        <v>321440</v>
      </c>
      <c r="BR60">
        <v>22035.977964000002</v>
      </c>
      <c r="BS60">
        <v>64380.832285999997</v>
      </c>
      <c r="BT60">
        <v>15620.651046000001</v>
      </c>
      <c r="BU60">
        <v>144344.21565599999</v>
      </c>
      <c r="BV60">
        <v>7618.9207379999998</v>
      </c>
      <c r="BW60">
        <v>39022.781347999997</v>
      </c>
      <c r="BX60">
        <v>46641.702085999998</v>
      </c>
      <c r="BY60">
        <v>37656.629009999997</v>
      </c>
      <c r="BZ60">
        <v>255366.75002800001</v>
      </c>
      <c r="CA60">
        <v>293023.37903800001</v>
      </c>
      <c r="CB60">
        <v>28416.620962000001</v>
      </c>
      <c r="CC60">
        <v>0</v>
      </c>
      <c r="CD60">
        <v>66108</v>
      </c>
      <c r="CE60">
        <v>193142.69</v>
      </c>
      <c r="CF60">
        <v>46862</v>
      </c>
      <c r="CG60">
        <v>24992</v>
      </c>
      <c r="CH60">
        <v>433033.08</v>
      </c>
      <c r="CI60">
        <v>2639292</v>
      </c>
      <c r="CJ60">
        <v>499926</v>
      </c>
    </row>
    <row r="61" spans="2:88" x14ac:dyDescent="0.45" outlineLevel="2" hidden="1">
      <c r="B61" s="29" t="s">
        <v>100</v>
      </c>
      <c r="C61" s="30">
        <f>SUMIFS(_CALC_ALLOC!$G$1:$G$420,_CALC_ALLOC!$AS$1:$AS$420,"2027|"&amp;$P$1,_CALC_ALLOC!$B$1:$B$420,$U61,_CALC_ALLOC!$D$1:$D$420,$W61,_CALC_ALLOC!$E$1:$E$420,$X61,_CALC_ALLOC!$F$1:$F$420,$Y61)</f>
        <v>0</v>
      </c>
      <c r="D61" s="31">
        <f>SUMIFS(_CALC_ALLOC!$I$1:$I$420,_CALC_ALLOC!$AS$1:$AS$420,"2027|"&amp;$P$1,_CALC_ALLOC!$B$1:$B$420,$U61,_CALC_ALLOC!$D$1:$D$420,$W61,_CALC_ALLOC!$E$1:$E$420,$X61,_CALC_ALLOC!$F$1:$F$420,$Y61)</f>
        <v>0</v>
      </c>
      <c r="E61" s="31">
        <f>SUMIFS(_CALC_ALLOC!$AI$1:$AI$420,_CALC_ALLOC!$AS$1:$AS$420,"2027|"&amp;$P$1,_CALC_ALLOC!$B$1:$B$420,$U61,_CALC_ALLOC!$D$1:$D$420,$W61,_CALC_ALLOC!$E$1:$E$420,$X61,_CALC_ALLOC!$F$1:$F$420,$Y61)</f>
        <v>0</v>
      </c>
      <c r="F61" s="31">
        <f>SUMIFS(_CALC_ALLOC!$AJ$1:$AJ$420,_CALC_ALLOC!$AS$1:$AS$420,"2027|"&amp;$P$1,_CALC_ALLOC!$B$1:$B$420,$U61,_CALC_ALLOC!$D$1:$D$420,$W61,_CALC_ALLOC!$E$1:$E$420,$X61,_CALC_ALLOC!$F$1:$F$420,$Y61)</f>
        <v>0</v>
      </c>
      <c r="G61" s="31">
        <f>SUMIFS(_CALC_ALLOC!$AK$1:$AK$420,_CALC_ALLOC!$AS$1:$AS$420,"2027|"&amp;$P$1,_CALC_ALLOC!$B$1:$B$420,$U61,_CALC_ALLOC!$D$1:$D$420,$W61,_CALC_ALLOC!$E$1:$E$420,$X61,_CALC_ALLOC!$F$1:$F$420,$Y61)</f>
        <v>0</v>
      </c>
      <c r="H61" s="31">
        <f>SUMIFS(_CALC_ALLOC!$AL$1:$AL$420,_CALC_ALLOC!$AS$1:$AS$420,"2027|"&amp;$P$1,_CALC_ALLOC!$B$1:$B$420,$U61,_CALC_ALLOC!$D$1:$D$420,$W61,_CALC_ALLOC!$E$1:$E$420,$X61,_CALC_ALLOC!$F$1:$F$420,$Y61)</f>
        <v>0</v>
      </c>
      <c r="I61" s="31">
        <f>SUMIFS(_CALC_ALLOC!$AR$1:$AR$420,_CALC_ALLOC!$AS$1:$AS$420,"2027|"&amp;$P$1,_CALC_ALLOC!$B$1:$B$420,$U61,_CALC_ALLOC!$D$1:$D$420,$W61,_CALC_ALLOC!$E$1:$E$420,$X61,_CALC_ALLOC!$F$1:$F$420,$Y61)</f>
        <v>0</v>
      </c>
      <c r="J61" s="31">
        <f>SUMIFS(_CALC_ALLOC!$AM$1:$AM$420,_CALC_ALLOC!$AS$1:$AS$420,"2027|"&amp;$P$1,_CALC_ALLOC!$B$1:$B$420,$U61,_CALC_ALLOC!$D$1:$D$420,$W61,_CALC_ALLOC!$E$1:$E$420,$X61,_CALC_ALLOC!$F$1:$F$420,$Y61)</f>
        <v>0</v>
      </c>
      <c r="K61" s="32">
        <f t="shared" si="0"/>
        <v>0</v>
      </c>
      <c r="L61" s="33">
        <f>SUMIFS(_CALC_ALLOC!$AN$1:$AN$420,_CALC_ALLOC!$AS$1:$AS$420,"2027|"&amp;$P$1,_CALC_ALLOC!$B$1:$B$420,$U61,_CALC_ALLOC!$D$1:$D$420,$W61,_CALC_ALLOC!$E$1:$E$420,$X61,_CALC_ALLOC!$F$1:$F$420,$Y61)</f>
        <v>0</v>
      </c>
      <c r="M61" s="34">
        <f t="shared" si="1"/>
        <v>0</v>
      </c>
      <c r="T61" t="inlineStr">
        <is>
          <t>ISCOM_TLS|MAS_COM|M2|ALT</t>
        </is>
      </c>
      <c r="U61" t="inlineStr">
        <is>
          <t>ISCOM_TLS</t>
        </is>
      </c>
      <c r="V61" t="inlineStr">
        <is>
          <t>ISCOM</t>
        </is>
      </c>
      <c r="W61" t="inlineStr">
        <is>
          <t>MAS_COM</t>
        </is>
      </c>
      <c r="X61" t="inlineStr">
        <is>
          <t>M2</t>
        </is>
      </c>
      <c r="Y61" t="inlineStr">
        <is>
          <t>ALT</t>
        </is>
      </c>
      <c r="Z61">
        <v>3</v>
      </c>
      <c r="BF61" t="s">
        <v>122</v>
      </c>
      <c r="BG61" t="s">
        <v>123</v>
      </c>
      <c r="BH61" t="s">
        <v>124</v>
      </c>
      <c r="BI61" t="s">
        <v>125</v>
      </c>
      <c r="BJ61" t="s">
        <v>160</v>
      </c>
      <c r="BK61" t="s">
        <v>158</v>
      </c>
      <c r="BL61" t="s">
        <v>159</v>
      </c>
      <c r="BM61" t="s">
        <v>132</v>
      </c>
      <c r="BN61" t="s">
        <v>130</v>
      </c>
      <c r="BO61">
        <v>40</v>
      </c>
      <c r="BP61">
        <v>2</v>
      </c>
      <c r="BQ61">
        <v>313600</v>
      </c>
      <c r="BR61">
        <v>22035.977964000002</v>
      </c>
      <c r="BS61">
        <v>64380.832285999997</v>
      </c>
      <c r="BT61">
        <v>15239.662985999999</v>
      </c>
      <c r="BU61">
        <v>144344.21565599999</v>
      </c>
      <c r="BV61">
        <v>7618.9207379999998</v>
      </c>
      <c r="BW61">
        <v>39022.781347999997</v>
      </c>
      <c r="BX61">
        <v>46641.702085999998</v>
      </c>
      <c r="BY61">
        <v>37275.640950000001</v>
      </c>
      <c r="BZ61">
        <v>255366.75002800001</v>
      </c>
      <c r="CA61">
        <v>292642.39097800001</v>
      </c>
      <c r="CB61">
        <v>20957.609022000001</v>
      </c>
      <c r="CC61">
        <v>0</v>
      </c>
      <c r="CD61">
        <v>66108</v>
      </c>
      <c r="CE61">
        <v>193142.69</v>
      </c>
      <c r="CF61">
        <v>46862</v>
      </c>
      <c r="CG61">
        <v>24992</v>
      </c>
      <c r="CH61">
        <v>433033.08</v>
      </c>
      <c r="CI61">
        <v>2639292</v>
      </c>
      <c r="CJ61">
        <v>499926</v>
      </c>
    </row>
    <row r="62" spans="2:88" collapsed="1" x14ac:dyDescent="0.45" outlineLevel="0">
      <c r="B62" s="19" t="s">
        <v>103</v>
      </c>
      <c r="C62" s="20">
        <f>SUMIFS(_CALC_ALLOC!$G$1:$G$420,_CALC_ALLOC!$AS$1:$AS$420,"2027|"&amp;$P$1,_CALC_ALLOC!$C$1:$C$420,$V62)</f>
        <v>0</v>
      </c>
      <c r="D62" s="21">
        <f>SUMIFS(_CALC_ALLOC!$I$1:$I$420,_CALC_ALLOC!$AS$1:$AS$420,"2027|"&amp;$P$1,_CALC_ALLOC!$C$1:$C$420,$V62)</f>
        <v>0</v>
      </c>
      <c r="E62" s="21">
        <f>SUMIFS(_CALC_ALLOC!$AI$1:$AI$420,_CALC_ALLOC!$AS$1:$AS$420,"2027|"&amp;$P$1,_CALC_ALLOC!$C$1:$C$420,$V62)</f>
        <v>0</v>
      </c>
      <c r="F62" s="21">
        <f>SUMIFS(_CALC_ALLOC!$AJ$1:$AJ$420,_CALC_ALLOC!$AS$1:$AS$420,"2027|"&amp;$P$1,_CALC_ALLOC!$C$1:$C$420,$V62)</f>
        <v>0</v>
      </c>
      <c r="G62" s="21">
        <f>SUMIFS(_CALC_ALLOC!$AK$1:$AK$420,_CALC_ALLOC!$AS$1:$AS$420,"2027|"&amp;$P$1,_CALC_ALLOC!$C$1:$C$420,$V62)</f>
        <v>0</v>
      </c>
      <c r="H62" s="21">
        <f>SUMIFS(_CALC_ALLOC!$AL$1:$AL$420,_CALC_ALLOC!$AS$1:$AS$420,"2027|"&amp;$P$1,_CALC_ALLOC!$C$1:$C$420,$V62)</f>
        <v>0</v>
      </c>
      <c r="I62" s="21">
        <f>SUMIFS(_CALC_ALLOC!$AR$1:$AR$420,_CALC_ALLOC!$AS$1:$AS$420,"2027|"&amp;$P$1,_CALC_ALLOC!$C$1:$C$420,$V62)</f>
        <v>0</v>
      </c>
      <c r="J62" s="21">
        <f>SUMIFS(_CALC_ALLOC!$AM$1:$AM$420,_CALC_ALLOC!$AS$1:$AS$420,"2027|"&amp;$P$1,_CALC_ALLOC!$C$1:$C$420,$V62)</f>
        <v>0</v>
      </c>
      <c r="K62" s="21">
        <f t="shared" si="0"/>
        <v>0</v>
      </c>
      <c r="L62" s="22">
        <f>SUMIFS(_CALC_ALLOC!$AN$1:$AN$420,_CALC_ALLOC!$AS$1:$AS$420,"2027|"&amp;$P$1,_CALC_ALLOC!$C$1:$C$420,$V62)</f>
        <v>0</v>
      </c>
      <c r="M62" s="23">
        <f t="shared" si="1"/>
        <v>0</v>
      </c>
      <c r="T62" t="inlineStr">
        <is>
          <t>IPAC</t>
        </is>
      </c>
      <c r="V62" t="inlineStr">
        <is>
          <t>IPAC</t>
        </is>
      </c>
      <c r="Z62">
        <v>1</v>
      </c>
      <c r="BF62" t="s">
        <v>122</v>
      </c>
      <c r="BG62" t="s">
        <v>123</v>
      </c>
      <c r="BH62" t="s">
        <v>124</v>
      </c>
      <c r="BI62" t="s">
        <v>161</v>
      </c>
      <c r="BJ62" t="s">
        <v>126</v>
      </c>
      <c r="BK62" t="s">
        <v>127</v>
      </c>
      <c r="BL62" t="s">
        <v>128</v>
      </c>
      <c r="BM62" t="s">
        <v>129</v>
      </c>
      <c r="BN62" t="s">
        <v>130</v>
      </c>
      <c r="BO62">
        <v>38</v>
      </c>
      <c r="BP62">
        <v>2</v>
      </c>
      <c r="BQ62">
        <v>256120</v>
      </c>
      <c r="BR62">
        <v>23045.643620999999</v>
      </c>
      <c r="BS62">
        <v>44060.962606000001</v>
      </c>
      <c r="BT62">
        <v>28022.994783999999</v>
      </c>
      <c r="BU62">
        <v>88880.907785999996</v>
      </c>
      <c r="BV62">
        <v>6722.1864079999996</v>
      </c>
      <c r="BW62">
        <v>34820.294844999997</v>
      </c>
      <c r="BX62">
        <v>41542.481252999998</v>
      </c>
      <c r="BY62">
        <v>51068.638404999998</v>
      </c>
      <c r="BZ62">
        <v>174484.35164499999</v>
      </c>
      <c r="CA62">
        <v>225552.99004999999</v>
      </c>
      <c r="CB62">
        <v>30567.00995</v>
      </c>
      <c r="CC62">
        <v>38</v>
      </c>
      <c r="CD62">
        <v>69137</v>
      </c>
      <c r="CE62">
        <v>132183.01999999999</v>
      </c>
      <c r="CF62">
        <v>41552</v>
      </c>
      <c r="CG62">
        <v>13798</v>
      </c>
      <c r="CH62">
        <v>266642.99</v>
      </c>
      <c r="CI62">
        <v>2760232</v>
      </c>
      <c r="CJ62">
        <v>580167</v>
      </c>
    </row>
    <row r="63" spans="2:88" collapsed="1" x14ac:dyDescent="0.45" outlineLevel="1">
      <c r="B63" s="24" t="s">
        <v>94</v>
      </c>
      <c r="C63" s="25">
        <f>SUMIFS(_CALC_ALLOC!$G$1:$G$420,_CALC_ALLOC!$AS$1:$AS$420,"2027|"&amp;$P$1,_CALC_ALLOC!$B$1:$B$420,$U63)</f>
        <v>0</v>
      </c>
      <c r="D63" s="26">
        <f>SUMIFS(_CALC_ALLOC!$I$1:$I$420,_CALC_ALLOC!$AS$1:$AS$420,"2027|"&amp;$P$1,_CALC_ALLOC!$B$1:$B$420,$U63)</f>
        <v>0</v>
      </c>
      <c r="E63" s="26">
        <f>SUMIFS(_CALC_ALLOC!$AI$1:$AI$420,_CALC_ALLOC!$AS$1:$AS$420,"2027|"&amp;$P$1,_CALC_ALLOC!$B$1:$B$420,$U63)</f>
        <v>0</v>
      </c>
      <c r="F63" s="26">
        <f>SUMIFS(_CALC_ALLOC!$AJ$1:$AJ$420,_CALC_ALLOC!$AS$1:$AS$420,"2027|"&amp;$P$1,_CALC_ALLOC!$B$1:$B$420,$U63)</f>
        <v>0</v>
      </c>
      <c r="G63" s="26">
        <f>SUMIFS(_CALC_ALLOC!$AK$1:$AK$420,_CALC_ALLOC!$AS$1:$AS$420,"2027|"&amp;$P$1,_CALC_ALLOC!$B$1:$B$420,$U63)</f>
        <v>0</v>
      </c>
      <c r="H63" s="26">
        <f>SUMIFS(_CALC_ALLOC!$AL$1:$AL$420,_CALC_ALLOC!$AS$1:$AS$420,"2027|"&amp;$P$1,_CALC_ALLOC!$B$1:$B$420,$U63)</f>
        <v>0</v>
      </c>
      <c r="I63" s="26">
        <f>SUMIFS(_CALC_ALLOC!$AR$1:$AR$420,_CALC_ALLOC!$AS$1:$AS$420,"2027|"&amp;$P$1,_CALC_ALLOC!$B$1:$B$420,$U63)</f>
        <v>0</v>
      </c>
      <c r="J63" s="26">
        <f>SUMIFS(_CALC_ALLOC!$AM$1:$AM$420,_CALC_ALLOC!$AS$1:$AS$420,"2027|"&amp;$P$1,_CALC_ALLOC!$B$1:$B$420,$U63)</f>
        <v>0</v>
      </c>
      <c r="K63" s="26">
        <f t="shared" si="0"/>
        <v>0</v>
      </c>
      <c r="L63" s="27">
        <f>SUMIFS(_CALC_ALLOC!$AN$1:$AN$420,_CALC_ALLOC!$AS$1:$AS$420,"2027|"&amp;$P$1,_CALC_ALLOC!$B$1:$B$420,$U63)</f>
        <v>0</v>
      </c>
      <c r="M63" s="28">
        <f t="shared" si="1"/>
        <v>0</v>
      </c>
      <c r="T63" t="inlineStr">
        <is>
          <t>IPAC_NAN</t>
        </is>
      </c>
      <c r="U63" t="inlineStr">
        <is>
          <t>IPAC_NAN</t>
        </is>
      </c>
      <c r="V63" t="inlineStr">
        <is>
          <t>IPAC</t>
        </is>
      </c>
      <c r="Z63">
        <v>2</v>
      </c>
      <c r="BF63" t="s">
        <v>122</v>
      </c>
      <c r="BG63" t="s">
        <v>123</v>
      </c>
      <c r="BH63" t="s">
        <v>124</v>
      </c>
      <c r="BI63" t="s">
        <v>161</v>
      </c>
      <c r="BJ63" t="s">
        <v>126</v>
      </c>
      <c r="BK63" t="s">
        <v>127</v>
      </c>
      <c r="BL63" t="s">
        <v>128</v>
      </c>
      <c r="BM63" t="s">
        <v>131</v>
      </c>
      <c r="BN63" t="s">
        <v>130</v>
      </c>
      <c r="BO63">
        <v>37</v>
      </c>
      <c r="BP63">
        <v>2</v>
      </c>
      <c r="BQ63">
        <v>246050</v>
      </c>
      <c r="BR63">
        <v>23045.643620999999</v>
      </c>
      <c r="BS63">
        <v>44060.962606000001</v>
      </c>
      <c r="BT63">
        <v>13850.652816</v>
      </c>
      <c r="BU63">
        <v>88880.907785999996</v>
      </c>
      <c r="BV63">
        <v>6722.1864079999996</v>
      </c>
      <c r="BW63">
        <v>34820.294844999997</v>
      </c>
      <c r="BX63">
        <v>41542.481252999998</v>
      </c>
      <c r="BY63">
        <v>36896.296436999997</v>
      </c>
      <c r="BZ63">
        <v>174484.35164499999</v>
      </c>
      <c r="CA63">
        <v>211380.648082</v>
      </c>
      <c r="CB63">
        <v>34669.351918</v>
      </c>
      <c r="CC63">
        <v>0</v>
      </c>
      <c r="CD63">
        <v>69137</v>
      </c>
      <c r="CE63">
        <v>132183.01999999999</v>
      </c>
      <c r="CF63">
        <v>41552</v>
      </c>
      <c r="CG63">
        <v>13798</v>
      </c>
      <c r="CH63">
        <v>266642.99</v>
      </c>
      <c r="CI63">
        <v>2760232</v>
      </c>
      <c r="CJ63">
        <v>580167</v>
      </c>
    </row>
    <row r="64" spans="2:88" x14ac:dyDescent="0.45" outlineLevel="2" hidden="1">
      <c r="B64" s="29" t="s">
        <v>104</v>
      </c>
      <c r="C64" s="30">
        <f>SUMIFS(_CALC_ALLOC!$G$1:$G$420,_CALC_ALLOC!$AS$1:$AS$420,"2027|"&amp;$P$1,_CALC_ALLOC!$B$1:$B$420,$U64,_CALC_ALLOC!$D$1:$D$420,$W64,_CALC_ALLOC!$E$1:$E$420,$X64,_CALC_ALLOC!$F$1:$F$420,$Y64)</f>
        <v>0</v>
      </c>
      <c r="D64" s="31">
        <f>SUMIFS(_CALC_ALLOC!$I$1:$I$420,_CALC_ALLOC!$AS$1:$AS$420,"2027|"&amp;$P$1,_CALC_ALLOC!$B$1:$B$420,$U64,_CALC_ALLOC!$D$1:$D$420,$W64,_CALC_ALLOC!$E$1:$E$420,$X64,_CALC_ALLOC!$F$1:$F$420,$Y64)</f>
        <v>0</v>
      </c>
      <c r="E64" s="31">
        <f>SUMIFS(_CALC_ALLOC!$AI$1:$AI$420,_CALC_ALLOC!$AS$1:$AS$420,"2027|"&amp;$P$1,_CALC_ALLOC!$B$1:$B$420,$U64,_CALC_ALLOC!$D$1:$D$420,$W64,_CALC_ALLOC!$E$1:$E$420,$X64,_CALC_ALLOC!$F$1:$F$420,$Y64)</f>
        <v>0</v>
      </c>
      <c r="F64" s="31">
        <f>SUMIFS(_CALC_ALLOC!$AJ$1:$AJ$420,_CALC_ALLOC!$AS$1:$AS$420,"2027|"&amp;$P$1,_CALC_ALLOC!$B$1:$B$420,$U64,_CALC_ALLOC!$D$1:$D$420,$W64,_CALC_ALLOC!$E$1:$E$420,$X64,_CALC_ALLOC!$F$1:$F$420,$Y64)</f>
        <v>0</v>
      </c>
      <c r="G64" s="31">
        <f>SUMIFS(_CALC_ALLOC!$AK$1:$AK$420,_CALC_ALLOC!$AS$1:$AS$420,"2027|"&amp;$P$1,_CALC_ALLOC!$B$1:$B$420,$U64,_CALC_ALLOC!$D$1:$D$420,$W64,_CALC_ALLOC!$E$1:$E$420,$X64,_CALC_ALLOC!$F$1:$F$420,$Y64)</f>
        <v>0</v>
      </c>
      <c r="H64" s="31">
        <f>SUMIFS(_CALC_ALLOC!$AL$1:$AL$420,_CALC_ALLOC!$AS$1:$AS$420,"2027|"&amp;$P$1,_CALC_ALLOC!$B$1:$B$420,$U64,_CALC_ALLOC!$D$1:$D$420,$W64,_CALC_ALLOC!$E$1:$E$420,$X64,_CALC_ALLOC!$F$1:$F$420,$Y64)</f>
        <v>0</v>
      </c>
      <c r="I64" s="31">
        <f>SUMIFS(_CALC_ALLOC!$AR$1:$AR$420,_CALC_ALLOC!$AS$1:$AS$420,"2027|"&amp;$P$1,_CALC_ALLOC!$B$1:$B$420,$U64,_CALC_ALLOC!$D$1:$D$420,$W64,_CALC_ALLOC!$E$1:$E$420,$X64,_CALC_ALLOC!$F$1:$F$420,$Y64)</f>
        <v>0</v>
      </c>
      <c r="J64" s="31">
        <f>SUMIFS(_CALC_ALLOC!$AM$1:$AM$420,_CALC_ALLOC!$AS$1:$AS$420,"2027|"&amp;$P$1,_CALC_ALLOC!$B$1:$B$420,$U64,_CALC_ALLOC!$D$1:$D$420,$W64,_CALC_ALLOC!$E$1:$E$420,$X64,_CALC_ALLOC!$F$1:$F$420,$Y64)</f>
        <v>0</v>
      </c>
      <c r="K64" s="32">
        <f t="shared" si="0"/>
        <v>0</v>
      </c>
      <c r="L64" s="33">
        <f>SUMIFS(_CALC_ALLOC!$AN$1:$AN$420,_CALC_ALLOC!$AS$1:$AS$420,"2027|"&amp;$P$1,_CALC_ALLOC!$B$1:$B$420,$U64,_CALC_ALLOC!$D$1:$D$420,$W64,_CALC_ALLOC!$E$1:$E$420,$X64,_CALC_ALLOC!$F$1:$F$420,$Y64)</f>
        <v>0</v>
      </c>
      <c r="M64" s="34">
        <f t="shared" si="1"/>
        <v>0</v>
      </c>
      <c r="T64" t="inlineStr">
        <is>
          <t>IPAC_NAN|BAC_CCE|B1|ALT</t>
        </is>
      </c>
      <c r="U64" t="inlineStr">
        <is>
          <t>IPAC_NAN</t>
        </is>
      </c>
      <c r="V64" t="inlineStr">
        <is>
          <t>IPAC</t>
        </is>
      </c>
      <c r="W64" t="inlineStr">
        <is>
          <t>BAC_CCE</t>
        </is>
      </c>
      <c r="X64" t="inlineStr">
        <is>
          <t>B1</t>
        </is>
      </c>
      <c r="Y64" t="inlineStr">
        <is>
          <t>ALT</t>
        </is>
      </c>
      <c r="Z64">
        <v>3</v>
      </c>
      <c r="BF64" t="s">
        <v>122</v>
      </c>
      <c r="BG64" t="s">
        <v>123</v>
      </c>
      <c r="BH64" t="s">
        <v>124</v>
      </c>
      <c r="BI64" t="s">
        <v>161</v>
      </c>
      <c r="BJ64" t="s">
        <v>126</v>
      </c>
      <c r="BK64" t="s">
        <v>127</v>
      </c>
      <c r="BL64" t="s">
        <v>128</v>
      </c>
      <c r="BM64" t="s">
        <v>132</v>
      </c>
      <c r="BN64" t="s">
        <v>130</v>
      </c>
      <c r="BO64">
        <v>36</v>
      </c>
      <c r="BP64">
        <v>2</v>
      </c>
      <c r="BQ64">
        <v>239400</v>
      </c>
      <c r="BR64">
        <v>23045.643620999999</v>
      </c>
      <c r="BS64">
        <v>44060.962606000001</v>
      </c>
      <c r="BT64">
        <v>13476.310847999999</v>
      </c>
      <c r="BU64">
        <v>88880.907785999996</v>
      </c>
      <c r="BV64">
        <v>6722.1864079999996</v>
      </c>
      <c r="BW64">
        <v>34820.294844999997</v>
      </c>
      <c r="BX64">
        <v>41542.481252999998</v>
      </c>
      <c r="BY64">
        <v>36521.954468999997</v>
      </c>
      <c r="BZ64">
        <v>174484.35164499999</v>
      </c>
      <c r="CA64">
        <v>211006.30611400001</v>
      </c>
      <c r="CB64">
        <v>28393.693886000001</v>
      </c>
      <c r="CC64">
        <v>0</v>
      </c>
      <c r="CD64">
        <v>69137</v>
      </c>
      <c r="CE64">
        <v>132183.01999999999</v>
      </c>
      <c r="CF64">
        <v>41552</v>
      </c>
      <c r="CG64">
        <v>13798</v>
      </c>
      <c r="CH64">
        <v>266642.99</v>
      </c>
      <c r="CI64">
        <v>2760232</v>
      </c>
      <c r="CJ64">
        <v>580167</v>
      </c>
    </row>
    <row r="65" spans="2:88" x14ac:dyDescent="0.45" outlineLevel="2" hidden="1">
      <c r="B65" s="29" t="s">
        <v>105</v>
      </c>
      <c r="C65" s="30">
        <f>SUMIFS(_CALC_ALLOC!$G$1:$G$420,_CALC_ALLOC!$AS$1:$AS$420,"2027|"&amp;$P$1,_CALC_ALLOC!$B$1:$B$420,$U65,_CALC_ALLOC!$D$1:$D$420,$W65,_CALC_ALLOC!$E$1:$E$420,$X65,_CALC_ALLOC!$F$1:$F$420,$Y65)</f>
        <v>0</v>
      </c>
      <c r="D65" s="31">
        <f>SUMIFS(_CALC_ALLOC!$I$1:$I$420,_CALC_ALLOC!$AS$1:$AS$420,"2027|"&amp;$P$1,_CALC_ALLOC!$B$1:$B$420,$U65,_CALC_ALLOC!$D$1:$D$420,$W65,_CALC_ALLOC!$E$1:$E$420,$X65,_CALC_ALLOC!$F$1:$F$420,$Y65)</f>
        <v>0</v>
      </c>
      <c r="E65" s="31">
        <f>SUMIFS(_CALC_ALLOC!$AI$1:$AI$420,_CALC_ALLOC!$AS$1:$AS$420,"2027|"&amp;$P$1,_CALC_ALLOC!$B$1:$B$420,$U65,_CALC_ALLOC!$D$1:$D$420,$W65,_CALC_ALLOC!$E$1:$E$420,$X65,_CALC_ALLOC!$F$1:$F$420,$Y65)</f>
        <v>0</v>
      </c>
      <c r="F65" s="31">
        <f>SUMIFS(_CALC_ALLOC!$AJ$1:$AJ$420,_CALC_ALLOC!$AS$1:$AS$420,"2027|"&amp;$P$1,_CALC_ALLOC!$B$1:$B$420,$U65,_CALC_ALLOC!$D$1:$D$420,$W65,_CALC_ALLOC!$E$1:$E$420,$X65,_CALC_ALLOC!$F$1:$F$420,$Y65)</f>
        <v>0</v>
      </c>
      <c r="G65" s="31">
        <f>SUMIFS(_CALC_ALLOC!$AK$1:$AK$420,_CALC_ALLOC!$AS$1:$AS$420,"2027|"&amp;$P$1,_CALC_ALLOC!$B$1:$B$420,$U65,_CALC_ALLOC!$D$1:$D$420,$W65,_CALC_ALLOC!$E$1:$E$420,$X65,_CALC_ALLOC!$F$1:$F$420,$Y65)</f>
        <v>0</v>
      </c>
      <c r="H65" s="31">
        <f>SUMIFS(_CALC_ALLOC!$AL$1:$AL$420,_CALC_ALLOC!$AS$1:$AS$420,"2027|"&amp;$P$1,_CALC_ALLOC!$B$1:$B$420,$U65,_CALC_ALLOC!$D$1:$D$420,$W65,_CALC_ALLOC!$E$1:$E$420,$X65,_CALC_ALLOC!$F$1:$F$420,$Y65)</f>
        <v>0</v>
      </c>
      <c r="I65" s="31">
        <f>SUMIFS(_CALC_ALLOC!$AR$1:$AR$420,_CALC_ALLOC!$AS$1:$AS$420,"2027|"&amp;$P$1,_CALC_ALLOC!$B$1:$B$420,$U65,_CALC_ALLOC!$D$1:$D$420,$W65,_CALC_ALLOC!$E$1:$E$420,$X65,_CALC_ALLOC!$F$1:$F$420,$Y65)</f>
        <v>0</v>
      </c>
      <c r="J65" s="31">
        <f>SUMIFS(_CALC_ALLOC!$AM$1:$AM$420,_CALC_ALLOC!$AS$1:$AS$420,"2027|"&amp;$P$1,_CALC_ALLOC!$B$1:$B$420,$U65,_CALC_ALLOC!$D$1:$D$420,$W65,_CALC_ALLOC!$E$1:$E$420,$X65,_CALC_ALLOC!$F$1:$F$420,$Y65)</f>
        <v>0</v>
      </c>
      <c r="K65" s="32">
        <f t="shared" si="0"/>
        <v>0</v>
      </c>
      <c r="L65" s="33">
        <f>SUMIFS(_CALC_ALLOC!$AN$1:$AN$420,_CALC_ALLOC!$AS$1:$AS$420,"2027|"&amp;$P$1,_CALC_ALLOC!$B$1:$B$420,$U65,_CALC_ALLOC!$D$1:$D$420,$W65,_CALC_ALLOC!$E$1:$E$420,$X65,_CALC_ALLOC!$F$1:$F$420,$Y65)</f>
        <v>0</v>
      </c>
      <c r="M65" s="34">
        <f t="shared" si="1"/>
        <v>0</v>
      </c>
      <c r="T65" t="inlineStr">
        <is>
          <t>IPAC_NAN|BAC_CCE|B2|ALT</t>
        </is>
      </c>
      <c r="U65" t="inlineStr">
        <is>
          <t>IPAC_NAN</t>
        </is>
      </c>
      <c r="V65" t="inlineStr">
        <is>
          <t>IPAC</t>
        </is>
      </c>
      <c r="W65" t="inlineStr">
        <is>
          <t>BAC_CCE</t>
        </is>
      </c>
      <c r="X65" t="inlineStr">
        <is>
          <t>B2</t>
        </is>
      </c>
      <c r="Y65" t="inlineStr">
        <is>
          <t>ALT</t>
        </is>
      </c>
      <c r="Z65">
        <v>3</v>
      </c>
      <c r="BF65" t="s">
        <v>122</v>
      </c>
      <c r="BG65" t="s">
        <v>123</v>
      </c>
      <c r="BH65" t="s">
        <v>124</v>
      </c>
      <c r="BI65" t="s">
        <v>161</v>
      </c>
      <c r="BJ65" t="s">
        <v>133</v>
      </c>
      <c r="BK65" t="s">
        <v>127</v>
      </c>
      <c r="BL65" t="s">
        <v>128</v>
      </c>
      <c r="BM65" t="s">
        <v>129</v>
      </c>
      <c r="BN65" t="s">
        <v>130</v>
      </c>
      <c r="BO65">
        <v>47</v>
      </c>
      <c r="BP65">
        <v>2</v>
      </c>
      <c r="BQ65">
        <v>333230</v>
      </c>
      <c r="BR65">
        <v>23045.643620999999</v>
      </c>
      <c r="BS65">
        <v>53637.103029999998</v>
      </c>
      <c r="BT65">
        <v>37578.054060000002</v>
      </c>
      <c r="BU65">
        <v>124275.612391</v>
      </c>
      <c r="BV65">
        <v>8236.2095439999994</v>
      </c>
      <c r="BW65">
        <v>42662.792628000003</v>
      </c>
      <c r="BX65">
        <v>50899.002172</v>
      </c>
      <c r="BY65">
        <v>60623.697680999998</v>
      </c>
      <c r="BZ65">
        <v>228811.71759300001</v>
      </c>
      <c r="CA65">
        <v>289435.41527400003</v>
      </c>
      <c r="CB65">
        <v>43794.584726000001</v>
      </c>
      <c r="CC65">
        <v>47</v>
      </c>
      <c r="CD65">
        <v>69137</v>
      </c>
      <c r="CE65">
        <v>160911.47</v>
      </c>
      <c r="CF65">
        <v>51495</v>
      </c>
      <c r="CG65">
        <v>19782</v>
      </c>
      <c r="CH65">
        <v>372827.21</v>
      </c>
      <c r="CI65">
        <v>2760232</v>
      </c>
      <c r="CJ65">
        <v>580167</v>
      </c>
    </row>
    <row r="66" spans="2:88" x14ac:dyDescent="0.45" outlineLevel="2" hidden="1">
      <c r="B66" s="29" t="s">
        <v>106</v>
      </c>
      <c r="C66" s="30">
        <f>SUMIFS(_CALC_ALLOC!$G$1:$G$420,_CALC_ALLOC!$AS$1:$AS$420,"2027|"&amp;$P$1,_CALC_ALLOC!$B$1:$B$420,$U66,_CALC_ALLOC!$D$1:$D$420,$W66,_CALC_ALLOC!$E$1:$E$420,$X66,_CALC_ALLOC!$F$1:$F$420,$Y66)</f>
        <v>0</v>
      </c>
      <c r="D66" s="31">
        <f>SUMIFS(_CALC_ALLOC!$I$1:$I$420,_CALC_ALLOC!$AS$1:$AS$420,"2027|"&amp;$P$1,_CALC_ALLOC!$B$1:$B$420,$U66,_CALC_ALLOC!$D$1:$D$420,$W66,_CALC_ALLOC!$E$1:$E$420,$X66,_CALC_ALLOC!$F$1:$F$420,$Y66)</f>
        <v>0</v>
      </c>
      <c r="E66" s="31">
        <f>SUMIFS(_CALC_ALLOC!$AI$1:$AI$420,_CALC_ALLOC!$AS$1:$AS$420,"2027|"&amp;$P$1,_CALC_ALLOC!$B$1:$B$420,$U66,_CALC_ALLOC!$D$1:$D$420,$W66,_CALC_ALLOC!$E$1:$E$420,$X66,_CALC_ALLOC!$F$1:$F$420,$Y66)</f>
        <v>0</v>
      </c>
      <c r="F66" s="31">
        <f>SUMIFS(_CALC_ALLOC!$AJ$1:$AJ$420,_CALC_ALLOC!$AS$1:$AS$420,"2027|"&amp;$P$1,_CALC_ALLOC!$B$1:$B$420,$U66,_CALC_ALLOC!$D$1:$D$420,$W66,_CALC_ALLOC!$E$1:$E$420,$X66,_CALC_ALLOC!$F$1:$F$420,$Y66)</f>
        <v>0</v>
      </c>
      <c r="G66" s="31">
        <f>SUMIFS(_CALC_ALLOC!$AK$1:$AK$420,_CALC_ALLOC!$AS$1:$AS$420,"2027|"&amp;$P$1,_CALC_ALLOC!$B$1:$B$420,$U66,_CALC_ALLOC!$D$1:$D$420,$W66,_CALC_ALLOC!$E$1:$E$420,$X66,_CALC_ALLOC!$F$1:$F$420,$Y66)</f>
        <v>0</v>
      </c>
      <c r="H66" s="31">
        <f>SUMIFS(_CALC_ALLOC!$AL$1:$AL$420,_CALC_ALLOC!$AS$1:$AS$420,"2027|"&amp;$P$1,_CALC_ALLOC!$B$1:$B$420,$U66,_CALC_ALLOC!$D$1:$D$420,$W66,_CALC_ALLOC!$E$1:$E$420,$X66,_CALC_ALLOC!$F$1:$F$420,$Y66)</f>
        <v>0</v>
      </c>
      <c r="I66" s="31">
        <f>SUMIFS(_CALC_ALLOC!$AR$1:$AR$420,_CALC_ALLOC!$AS$1:$AS$420,"2027|"&amp;$P$1,_CALC_ALLOC!$B$1:$B$420,$U66,_CALC_ALLOC!$D$1:$D$420,$W66,_CALC_ALLOC!$E$1:$E$420,$X66,_CALC_ALLOC!$F$1:$F$420,$Y66)</f>
        <v>0</v>
      </c>
      <c r="J66" s="31">
        <f>SUMIFS(_CALC_ALLOC!$AM$1:$AM$420,_CALC_ALLOC!$AS$1:$AS$420,"2027|"&amp;$P$1,_CALC_ALLOC!$B$1:$B$420,$U66,_CALC_ALLOC!$D$1:$D$420,$W66,_CALC_ALLOC!$E$1:$E$420,$X66,_CALC_ALLOC!$F$1:$F$420,$Y66)</f>
        <v>0</v>
      </c>
      <c r="K66" s="32">
        <f t="shared" si="0"/>
        <v>0</v>
      </c>
      <c r="L66" s="33">
        <f>SUMIFS(_CALC_ALLOC!$AN$1:$AN$420,_CALC_ALLOC!$AS$1:$AS$420,"2027|"&amp;$P$1,_CALC_ALLOC!$B$1:$B$420,$U66,_CALC_ALLOC!$D$1:$D$420,$W66,_CALC_ALLOC!$E$1:$E$420,$X66,_CALC_ALLOC!$F$1:$F$420,$Y66)</f>
        <v>0</v>
      </c>
      <c r="M66" s="34">
        <f t="shared" si="1"/>
        <v>0</v>
      </c>
      <c r="T66" t="inlineStr">
        <is>
          <t>IPAC_NAN|BAC_CCE|B3|ALT</t>
        </is>
      </c>
      <c r="U66" t="inlineStr">
        <is>
          <t>IPAC_NAN</t>
        </is>
      </c>
      <c r="V66" t="inlineStr">
        <is>
          <t>IPAC</t>
        </is>
      </c>
      <c r="W66" t="inlineStr">
        <is>
          <t>BAC_CCE</t>
        </is>
      </c>
      <c r="X66" t="inlineStr">
        <is>
          <t>B3</t>
        </is>
      </c>
      <c r="Y66" t="inlineStr">
        <is>
          <t>ALT</t>
        </is>
      </c>
      <c r="Z66">
        <v>3</v>
      </c>
      <c r="BF66" t="s">
        <v>122</v>
      </c>
      <c r="BG66" t="s">
        <v>123</v>
      </c>
      <c r="BH66" t="s">
        <v>124</v>
      </c>
      <c r="BI66" t="s">
        <v>161</v>
      </c>
      <c r="BJ66" t="s">
        <v>133</v>
      </c>
      <c r="BK66" t="s">
        <v>127</v>
      </c>
      <c r="BL66" t="s">
        <v>128</v>
      </c>
      <c r="BM66" t="s">
        <v>131</v>
      </c>
      <c r="BN66" t="s">
        <v>130</v>
      </c>
      <c r="BO66">
        <v>45</v>
      </c>
      <c r="BP66">
        <v>2</v>
      </c>
      <c r="BQ66">
        <v>315000</v>
      </c>
      <c r="BR66">
        <v>23045.643620999999</v>
      </c>
      <c r="BS66">
        <v>53637.103029999998</v>
      </c>
      <c r="BT66">
        <v>17038.76859</v>
      </c>
      <c r="BU66">
        <v>124275.612391</v>
      </c>
      <c r="BV66">
        <v>8236.2095439999994</v>
      </c>
      <c r="BW66">
        <v>42662.792628000003</v>
      </c>
      <c r="BX66">
        <v>50899.002172</v>
      </c>
      <c r="BY66">
        <v>40084.412211000003</v>
      </c>
      <c r="BZ66">
        <v>228811.71759300001</v>
      </c>
      <c r="CA66">
        <v>268896.12980400003</v>
      </c>
      <c r="CB66">
        <v>46103.870196000003</v>
      </c>
      <c r="CC66">
        <v>0</v>
      </c>
      <c r="CD66">
        <v>69137</v>
      </c>
      <c r="CE66">
        <v>160911.47</v>
      </c>
      <c r="CF66">
        <v>51495</v>
      </c>
      <c r="CG66">
        <v>19782</v>
      </c>
      <c r="CH66">
        <v>372827.21</v>
      </c>
      <c r="CI66">
        <v>2760232</v>
      </c>
      <c r="CJ66">
        <v>580167</v>
      </c>
    </row>
    <row r="67" spans="2:88" x14ac:dyDescent="0.45" outlineLevel="1">
      <c r="B67" s="24" t="s">
        <v>107</v>
      </c>
      <c r="C67" s="25">
        <f>SUMIFS(_CALC_ALLOC!$G$1:$G$420,_CALC_ALLOC!$AS$1:$AS$420,"2027|"&amp;$P$1,_CALC_ALLOC!$B$1:$B$420,$U67)</f>
        <v>0</v>
      </c>
      <c r="D67" s="26">
        <f>SUMIFS(_CALC_ALLOC!$I$1:$I$420,_CALC_ALLOC!$AS$1:$AS$420,"2027|"&amp;$P$1,_CALC_ALLOC!$B$1:$B$420,$U67)</f>
        <v>0</v>
      </c>
      <c r="E67" s="26">
        <f>SUMIFS(_CALC_ALLOC!$AI$1:$AI$420,_CALC_ALLOC!$AS$1:$AS$420,"2027|"&amp;$P$1,_CALC_ALLOC!$B$1:$B$420,$U67)</f>
        <v>0</v>
      </c>
      <c r="F67" s="26">
        <f>SUMIFS(_CALC_ALLOC!$AJ$1:$AJ$420,_CALC_ALLOC!$AS$1:$AS$420,"2027|"&amp;$P$1,_CALC_ALLOC!$B$1:$B$420,$U67)</f>
        <v>0</v>
      </c>
      <c r="G67" s="26">
        <f>SUMIFS(_CALC_ALLOC!$AK$1:$AK$420,_CALC_ALLOC!$AS$1:$AS$420,"2027|"&amp;$P$1,_CALC_ALLOC!$B$1:$B$420,$U67)</f>
        <v>0</v>
      </c>
      <c r="H67" s="26">
        <f>SUMIFS(_CALC_ALLOC!$AL$1:$AL$420,_CALC_ALLOC!$AS$1:$AS$420,"2027|"&amp;$P$1,_CALC_ALLOC!$B$1:$B$420,$U67)</f>
        <v>0</v>
      </c>
      <c r="I67" s="26">
        <f>SUMIFS(_CALC_ALLOC!$AR$1:$AR$420,_CALC_ALLOC!$AS$1:$AS$420,"2027|"&amp;$P$1,_CALC_ALLOC!$B$1:$B$420,$U67)</f>
        <v>0</v>
      </c>
      <c r="J67" s="26">
        <f>SUMIFS(_CALC_ALLOC!$AM$1:$AM$420,_CALC_ALLOC!$AS$1:$AS$420,"2027|"&amp;$P$1,_CALC_ALLOC!$B$1:$B$420,$U67)</f>
        <v>0</v>
      </c>
      <c r="K67" s="26">
        <f t="shared" si="0"/>
        <v>0</v>
      </c>
      <c r="L67" s="27">
        <f>SUMIFS(_CALC_ALLOC!$AN$1:$AN$420,_CALC_ALLOC!$AS$1:$AS$420,"2027|"&amp;$P$1,_CALC_ALLOC!$B$1:$B$420,$U67)</f>
        <v>0</v>
      </c>
      <c r="M67" s="28">
        <f t="shared" si="1"/>
        <v>0</v>
      </c>
      <c r="T67" t="inlineStr">
        <is>
          <t>IPAC_REN</t>
        </is>
      </c>
      <c r="U67" t="inlineStr">
        <is>
          <t>IPAC_REN</t>
        </is>
      </c>
      <c r="V67" t="inlineStr">
        <is>
          <t>IPAC</t>
        </is>
      </c>
      <c r="Z67">
        <v>2</v>
      </c>
      <c r="BF67" t="s">
        <v>122</v>
      </c>
      <c r="BG67" t="s">
        <v>123</v>
      </c>
      <c r="BH67" t="s">
        <v>124</v>
      </c>
      <c r="BI67" t="s">
        <v>161</v>
      </c>
      <c r="BJ67" t="s">
        <v>133</v>
      </c>
      <c r="BK67" t="s">
        <v>127</v>
      </c>
      <c r="BL67" t="s">
        <v>128</v>
      </c>
      <c r="BM67" t="s">
        <v>132</v>
      </c>
      <c r="BN67" t="s">
        <v>130</v>
      </c>
      <c r="BO67">
        <v>44</v>
      </c>
      <c r="BP67">
        <v>2</v>
      </c>
      <c r="BQ67">
        <v>308000</v>
      </c>
      <c r="BR67">
        <v>23045.643620999999</v>
      </c>
      <c r="BS67">
        <v>53637.103029999998</v>
      </c>
      <c r="BT67">
        <v>16660.125854999998</v>
      </c>
      <c r="BU67">
        <v>124275.612391</v>
      </c>
      <c r="BV67">
        <v>8236.2095439999994</v>
      </c>
      <c r="BW67">
        <v>42662.792628000003</v>
      </c>
      <c r="BX67">
        <v>50899.002172</v>
      </c>
      <c r="BY67">
        <v>39705.769476000001</v>
      </c>
      <c r="BZ67">
        <v>228811.71759300001</v>
      </c>
      <c r="CA67">
        <v>268517.48706900002</v>
      </c>
      <c r="CB67">
        <v>39482.512930999997</v>
      </c>
      <c r="CC67">
        <v>0</v>
      </c>
      <c r="CD67">
        <v>69137</v>
      </c>
      <c r="CE67">
        <v>160911.47</v>
      </c>
      <c r="CF67">
        <v>51495</v>
      </c>
      <c r="CG67">
        <v>19782</v>
      </c>
      <c r="CH67">
        <v>372827.21</v>
      </c>
      <c r="CI67">
        <v>2760232</v>
      </c>
      <c r="CJ67">
        <v>580167</v>
      </c>
    </row>
    <row r="68" spans="2:88" x14ac:dyDescent="0.45" outlineLevel="2" hidden="1">
      <c r="B68" s="29" t="s">
        <v>104</v>
      </c>
      <c r="C68" s="30">
        <f>SUMIFS(_CALC_ALLOC!$G$1:$G$420,_CALC_ALLOC!$AS$1:$AS$420,"2027|"&amp;$P$1,_CALC_ALLOC!$B$1:$B$420,$U68,_CALC_ALLOC!$D$1:$D$420,$W68,_CALC_ALLOC!$E$1:$E$420,$X68,_CALC_ALLOC!$F$1:$F$420,$Y68)</f>
        <v>0</v>
      </c>
      <c r="D68" s="31">
        <f>SUMIFS(_CALC_ALLOC!$I$1:$I$420,_CALC_ALLOC!$AS$1:$AS$420,"2027|"&amp;$P$1,_CALC_ALLOC!$B$1:$B$420,$U68,_CALC_ALLOC!$D$1:$D$420,$W68,_CALC_ALLOC!$E$1:$E$420,$X68,_CALC_ALLOC!$F$1:$F$420,$Y68)</f>
        <v>0</v>
      </c>
      <c r="E68" s="31">
        <f>SUMIFS(_CALC_ALLOC!$AI$1:$AI$420,_CALC_ALLOC!$AS$1:$AS$420,"2027|"&amp;$P$1,_CALC_ALLOC!$B$1:$B$420,$U68,_CALC_ALLOC!$D$1:$D$420,$W68,_CALC_ALLOC!$E$1:$E$420,$X68,_CALC_ALLOC!$F$1:$F$420,$Y68)</f>
        <v>0</v>
      </c>
      <c r="F68" s="31">
        <f>SUMIFS(_CALC_ALLOC!$AJ$1:$AJ$420,_CALC_ALLOC!$AS$1:$AS$420,"2027|"&amp;$P$1,_CALC_ALLOC!$B$1:$B$420,$U68,_CALC_ALLOC!$D$1:$D$420,$W68,_CALC_ALLOC!$E$1:$E$420,$X68,_CALC_ALLOC!$F$1:$F$420,$Y68)</f>
        <v>0</v>
      </c>
      <c r="G68" s="31">
        <f>SUMIFS(_CALC_ALLOC!$AK$1:$AK$420,_CALC_ALLOC!$AS$1:$AS$420,"2027|"&amp;$P$1,_CALC_ALLOC!$B$1:$B$420,$U68,_CALC_ALLOC!$D$1:$D$420,$W68,_CALC_ALLOC!$E$1:$E$420,$X68,_CALC_ALLOC!$F$1:$F$420,$Y68)</f>
        <v>0</v>
      </c>
      <c r="H68" s="31">
        <f>SUMIFS(_CALC_ALLOC!$AL$1:$AL$420,_CALC_ALLOC!$AS$1:$AS$420,"2027|"&amp;$P$1,_CALC_ALLOC!$B$1:$B$420,$U68,_CALC_ALLOC!$D$1:$D$420,$W68,_CALC_ALLOC!$E$1:$E$420,$X68,_CALC_ALLOC!$F$1:$F$420,$Y68)</f>
        <v>0</v>
      </c>
      <c r="I68" s="31">
        <f>SUMIFS(_CALC_ALLOC!$AR$1:$AR$420,_CALC_ALLOC!$AS$1:$AS$420,"2027|"&amp;$P$1,_CALC_ALLOC!$B$1:$B$420,$U68,_CALC_ALLOC!$D$1:$D$420,$W68,_CALC_ALLOC!$E$1:$E$420,$X68,_CALC_ALLOC!$F$1:$F$420,$Y68)</f>
        <v>0</v>
      </c>
      <c r="J68" s="31">
        <f>SUMIFS(_CALC_ALLOC!$AM$1:$AM$420,_CALC_ALLOC!$AS$1:$AS$420,"2027|"&amp;$P$1,_CALC_ALLOC!$B$1:$B$420,$U68,_CALC_ALLOC!$D$1:$D$420,$W68,_CALC_ALLOC!$E$1:$E$420,$X68,_CALC_ALLOC!$F$1:$F$420,$Y68)</f>
        <v>0</v>
      </c>
      <c r="K68" s="32">
        <f t="shared" si="0"/>
        <v>0</v>
      </c>
      <c r="L68" s="33">
        <f>SUMIFS(_CALC_ALLOC!$AN$1:$AN$420,_CALC_ALLOC!$AS$1:$AS$420,"2027|"&amp;$P$1,_CALC_ALLOC!$B$1:$B$420,$U68,_CALC_ALLOC!$D$1:$D$420,$W68,_CALC_ALLOC!$E$1:$E$420,$X68,_CALC_ALLOC!$F$1:$F$420,$Y68)</f>
        <v>0</v>
      </c>
      <c r="M68" s="34">
        <f t="shared" si="1"/>
        <v>0</v>
      </c>
      <c r="T68" t="inlineStr">
        <is>
          <t>IPAC_REN|BAC_CCE|B1|ALT</t>
        </is>
      </c>
      <c r="U68" t="inlineStr">
        <is>
          <t>IPAC_REN</t>
        </is>
      </c>
      <c r="V68" t="inlineStr">
        <is>
          <t>IPAC</t>
        </is>
      </c>
      <c r="W68" t="inlineStr">
        <is>
          <t>BAC_CCE</t>
        </is>
      </c>
      <c r="X68" t="inlineStr">
        <is>
          <t>B1</t>
        </is>
      </c>
      <c r="Y68" t="inlineStr">
        <is>
          <t>ALT</t>
        </is>
      </c>
      <c r="Z68">
        <v>3</v>
      </c>
      <c r="BF68" t="s">
        <v>122</v>
      </c>
      <c r="BG68" t="s">
        <v>123</v>
      </c>
      <c r="BH68" t="s">
        <v>124</v>
      </c>
      <c r="BI68" t="s">
        <v>161</v>
      </c>
      <c r="BJ68" t="s">
        <v>134</v>
      </c>
      <c r="BK68" t="s">
        <v>127</v>
      </c>
      <c r="BL68" t="s">
        <v>128</v>
      </c>
      <c r="BM68" t="s">
        <v>129</v>
      </c>
      <c r="BN68" t="s">
        <v>130</v>
      </c>
      <c r="BO68">
        <v>38</v>
      </c>
      <c r="BP68">
        <v>2</v>
      </c>
      <c r="BQ68">
        <v>256120</v>
      </c>
      <c r="BR68">
        <v>23045.643620999999</v>
      </c>
      <c r="BS68">
        <v>44085.599247999999</v>
      </c>
      <c r="BT68">
        <v>27799.994783999999</v>
      </c>
      <c r="BU68">
        <v>88930.611069000006</v>
      </c>
      <c r="BV68">
        <v>6722.1864079999996</v>
      </c>
      <c r="BW68">
        <v>34820.294844999997</v>
      </c>
      <c r="BX68">
        <v>41542.481252999998</v>
      </c>
      <c r="BY68">
        <v>50845.638404999998</v>
      </c>
      <c r="BZ68">
        <v>174558.69157</v>
      </c>
      <c r="CA68">
        <v>225404.329975</v>
      </c>
      <c r="CB68">
        <v>30715.670024999999</v>
      </c>
      <c r="CC68">
        <v>38</v>
      </c>
      <c r="CD68">
        <v>69137</v>
      </c>
      <c r="CE68">
        <v>132256.93</v>
      </c>
      <c r="CF68">
        <v>41552</v>
      </c>
      <c r="CG68">
        <v>13575</v>
      </c>
      <c r="CH68">
        <v>266792.09999999998</v>
      </c>
      <c r="CI68">
        <v>2760232</v>
      </c>
      <c r="CJ68">
        <v>580167</v>
      </c>
    </row>
    <row r="69" spans="2:88" x14ac:dyDescent="0.45" outlineLevel="2" hidden="1">
      <c r="B69" s="29" t="s">
        <v>105</v>
      </c>
      <c r="C69" s="30">
        <f>SUMIFS(_CALC_ALLOC!$G$1:$G$420,_CALC_ALLOC!$AS$1:$AS$420,"2027|"&amp;$P$1,_CALC_ALLOC!$B$1:$B$420,$U69,_CALC_ALLOC!$D$1:$D$420,$W69,_CALC_ALLOC!$E$1:$E$420,$X69,_CALC_ALLOC!$F$1:$F$420,$Y69)</f>
        <v>0</v>
      </c>
      <c r="D69" s="31">
        <f>SUMIFS(_CALC_ALLOC!$I$1:$I$420,_CALC_ALLOC!$AS$1:$AS$420,"2027|"&amp;$P$1,_CALC_ALLOC!$B$1:$B$420,$U69,_CALC_ALLOC!$D$1:$D$420,$W69,_CALC_ALLOC!$E$1:$E$420,$X69,_CALC_ALLOC!$F$1:$F$420,$Y69)</f>
        <v>0</v>
      </c>
      <c r="E69" s="31">
        <f>SUMIFS(_CALC_ALLOC!$AI$1:$AI$420,_CALC_ALLOC!$AS$1:$AS$420,"2027|"&amp;$P$1,_CALC_ALLOC!$B$1:$B$420,$U69,_CALC_ALLOC!$D$1:$D$420,$W69,_CALC_ALLOC!$E$1:$E$420,$X69,_CALC_ALLOC!$F$1:$F$420,$Y69)</f>
        <v>0</v>
      </c>
      <c r="F69" s="31">
        <f>SUMIFS(_CALC_ALLOC!$AJ$1:$AJ$420,_CALC_ALLOC!$AS$1:$AS$420,"2027|"&amp;$P$1,_CALC_ALLOC!$B$1:$B$420,$U69,_CALC_ALLOC!$D$1:$D$420,$W69,_CALC_ALLOC!$E$1:$E$420,$X69,_CALC_ALLOC!$F$1:$F$420,$Y69)</f>
        <v>0</v>
      </c>
      <c r="G69" s="31">
        <f>SUMIFS(_CALC_ALLOC!$AK$1:$AK$420,_CALC_ALLOC!$AS$1:$AS$420,"2027|"&amp;$P$1,_CALC_ALLOC!$B$1:$B$420,$U69,_CALC_ALLOC!$D$1:$D$420,$W69,_CALC_ALLOC!$E$1:$E$420,$X69,_CALC_ALLOC!$F$1:$F$420,$Y69)</f>
        <v>0</v>
      </c>
      <c r="H69" s="31">
        <f>SUMIFS(_CALC_ALLOC!$AL$1:$AL$420,_CALC_ALLOC!$AS$1:$AS$420,"2027|"&amp;$P$1,_CALC_ALLOC!$B$1:$B$420,$U69,_CALC_ALLOC!$D$1:$D$420,$W69,_CALC_ALLOC!$E$1:$E$420,$X69,_CALC_ALLOC!$F$1:$F$420,$Y69)</f>
        <v>0</v>
      </c>
      <c r="I69" s="31">
        <f>SUMIFS(_CALC_ALLOC!$AR$1:$AR$420,_CALC_ALLOC!$AS$1:$AS$420,"2027|"&amp;$P$1,_CALC_ALLOC!$B$1:$B$420,$U69,_CALC_ALLOC!$D$1:$D$420,$W69,_CALC_ALLOC!$E$1:$E$420,$X69,_CALC_ALLOC!$F$1:$F$420,$Y69)</f>
        <v>0</v>
      </c>
      <c r="J69" s="31">
        <f>SUMIFS(_CALC_ALLOC!$AM$1:$AM$420,_CALC_ALLOC!$AS$1:$AS$420,"2027|"&amp;$P$1,_CALC_ALLOC!$B$1:$B$420,$U69,_CALC_ALLOC!$D$1:$D$420,$W69,_CALC_ALLOC!$E$1:$E$420,$X69,_CALC_ALLOC!$F$1:$F$420,$Y69)</f>
        <v>0</v>
      </c>
      <c r="K69" s="32">
        <f t="shared" si="0"/>
        <v>0</v>
      </c>
      <c r="L69" s="33">
        <f>SUMIFS(_CALC_ALLOC!$AN$1:$AN$420,_CALC_ALLOC!$AS$1:$AS$420,"2027|"&amp;$P$1,_CALC_ALLOC!$B$1:$B$420,$U69,_CALC_ALLOC!$D$1:$D$420,$W69,_CALC_ALLOC!$E$1:$E$420,$X69,_CALC_ALLOC!$F$1:$F$420,$Y69)</f>
        <v>0</v>
      </c>
      <c r="M69" s="34">
        <f t="shared" si="1"/>
        <v>0</v>
      </c>
      <c r="T69" t="inlineStr">
        <is>
          <t>IPAC_REN|BAC_CCE|B2|ALT</t>
        </is>
      </c>
      <c r="U69" t="inlineStr">
        <is>
          <t>IPAC_REN</t>
        </is>
      </c>
      <c r="V69" t="inlineStr">
        <is>
          <t>IPAC</t>
        </is>
      </c>
      <c r="W69" t="inlineStr">
        <is>
          <t>BAC_CCE</t>
        </is>
      </c>
      <c r="X69" t="inlineStr">
        <is>
          <t>B2</t>
        </is>
      </c>
      <c r="Y69" t="inlineStr">
        <is>
          <t>ALT</t>
        </is>
      </c>
      <c r="Z69">
        <v>3</v>
      </c>
      <c r="BF69" t="s">
        <v>122</v>
      </c>
      <c r="BG69" t="s">
        <v>123</v>
      </c>
      <c r="BH69" t="s">
        <v>124</v>
      </c>
      <c r="BI69" t="s">
        <v>161</v>
      </c>
      <c r="BJ69" t="s">
        <v>134</v>
      </c>
      <c r="BK69" t="s">
        <v>127</v>
      </c>
      <c r="BL69" t="s">
        <v>128</v>
      </c>
      <c r="BM69" t="s">
        <v>131</v>
      </c>
      <c r="BN69" t="s">
        <v>130</v>
      </c>
      <c r="BO69">
        <v>37</v>
      </c>
      <c r="BP69">
        <v>2</v>
      </c>
      <c r="BQ69">
        <v>246050</v>
      </c>
      <c r="BR69">
        <v>23045.643620999999</v>
      </c>
      <c r="BS69">
        <v>44085.599247999999</v>
      </c>
      <c r="BT69">
        <v>13850.652816</v>
      </c>
      <c r="BU69">
        <v>88930.611069000006</v>
      </c>
      <c r="BV69">
        <v>6722.1864079999996</v>
      </c>
      <c r="BW69">
        <v>34820.294844999997</v>
      </c>
      <c r="BX69">
        <v>41542.481252999998</v>
      </c>
      <c r="BY69">
        <v>36896.296436999997</v>
      </c>
      <c r="BZ69">
        <v>174558.69157</v>
      </c>
      <c r="CA69">
        <v>211454.98800700001</v>
      </c>
      <c r="CB69">
        <v>34595.011993</v>
      </c>
      <c r="CC69">
        <v>0</v>
      </c>
      <c r="CD69">
        <v>69137</v>
      </c>
      <c r="CE69">
        <v>132256.93</v>
      </c>
      <c r="CF69">
        <v>41552</v>
      </c>
      <c r="CG69">
        <v>13575</v>
      </c>
      <c r="CH69">
        <v>266792.09999999998</v>
      </c>
      <c r="CI69">
        <v>2760232</v>
      </c>
      <c r="CJ69">
        <v>580167</v>
      </c>
    </row>
    <row r="70" spans="2:88" x14ac:dyDescent="0.45" outlineLevel="2" hidden="1">
      <c r="B70" s="29" t="s">
        <v>106</v>
      </c>
      <c r="C70" s="30">
        <f>SUMIFS(_CALC_ALLOC!$G$1:$G$420,_CALC_ALLOC!$AS$1:$AS$420,"2027|"&amp;$P$1,_CALC_ALLOC!$B$1:$B$420,$U70,_CALC_ALLOC!$D$1:$D$420,$W70,_CALC_ALLOC!$E$1:$E$420,$X70,_CALC_ALLOC!$F$1:$F$420,$Y70)</f>
        <v>0</v>
      </c>
      <c r="D70" s="31">
        <f>SUMIFS(_CALC_ALLOC!$I$1:$I$420,_CALC_ALLOC!$AS$1:$AS$420,"2027|"&amp;$P$1,_CALC_ALLOC!$B$1:$B$420,$U70,_CALC_ALLOC!$D$1:$D$420,$W70,_CALC_ALLOC!$E$1:$E$420,$X70,_CALC_ALLOC!$F$1:$F$420,$Y70)</f>
        <v>0</v>
      </c>
      <c r="E70" s="31">
        <f>SUMIFS(_CALC_ALLOC!$AI$1:$AI$420,_CALC_ALLOC!$AS$1:$AS$420,"2027|"&amp;$P$1,_CALC_ALLOC!$B$1:$B$420,$U70,_CALC_ALLOC!$D$1:$D$420,$W70,_CALC_ALLOC!$E$1:$E$420,$X70,_CALC_ALLOC!$F$1:$F$420,$Y70)</f>
        <v>0</v>
      </c>
      <c r="F70" s="31">
        <f>SUMIFS(_CALC_ALLOC!$AJ$1:$AJ$420,_CALC_ALLOC!$AS$1:$AS$420,"2027|"&amp;$P$1,_CALC_ALLOC!$B$1:$B$420,$U70,_CALC_ALLOC!$D$1:$D$420,$W70,_CALC_ALLOC!$E$1:$E$420,$X70,_CALC_ALLOC!$F$1:$F$420,$Y70)</f>
        <v>0</v>
      </c>
      <c r="G70" s="31">
        <f>SUMIFS(_CALC_ALLOC!$AK$1:$AK$420,_CALC_ALLOC!$AS$1:$AS$420,"2027|"&amp;$P$1,_CALC_ALLOC!$B$1:$B$420,$U70,_CALC_ALLOC!$D$1:$D$420,$W70,_CALC_ALLOC!$E$1:$E$420,$X70,_CALC_ALLOC!$F$1:$F$420,$Y70)</f>
        <v>0</v>
      </c>
      <c r="H70" s="31">
        <f>SUMIFS(_CALC_ALLOC!$AL$1:$AL$420,_CALC_ALLOC!$AS$1:$AS$420,"2027|"&amp;$P$1,_CALC_ALLOC!$B$1:$B$420,$U70,_CALC_ALLOC!$D$1:$D$420,$W70,_CALC_ALLOC!$E$1:$E$420,$X70,_CALC_ALLOC!$F$1:$F$420,$Y70)</f>
        <v>0</v>
      </c>
      <c r="I70" s="31">
        <f>SUMIFS(_CALC_ALLOC!$AR$1:$AR$420,_CALC_ALLOC!$AS$1:$AS$420,"2027|"&amp;$P$1,_CALC_ALLOC!$B$1:$B$420,$U70,_CALC_ALLOC!$D$1:$D$420,$W70,_CALC_ALLOC!$E$1:$E$420,$X70,_CALC_ALLOC!$F$1:$F$420,$Y70)</f>
        <v>0</v>
      </c>
      <c r="J70" s="31">
        <f>SUMIFS(_CALC_ALLOC!$AM$1:$AM$420,_CALC_ALLOC!$AS$1:$AS$420,"2027|"&amp;$P$1,_CALC_ALLOC!$B$1:$B$420,$U70,_CALC_ALLOC!$D$1:$D$420,$W70,_CALC_ALLOC!$E$1:$E$420,$X70,_CALC_ALLOC!$F$1:$F$420,$Y70)</f>
        <v>0</v>
      </c>
      <c r="K70" s="32">
        <f t="shared" si="0"/>
        <v>0</v>
      </c>
      <c r="L70" s="33">
        <f>SUMIFS(_CALC_ALLOC!$AN$1:$AN$420,_CALC_ALLOC!$AS$1:$AS$420,"2027|"&amp;$P$1,_CALC_ALLOC!$B$1:$B$420,$U70,_CALC_ALLOC!$D$1:$D$420,$W70,_CALC_ALLOC!$E$1:$E$420,$X70,_CALC_ALLOC!$F$1:$F$420,$Y70)</f>
        <v>0</v>
      </c>
      <c r="M70" s="34">
        <f t="shared" si="1"/>
        <v>0</v>
      </c>
      <c r="T70" t="inlineStr">
        <is>
          <t>IPAC_REN|BAC_CCE|B3|ALT</t>
        </is>
      </c>
      <c r="U70" t="inlineStr">
        <is>
          <t>IPAC_REN</t>
        </is>
      </c>
      <c r="V70" t="inlineStr">
        <is>
          <t>IPAC</t>
        </is>
      </c>
      <c r="W70" t="inlineStr">
        <is>
          <t>BAC_CCE</t>
        </is>
      </c>
      <c r="X70" t="inlineStr">
        <is>
          <t>B3</t>
        </is>
      </c>
      <c r="Y70" t="inlineStr">
        <is>
          <t>ALT</t>
        </is>
      </c>
      <c r="Z70">
        <v>3</v>
      </c>
      <c r="BF70" t="s">
        <v>122</v>
      </c>
      <c r="BG70" t="s">
        <v>123</v>
      </c>
      <c r="BH70" t="s">
        <v>124</v>
      </c>
      <c r="BI70" t="s">
        <v>161</v>
      </c>
      <c r="BJ70" t="s">
        <v>134</v>
      </c>
      <c r="BK70" t="s">
        <v>127</v>
      </c>
      <c r="BL70" t="s">
        <v>128</v>
      </c>
      <c r="BM70" t="s">
        <v>132</v>
      </c>
      <c r="BN70" t="s">
        <v>130</v>
      </c>
      <c r="BO70">
        <v>36</v>
      </c>
      <c r="BP70">
        <v>2</v>
      </c>
      <c r="BQ70">
        <v>239400</v>
      </c>
      <c r="BR70">
        <v>23045.643620999999</v>
      </c>
      <c r="BS70">
        <v>44085.599247999999</v>
      </c>
      <c r="BT70">
        <v>13476.310847999999</v>
      </c>
      <c r="BU70">
        <v>88930.611069000006</v>
      </c>
      <c r="BV70">
        <v>6722.1864079999996</v>
      </c>
      <c r="BW70">
        <v>34820.294844999997</v>
      </c>
      <c r="BX70">
        <v>41542.481252999998</v>
      </c>
      <c r="BY70">
        <v>36521.954468999997</v>
      </c>
      <c r="BZ70">
        <v>174558.69157</v>
      </c>
      <c r="CA70">
        <v>211080.64603900001</v>
      </c>
      <c r="CB70">
        <v>28319.353961000001</v>
      </c>
      <c r="CC70">
        <v>0</v>
      </c>
      <c r="CD70">
        <v>69137</v>
      </c>
      <c r="CE70">
        <v>132256.93</v>
      </c>
      <c r="CF70">
        <v>41552</v>
      </c>
      <c r="CG70">
        <v>13575</v>
      </c>
      <c r="CH70">
        <v>266792.09999999998</v>
      </c>
      <c r="CI70">
        <v>2760232</v>
      </c>
      <c r="CJ70">
        <v>580167</v>
      </c>
    </row>
    <row r="71" spans="2:88" x14ac:dyDescent="0.45" outlineLevel="1">
      <c r="B71" s="24" t="s">
        <v>108</v>
      </c>
      <c r="C71" s="25">
        <f>SUMIFS(_CALC_ALLOC!$G$1:$G$420,_CALC_ALLOC!$AS$1:$AS$420,"2027|"&amp;$P$1,_CALC_ALLOC!$B$1:$B$420,$U71)</f>
        <v>0</v>
      </c>
      <c r="D71" s="26">
        <f>SUMIFS(_CALC_ALLOC!$I$1:$I$420,_CALC_ALLOC!$AS$1:$AS$420,"2027|"&amp;$P$1,_CALC_ALLOC!$B$1:$B$420,$U71)</f>
        <v>0</v>
      </c>
      <c r="E71" s="26">
        <f>SUMIFS(_CALC_ALLOC!$AI$1:$AI$420,_CALC_ALLOC!$AS$1:$AS$420,"2027|"&amp;$P$1,_CALC_ALLOC!$B$1:$B$420,$U71)</f>
        <v>0</v>
      </c>
      <c r="F71" s="26">
        <f>SUMIFS(_CALC_ALLOC!$AJ$1:$AJ$420,_CALC_ALLOC!$AS$1:$AS$420,"2027|"&amp;$P$1,_CALC_ALLOC!$B$1:$B$420,$U71)</f>
        <v>0</v>
      </c>
      <c r="G71" s="26">
        <f>SUMIFS(_CALC_ALLOC!$AK$1:$AK$420,_CALC_ALLOC!$AS$1:$AS$420,"2027|"&amp;$P$1,_CALC_ALLOC!$B$1:$B$420,$U71)</f>
        <v>0</v>
      </c>
      <c r="H71" s="26">
        <f>SUMIFS(_CALC_ALLOC!$AL$1:$AL$420,_CALC_ALLOC!$AS$1:$AS$420,"2027|"&amp;$P$1,_CALC_ALLOC!$B$1:$B$420,$U71)</f>
        <v>0</v>
      </c>
      <c r="I71" s="26">
        <f>SUMIFS(_CALC_ALLOC!$AR$1:$AR$420,_CALC_ALLOC!$AS$1:$AS$420,"2027|"&amp;$P$1,_CALC_ALLOC!$B$1:$B$420,$U71)</f>
        <v>0</v>
      </c>
      <c r="J71" s="26">
        <f>SUMIFS(_CALC_ALLOC!$AM$1:$AM$420,_CALC_ALLOC!$AS$1:$AS$420,"2027|"&amp;$P$1,_CALC_ALLOC!$B$1:$B$420,$U71)</f>
        <v>0</v>
      </c>
      <c r="K71" s="26">
        <f t="shared" si="0"/>
        <v>0</v>
      </c>
      <c r="L71" s="27">
        <f>SUMIFS(_CALC_ALLOC!$AN$1:$AN$420,_CALC_ALLOC!$AS$1:$AS$420,"2027|"&amp;$P$1,_CALC_ALLOC!$B$1:$B$420,$U71)</f>
        <v>0</v>
      </c>
      <c r="M71" s="28">
        <f t="shared" si="1"/>
        <v>0</v>
      </c>
      <c r="T71" t="inlineStr">
        <is>
          <t>IPAC_MTP</t>
        </is>
      </c>
      <c r="U71" t="inlineStr">
        <is>
          <t>IPAC_MTP</t>
        </is>
      </c>
      <c r="V71" t="inlineStr">
        <is>
          <t>IPAC</t>
        </is>
      </c>
      <c r="Z71">
        <v>2</v>
      </c>
      <c r="BF71" t="s">
        <v>122</v>
      </c>
      <c r="BG71" t="s">
        <v>123</v>
      </c>
      <c r="BH71" t="s">
        <v>124</v>
      </c>
      <c r="BI71" t="s">
        <v>161</v>
      </c>
      <c r="BJ71" t="s">
        <v>135</v>
      </c>
      <c r="BK71" t="s">
        <v>0</v>
      </c>
      <c r="BL71" t="s">
        <v>136</v>
      </c>
      <c r="BM71" t="s">
        <v>129</v>
      </c>
      <c r="BN71" t="s">
        <v>137</v>
      </c>
      <c r="BO71">
        <v>47</v>
      </c>
      <c r="BP71">
        <v>2</v>
      </c>
      <c r="BQ71">
        <v>349680</v>
      </c>
      <c r="BR71">
        <v>28807.25</v>
      </c>
      <c r="BS71">
        <v>67642.552500000005</v>
      </c>
      <c r="BT71">
        <v>29248.572199999999</v>
      </c>
      <c r="BU71">
        <v>126191.864</v>
      </c>
      <c r="BV71">
        <v>9272.2577249999995</v>
      </c>
      <c r="BW71">
        <v>43102.006243000003</v>
      </c>
      <c r="BX71">
        <v>52374.263967999999</v>
      </c>
      <c r="BY71">
        <v>58055.822200000002</v>
      </c>
      <c r="BZ71">
        <v>246208.68046800001</v>
      </c>
      <c r="CA71">
        <v>304264.502668</v>
      </c>
      <c r="CB71">
        <v>45415.497331999999</v>
      </c>
      <c r="CC71">
        <v>47</v>
      </c>
      <c r="CD71">
        <v>115229</v>
      </c>
      <c r="CE71">
        <v>270570.21000000002</v>
      </c>
      <c r="CF71">
        <v>86655</v>
      </c>
      <c r="CG71">
        <v>22927</v>
      </c>
      <c r="CH71">
        <v>630959.31999999995</v>
      </c>
      <c r="CI71">
        <v>2760232</v>
      </c>
      <c r="CJ71">
        <v>580167</v>
      </c>
    </row>
    <row r="72" spans="2:88" x14ac:dyDescent="0.45" outlineLevel="2" hidden="1">
      <c r="B72" s="29" t="s">
        <v>104</v>
      </c>
      <c r="C72" s="30">
        <f>SUMIFS(_CALC_ALLOC!$G$1:$G$420,_CALC_ALLOC!$AS$1:$AS$420,"2027|"&amp;$P$1,_CALC_ALLOC!$B$1:$B$420,$U72,_CALC_ALLOC!$D$1:$D$420,$W72,_CALC_ALLOC!$E$1:$E$420,$X72,_CALC_ALLOC!$F$1:$F$420,$Y72)</f>
        <v>0</v>
      </c>
      <c r="D72" s="31">
        <f>SUMIFS(_CALC_ALLOC!$I$1:$I$420,_CALC_ALLOC!$AS$1:$AS$420,"2027|"&amp;$P$1,_CALC_ALLOC!$B$1:$B$420,$U72,_CALC_ALLOC!$D$1:$D$420,$W72,_CALC_ALLOC!$E$1:$E$420,$X72,_CALC_ALLOC!$F$1:$F$420,$Y72)</f>
        <v>0</v>
      </c>
      <c r="E72" s="31">
        <f>SUMIFS(_CALC_ALLOC!$AI$1:$AI$420,_CALC_ALLOC!$AS$1:$AS$420,"2027|"&amp;$P$1,_CALC_ALLOC!$B$1:$B$420,$U72,_CALC_ALLOC!$D$1:$D$420,$W72,_CALC_ALLOC!$E$1:$E$420,$X72,_CALC_ALLOC!$F$1:$F$420,$Y72)</f>
        <v>0</v>
      </c>
      <c r="F72" s="31">
        <f>SUMIFS(_CALC_ALLOC!$AJ$1:$AJ$420,_CALC_ALLOC!$AS$1:$AS$420,"2027|"&amp;$P$1,_CALC_ALLOC!$B$1:$B$420,$U72,_CALC_ALLOC!$D$1:$D$420,$W72,_CALC_ALLOC!$E$1:$E$420,$X72,_CALC_ALLOC!$F$1:$F$420,$Y72)</f>
        <v>0</v>
      </c>
      <c r="G72" s="31">
        <f>SUMIFS(_CALC_ALLOC!$AK$1:$AK$420,_CALC_ALLOC!$AS$1:$AS$420,"2027|"&amp;$P$1,_CALC_ALLOC!$B$1:$B$420,$U72,_CALC_ALLOC!$D$1:$D$420,$W72,_CALC_ALLOC!$E$1:$E$420,$X72,_CALC_ALLOC!$F$1:$F$420,$Y72)</f>
        <v>0</v>
      </c>
      <c r="H72" s="31">
        <f>SUMIFS(_CALC_ALLOC!$AL$1:$AL$420,_CALC_ALLOC!$AS$1:$AS$420,"2027|"&amp;$P$1,_CALC_ALLOC!$B$1:$B$420,$U72,_CALC_ALLOC!$D$1:$D$420,$W72,_CALC_ALLOC!$E$1:$E$420,$X72,_CALC_ALLOC!$F$1:$F$420,$Y72)</f>
        <v>0</v>
      </c>
      <c r="I72" s="31">
        <f>SUMIFS(_CALC_ALLOC!$AR$1:$AR$420,_CALC_ALLOC!$AS$1:$AS$420,"2027|"&amp;$P$1,_CALC_ALLOC!$B$1:$B$420,$U72,_CALC_ALLOC!$D$1:$D$420,$W72,_CALC_ALLOC!$E$1:$E$420,$X72,_CALC_ALLOC!$F$1:$F$420,$Y72)</f>
        <v>0</v>
      </c>
      <c r="J72" s="31">
        <f>SUMIFS(_CALC_ALLOC!$AM$1:$AM$420,_CALC_ALLOC!$AS$1:$AS$420,"2027|"&amp;$P$1,_CALC_ALLOC!$B$1:$B$420,$U72,_CALC_ALLOC!$D$1:$D$420,$W72,_CALC_ALLOC!$E$1:$E$420,$X72,_CALC_ALLOC!$F$1:$F$420,$Y72)</f>
        <v>0</v>
      </c>
      <c r="K72" s="32">
        <f t="shared" si="0"/>
        <v>0</v>
      </c>
      <c r="L72" s="33">
        <f>SUMIFS(_CALC_ALLOC!$AN$1:$AN$420,_CALC_ALLOC!$AS$1:$AS$420,"2027|"&amp;$P$1,_CALC_ALLOC!$B$1:$B$420,$U72,_CALC_ALLOC!$D$1:$D$420,$W72,_CALC_ALLOC!$E$1:$E$420,$X72,_CALC_ALLOC!$F$1:$F$420,$Y72)</f>
        <v>0</v>
      </c>
      <c r="M72" s="34">
        <f t="shared" si="1"/>
        <v>0</v>
      </c>
      <c r="T72" t="inlineStr">
        <is>
          <t>IPAC_MTP|BAC_CCE|B1|ALT</t>
        </is>
      </c>
      <c r="U72" t="inlineStr">
        <is>
          <t>IPAC_MTP</t>
        </is>
      </c>
      <c r="V72" t="inlineStr">
        <is>
          <t>IPAC</t>
        </is>
      </c>
      <c r="W72" t="inlineStr">
        <is>
          <t>BAC_CCE</t>
        </is>
      </c>
      <c r="X72" t="inlineStr">
        <is>
          <t>B1</t>
        </is>
      </c>
      <c r="Y72" t="inlineStr">
        <is>
          <t>ALT</t>
        </is>
      </c>
      <c r="Z72">
        <v>3</v>
      </c>
      <c r="BF72" t="s">
        <v>122</v>
      </c>
      <c r="BG72" t="s">
        <v>123</v>
      </c>
      <c r="BH72" t="s">
        <v>124</v>
      </c>
      <c r="BI72" t="s">
        <v>161</v>
      </c>
      <c r="BJ72" t="s">
        <v>135</v>
      </c>
      <c r="BK72" t="s">
        <v>0</v>
      </c>
      <c r="BL72" t="s">
        <v>136</v>
      </c>
      <c r="BM72" t="s">
        <v>131</v>
      </c>
      <c r="BN72" t="s">
        <v>130</v>
      </c>
      <c r="BO72">
        <v>45</v>
      </c>
      <c r="BP72">
        <v>2</v>
      </c>
      <c r="BQ72">
        <v>308700</v>
      </c>
      <c r="BR72">
        <v>23045.8</v>
      </c>
      <c r="BS72">
        <v>54114.042000000001</v>
      </c>
      <c r="BT72">
        <v>17028.227429999999</v>
      </c>
      <c r="BU72">
        <v>126191.864</v>
      </c>
      <c r="BV72">
        <v>9272.2577249999995</v>
      </c>
      <c r="BW72">
        <v>43102.006243000003</v>
      </c>
      <c r="BX72">
        <v>52374.263967999999</v>
      </c>
      <c r="BY72">
        <v>40074.027430000002</v>
      </c>
      <c r="BZ72">
        <v>232680.169968</v>
      </c>
      <c r="CA72">
        <v>272754.19739799999</v>
      </c>
      <c r="CB72">
        <v>35945.802602000003</v>
      </c>
      <c r="CC72">
        <v>0</v>
      </c>
      <c r="CD72">
        <v>115229</v>
      </c>
      <c r="CE72">
        <v>270570.21000000002</v>
      </c>
      <c r="CF72">
        <v>86655</v>
      </c>
      <c r="CG72">
        <v>22927</v>
      </c>
      <c r="CH72">
        <v>630959.31999999995</v>
      </c>
      <c r="CI72">
        <v>2760232</v>
      </c>
      <c r="CJ72">
        <v>580167</v>
      </c>
    </row>
    <row r="73" spans="2:88" x14ac:dyDescent="0.45" outlineLevel="2" hidden="1">
      <c r="B73" s="29" t="s">
        <v>105</v>
      </c>
      <c r="C73" s="30">
        <f>SUMIFS(_CALC_ALLOC!$G$1:$G$420,_CALC_ALLOC!$AS$1:$AS$420,"2027|"&amp;$P$1,_CALC_ALLOC!$B$1:$B$420,$U73,_CALC_ALLOC!$D$1:$D$420,$W73,_CALC_ALLOC!$E$1:$E$420,$X73,_CALC_ALLOC!$F$1:$F$420,$Y73)</f>
        <v>0</v>
      </c>
      <c r="D73" s="31">
        <f>SUMIFS(_CALC_ALLOC!$I$1:$I$420,_CALC_ALLOC!$AS$1:$AS$420,"2027|"&amp;$P$1,_CALC_ALLOC!$B$1:$B$420,$U73,_CALC_ALLOC!$D$1:$D$420,$W73,_CALC_ALLOC!$E$1:$E$420,$X73,_CALC_ALLOC!$F$1:$F$420,$Y73)</f>
        <v>0</v>
      </c>
      <c r="E73" s="31">
        <f>SUMIFS(_CALC_ALLOC!$AI$1:$AI$420,_CALC_ALLOC!$AS$1:$AS$420,"2027|"&amp;$P$1,_CALC_ALLOC!$B$1:$B$420,$U73,_CALC_ALLOC!$D$1:$D$420,$W73,_CALC_ALLOC!$E$1:$E$420,$X73,_CALC_ALLOC!$F$1:$F$420,$Y73)</f>
        <v>0</v>
      </c>
      <c r="F73" s="31">
        <f>SUMIFS(_CALC_ALLOC!$AJ$1:$AJ$420,_CALC_ALLOC!$AS$1:$AS$420,"2027|"&amp;$P$1,_CALC_ALLOC!$B$1:$B$420,$U73,_CALC_ALLOC!$D$1:$D$420,$W73,_CALC_ALLOC!$E$1:$E$420,$X73,_CALC_ALLOC!$F$1:$F$420,$Y73)</f>
        <v>0</v>
      </c>
      <c r="G73" s="31">
        <f>SUMIFS(_CALC_ALLOC!$AK$1:$AK$420,_CALC_ALLOC!$AS$1:$AS$420,"2027|"&amp;$P$1,_CALC_ALLOC!$B$1:$B$420,$U73,_CALC_ALLOC!$D$1:$D$420,$W73,_CALC_ALLOC!$E$1:$E$420,$X73,_CALC_ALLOC!$F$1:$F$420,$Y73)</f>
        <v>0</v>
      </c>
      <c r="H73" s="31">
        <f>SUMIFS(_CALC_ALLOC!$AL$1:$AL$420,_CALC_ALLOC!$AS$1:$AS$420,"2027|"&amp;$P$1,_CALC_ALLOC!$B$1:$B$420,$U73,_CALC_ALLOC!$D$1:$D$420,$W73,_CALC_ALLOC!$E$1:$E$420,$X73,_CALC_ALLOC!$F$1:$F$420,$Y73)</f>
        <v>0</v>
      </c>
      <c r="I73" s="31">
        <f>SUMIFS(_CALC_ALLOC!$AR$1:$AR$420,_CALC_ALLOC!$AS$1:$AS$420,"2027|"&amp;$P$1,_CALC_ALLOC!$B$1:$B$420,$U73,_CALC_ALLOC!$D$1:$D$420,$W73,_CALC_ALLOC!$E$1:$E$420,$X73,_CALC_ALLOC!$F$1:$F$420,$Y73)</f>
        <v>0</v>
      </c>
      <c r="J73" s="31">
        <f>SUMIFS(_CALC_ALLOC!$AM$1:$AM$420,_CALC_ALLOC!$AS$1:$AS$420,"2027|"&amp;$P$1,_CALC_ALLOC!$B$1:$B$420,$U73,_CALC_ALLOC!$D$1:$D$420,$W73,_CALC_ALLOC!$E$1:$E$420,$X73,_CALC_ALLOC!$F$1:$F$420,$Y73)</f>
        <v>0</v>
      </c>
      <c r="K73" s="32">
        <f t="shared" si="0"/>
        <v>0</v>
      </c>
      <c r="L73" s="33">
        <f>SUMIFS(_CALC_ALLOC!$AN$1:$AN$420,_CALC_ALLOC!$AS$1:$AS$420,"2027|"&amp;$P$1,_CALC_ALLOC!$B$1:$B$420,$U73,_CALC_ALLOC!$D$1:$D$420,$W73,_CALC_ALLOC!$E$1:$E$420,$X73,_CALC_ALLOC!$F$1:$F$420,$Y73)</f>
        <v>0</v>
      </c>
      <c r="M73" s="34">
        <f t="shared" si="1"/>
        <v>0</v>
      </c>
      <c r="T73" t="inlineStr">
        <is>
          <t>IPAC_MTP|BAC_CCE|B2|ALT</t>
        </is>
      </c>
      <c r="U73" t="inlineStr">
        <is>
          <t>IPAC_MTP</t>
        </is>
      </c>
      <c r="V73" t="inlineStr">
        <is>
          <t>IPAC</t>
        </is>
      </c>
      <c r="W73" t="inlineStr">
        <is>
          <t>BAC_CCE</t>
        </is>
      </c>
      <c r="X73" t="inlineStr">
        <is>
          <t>B2</t>
        </is>
      </c>
      <c r="Y73" t="inlineStr">
        <is>
          <t>ALT</t>
        </is>
      </c>
      <c r="Z73">
        <v>3</v>
      </c>
      <c r="BF73" t="s">
        <v>122</v>
      </c>
      <c r="BG73" t="s">
        <v>123</v>
      </c>
      <c r="BH73" t="s">
        <v>124</v>
      </c>
      <c r="BI73" t="s">
        <v>161</v>
      </c>
      <c r="BJ73" t="s">
        <v>135</v>
      </c>
      <c r="BK73" t="s">
        <v>0</v>
      </c>
      <c r="BL73" t="s">
        <v>136</v>
      </c>
      <c r="BM73" t="s">
        <v>132</v>
      </c>
      <c r="BN73" t="s">
        <v>130</v>
      </c>
      <c r="BO73">
        <v>44</v>
      </c>
      <c r="BP73">
        <v>2</v>
      </c>
      <c r="BQ73">
        <v>301840</v>
      </c>
      <c r="BR73">
        <v>23045.8</v>
      </c>
      <c r="BS73">
        <v>54114.042000000001</v>
      </c>
      <c r="BT73">
        <v>16649.805045000001</v>
      </c>
      <c r="BU73">
        <v>126191.864</v>
      </c>
      <c r="BV73">
        <v>9272.2577249999995</v>
      </c>
      <c r="BW73">
        <v>43102.006243000003</v>
      </c>
      <c r="BX73">
        <v>52374.263967999999</v>
      </c>
      <c r="BY73">
        <v>39695.605044999997</v>
      </c>
      <c r="BZ73">
        <v>232680.169968</v>
      </c>
      <c r="CA73">
        <v>272375.77501300001</v>
      </c>
      <c r="CB73">
        <v>29464.224987000001</v>
      </c>
      <c r="CC73">
        <v>0</v>
      </c>
      <c r="CD73">
        <v>115229</v>
      </c>
      <c r="CE73">
        <v>270570.21000000002</v>
      </c>
      <c r="CF73">
        <v>86655</v>
      </c>
      <c r="CG73">
        <v>22927</v>
      </c>
      <c r="CH73">
        <v>630959.31999999995</v>
      </c>
      <c r="CI73">
        <v>2760232</v>
      </c>
      <c r="CJ73">
        <v>580167</v>
      </c>
    </row>
    <row r="74" spans="2:88" x14ac:dyDescent="0.45" outlineLevel="2" hidden="1">
      <c r="B74" s="29" t="s">
        <v>106</v>
      </c>
      <c r="C74" s="30">
        <f>SUMIFS(_CALC_ALLOC!$G$1:$G$420,_CALC_ALLOC!$AS$1:$AS$420,"2027|"&amp;$P$1,_CALC_ALLOC!$B$1:$B$420,$U74,_CALC_ALLOC!$D$1:$D$420,$W74,_CALC_ALLOC!$E$1:$E$420,$X74,_CALC_ALLOC!$F$1:$F$420,$Y74)</f>
        <v>0</v>
      </c>
      <c r="D74" s="31">
        <f>SUMIFS(_CALC_ALLOC!$I$1:$I$420,_CALC_ALLOC!$AS$1:$AS$420,"2027|"&amp;$P$1,_CALC_ALLOC!$B$1:$B$420,$U74,_CALC_ALLOC!$D$1:$D$420,$W74,_CALC_ALLOC!$E$1:$E$420,$X74,_CALC_ALLOC!$F$1:$F$420,$Y74)</f>
        <v>0</v>
      </c>
      <c r="E74" s="31">
        <f>SUMIFS(_CALC_ALLOC!$AI$1:$AI$420,_CALC_ALLOC!$AS$1:$AS$420,"2027|"&amp;$P$1,_CALC_ALLOC!$B$1:$B$420,$U74,_CALC_ALLOC!$D$1:$D$420,$W74,_CALC_ALLOC!$E$1:$E$420,$X74,_CALC_ALLOC!$F$1:$F$420,$Y74)</f>
        <v>0</v>
      </c>
      <c r="F74" s="31">
        <f>SUMIFS(_CALC_ALLOC!$AJ$1:$AJ$420,_CALC_ALLOC!$AS$1:$AS$420,"2027|"&amp;$P$1,_CALC_ALLOC!$B$1:$B$420,$U74,_CALC_ALLOC!$D$1:$D$420,$W74,_CALC_ALLOC!$E$1:$E$420,$X74,_CALC_ALLOC!$F$1:$F$420,$Y74)</f>
        <v>0</v>
      </c>
      <c r="G74" s="31">
        <f>SUMIFS(_CALC_ALLOC!$AK$1:$AK$420,_CALC_ALLOC!$AS$1:$AS$420,"2027|"&amp;$P$1,_CALC_ALLOC!$B$1:$B$420,$U74,_CALC_ALLOC!$D$1:$D$420,$W74,_CALC_ALLOC!$E$1:$E$420,$X74,_CALC_ALLOC!$F$1:$F$420,$Y74)</f>
        <v>0</v>
      </c>
      <c r="H74" s="31">
        <f>SUMIFS(_CALC_ALLOC!$AL$1:$AL$420,_CALC_ALLOC!$AS$1:$AS$420,"2027|"&amp;$P$1,_CALC_ALLOC!$B$1:$B$420,$U74,_CALC_ALLOC!$D$1:$D$420,$W74,_CALC_ALLOC!$E$1:$E$420,$X74,_CALC_ALLOC!$F$1:$F$420,$Y74)</f>
        <v>0</v>
      </c>
      <c r="I74" s="31">
        <f>SUMIFS(_CALC_ALLOC!$AR$1:$AR$420,_CALC_ALLOC!$AS$1:$AS$420,"2027|"&amp;$P$1,_CALC_ALLOC!$B$1:$B$420,$U74,_CALC_ALLOC!$D$1:$D$420,$W74,_CALC_ALLOC!$E$1:$E$420,$X74,_CALC_ALLOC!$F$1:$F$420,$Y74)</f>
        <v>0</v>
      </c>
      <c r="J74" s="31">
        <f>SUMIFS(_CALC_ALLOC!$AM$1:$AM$420,_CALC_ALLOC!$AS$1:$AS$420,"2027|"&amp;$P$1,_CALC_ALLOC!$B$1:$B$420,$U74,_CALC_ALLOC!$D$1:$D$420,$W74,_CALC_ALLOC!$E$1:$E$420,$X74,_CALC_ALLOC!$F$1:$F$420,$Y74)</f>
        <v>0</v>
      </c>
      <c r="K74" s="32">
        <f t="shared" si="0"/>
        <v>0</v>
      </c>
      <c r="L74" s="33">
        <f>SUMIFS(_CALC_ALLOC!$AN$1:$AN$420,_CALC_ALLOC!$AS$1:$AS$420,"2027|"&amp;$P$1,_CALC_ALLOC!$B$1:$B$420,$U74,_CALC_ALLOC!$D$1:$D$420,$W74,_CALC_ALLOC!$E$1:$E$420,$X74,_CALC_ALLOC!$F$1:$F$420,$Y74)</f>
        <v>0</v>
      </c>
      <c r="M74" s="34">
        <f t="shared" si="1"/>
        <v>0</v>
      </c>
      <c r="T74" t="inlineStr">
        <is>
          <t>IPAC_MTP|BAC_CCE|B3|ALT</t>
        </is>
      </c>
      <c r="U74" t="inlineStr">
        <is>
          <t>IPAC_MTP</t>
        </is>
      </c>
      <c r="V74" t="inlineStr">
        <is>
          <t>IPAC</t>
        </is>
      </c>
      <c r="W74" t="inlineStr">
        <is>
          <t>BAC_CCE</t>
        </is>
      </c>
      <c r="X74" t="inlineStr">
        <is>
          <t>B3</t>
        </is>
      </c>
      <c r="Y74" t="inlineStr">
        <is>
          <t>ALT</t>
        </is>
      </c>
      <c r="Z74">
        <v>3</v>
      </c>
      <c r="BF74" t="s">
        <v>122</v>
      </c>
      <c r="BG74" t="s">
        <v>123</v>
      </c>
      <c r="BH74" t="s">
        <v>124</v>
      </c>
      <c r="BI74" t="s">
        <v>161</v>
      </c>
      <c r="BJ74" t="s">
        <v>135</v>
      </c>
      <c r="BK74" t="s">
        <v>0</v>
      </c>
      <c r="BL74" t="s">
        <v>138</v>
      </c>
      <c r="BM74" t="s">
        <v>139</v>
      </c>
      <c r="BN74" t="s">
        <v>130</v>
      </c>
      <c r="BO74">
        <v>47</v>
      </c>
      <c r="BP74">
        <v>2</v>
      </c>
      <c r="BQ74">
        <v>349680</v>
      </c>
      <c r="BR74">
        <v>20165.075000000001</v>
      </c>
      <c r="BS74">
        <v>47349.786749999999</v>
      </c>
      <c r="BT74">
        <v>29248.572199999999</v>
      </c>
      <c r="BU74">
        <v>126191.864</v>
      </c>
      <c r="BV74">
        <v>9272.2577249999995</v>
      </c>
      <c r="BW74">
        <v>43102.006243000003</v>
      </c>
      <c r="BX74">
        <v>52374.263967999999</v>
      </c>
      <c r="BY74">
        <v>49413.647199999999</v>
      </c>
      <c r="BZ74">
        <v>225915.91471800001</v>
      </c>
      <c r="CA74">
        <v>275329.56191799999</v>
      </c>
      <c r="CB74">
        <v>74350.438081999993</v>
      </c>
      <c r="CC74">
        <v>47</v>
      </c>
      <c r="CD74">
        <v>115229</v>
      </c>
      <c r="CE74">
        <v>270570.21000000002</v>
      </c>
      <c r="CF74">
        <v>86655</v>
      </c>
      <c r="CG74">
        <v>22927</v>
      </c>
      <c r="CH74">
        <v>630959.31999999995</v>
      </c>
      <c r="CI74">
        <v>2760232</v>
      </c>
      <c r="CJ74">
        <v>580167</v>
      </c>
    </row>
    <row r="75" spans="2:88" collapsed="1" x14ac:dyDescent="0.45" outlineLevel="0">
      <c r="B75" s="19" t="s">
        <v>1</v>
      </c>
      <c r="C75" s="20">
        <f>SUMIFS(_CALC_ALLOC!$G$1:$G$420,_CALC_ALLOC!$AS$1:$AS$420,"2027|"&amp;$P$1,_CALC_ALLOC!$C$1:$C$420,$V75)</f>
        <v>0</v>
      </c>
      <c r="D75" s="21">
        <f>SUMIFS(_CALC_ALLOC!$I$1:$I$420,_CALC_ALLOC!$AS$1:$AS$420,"2027|"&amp;$P$1,_CALC_ALLOC!$C$1:$C$420,$V75)</f>
        <v>0</v>
      </c>
      <c r="E75" s="21">
        <f>SUMIFS(_CALC_ALLOC!$AI$1:$AI$420,_CALC_ALLOC!$AS$1:$AS$420,"2027|"&amp;$P$1,_CALC_ALLOC!$C$1:$C$420,$V75)</f>
        <v>0</v>
      </c>
      <c r="F75" s="21">
        <f>SUMIFS(_CALC_ALLOC!$AJ$1:$AJ$420,_CALC_ALLOC!$AS$1:$AS$420,"2027|"&amp;$P$1,_CALC_ALLOC!$C$1:$C$420,$V75)</f>
        <v>0</v>
      </c>
      <c r="G75" s="21">
        <f>SUMIFS(_CALC_ALLOC!$AK$1:$AK$420,_CALC_ALLOC!$AS$1:$AS$420,"2027|"&amp;$P$1,_CALC_ALLOC!$C$1:$C$420,$V75)</f>
        <v>0</v>
      </c>
      <c r="H75" s="21">
        <f>SUMIFS(_CALC_ALLOC!$AL$1:$AL$420,_CALC_ALLOC!$AS$1:$AS$420,"2027|"&amp;$P$1,_CALC_ALLOC!$C$1:$C$420,$V75)</f>
        <v>0</v>
      </c>
      <c r="I75" s="21">
        <f>SUMIFS(_CALC_ALLOC!$AR$1:$AR$420,_CALC_ALLOC!$AS$1:$AS$420,"2027|"&amp;$P$1,_CALC_ALLOC!$C$1:$C$420,$V75)</f>
        <v>0</v>
      </c>
      <c r="J75" s="21">
        <f>SUMIFS(_CALC_ALLOC!$AM$1:$AM$420,_CALC_ALLOC!$AS$1:$AS$420,"2027|"&amp;$P$1,_CALC_ALLOC!$C$1:$C$420,$V75)</f>
        <v>0</v>
      </c>
      <c r="K75" s="21">
        <f t="shared" si="0"/>
        <v>0</v>
      </c>
      <c r="L75" s="22">
        <f>SUMIFS(_CALC_ALLOC!$AN$1:$AN$420,_CALC_ALLOC!$AS$1:$AS$420,"2027|"&amp;$P$1,_CALC_ALLOC!$C$1:$C$420,$V75)</f>
        <v>0</v>
      </c>
      <c r="M75" s="23">
        <f t="shared" si="1"/>
        <v>0</v>
      </c>
      <c r="T75" t="inlineStr">
        <is>
          <t>PIGIER</t>
        </is>
      </c>
      <c r="V75" t="inlineStr">
        <is>
          <t>PIGIER</t>
        </is>
      </c>
      <c r="Z75">
        <v>1</v>
      </c>
      <c r="BF75" t="s">
        <v>122</v>
      </c>
      <c r="BG75" t="s">
        <v>123</v>
      </c>
      <c r="BH75" t="s">
        <v>124</v>
      </c>
      <c r="BI75" t="s">
        <v>161</v>
      </c>
      <c r="BJ75" t="s">
        <v>135</v>
      </c>
      <c r="BK75" t="s">
        <v>0</v>
      </c>
      <c r="BL75" t="s">
        <v>138</v>
      </c>
      <c r="BM75" t="s">
        <v>140</v>
      </c>
      <c r="BN75" t="s">
        <v>130</v>
      </c>
      <c r="BO75">
        <v>46</v>
      </c>
      <c r="BP75">
        <v>2</v>
      </c>
      <c r="BQ75">
        <v>338100</v>
      </c>
      <c r="BR75">
        <v>20165.075000000001</v>
      </c>
      <c r="BS75">
        <v>47349.786749999999</v>
      </c>
      <c r="BT75">
        <v>17406.649815000001</v>
      </c>
      <c r="BU75">
        <v>126191.864</v>
      </c>
      <c r="BV75">
        <v>9272.2577249999995</v>
      </c>
      <c r="BW75">
        <v>43102.006243000003</v>
      </c>
      <c r="BX75">
        <v>52374.263967999999</v>
      </c>
      <c r="BY75">
        <v>37571.724815000001</v>
      </c>
      <c r="BZ75">
        <v>225915.91471800001</v>
      </c>
      <c r="CA75">
        <v>263487.63953300001</v>
      </c>
      <c r="CB75">
        <v>74612.360467000006</v>
      </c>
      <c r="CC75">
        <v>0</v>
      </c>
      <c r="CD75">
        <v>115229</v>
      </c>
      <c r="CE75">
        <v>270570.21000000002</v>
      </c>
      <c r="CF75">
        <v>86655</v>
      </c>
      <c r="CG75">
        <v>22927</v>
      </c>
      <c r="CH75">
        <v>630959.31999999995</v>
      </c>
      <c r="CI75">
        <v>2760232</v>
      </c>
      <c r="CJ75">
        <v>580167</v>
      </c>
    </row>
    <row r="76" spans="2:88" collapsed="1" x14ac:dyDescent="0.45" outlineLevel="1">
      <c r="B76" s="24" t="s">
        <v>93</v>
      </c>
      <c r="C76" s="25">
        <f>SUMIFS(_CALC_ALLOC!$G$1:$G$420,_CALC_ALLOC!$AS$1:$AS$420,"2027|"&amp;$P$1,_CALC_ALLOC!$B$1:$B$420,$U76)</f>
        <v>0</v>
      </c>
      <c r="D76" s="26">
        <f>SUMIFS(_CALC_ALLOC!$I$1:$I$420,_CALC_ALLOC!$AS$1:$AS$420,"2027|"&amp;$P$1,_CALC_ALLOC!$B$1:$B$420,$U76)</f>
        <v>0</v>
      </c>
      <c r="E76" s="26">
        <f>SUMIFS(_CALC_ALLOC!$AI$1:$AI$420,_CALC_ALLOC!$AS$1:$AS$420,"2027|"&amp;$P$1,_CALC_ALLOC!$B$1:$B$420,$U76)</f>
        <v>0</v>
      </c>
      <c r="F76" s="26">
        <f>SUMIFS(_CALC_ALLOC!$AJ$1:$AJ$420,_CALC_ALLOC!$AS$1:$AS$420,"2027|"&amp;$P$1,_CALC_ALLOC!$B$1:$B$420,$U76)</f>
        <v>0</v>
      </c>
      <c r="G76" s="26">
        <f>SUMIFS(_CALC_ALLOC!$AK$1:$AK$420,_CALC_ALLOC!$AS$1:$AS$420,"2027|"&amp;$P$1,_CALC_ALLOC!$B$1:$B$420,$U76)</f>
        <v>0</v>
      </c>
      <c r="H76" s="26">
        <f>SUMIFS(_CALC_ALLOC!$AL$1:$AL$420,_CALC_ALLOC!$AS$1:$AS$420,"2027|"&amp;$P$1,_CALC_ALLOC!$B$1:$B$420,$U76)</f>
        <v>0</v>
      </c>
      <c r="I76" s="26">
        <f>SUMIFS(_CALC_ALLOC!$AR$1:$AR$420,_CALC_ALLOC!$AS$1:$AS$420,"2027|"&amp;$P$1,_CALC_ALLOC!$B$1:$B$420,$U76)</f>
        <v>0</v>
      </c>
      <c r="J76" s="26">
        <f>SUMIFS(_CALC_ALLOC!$AM$1:$AM$420,_CALC_ALLOC!$AS$1:$AS$420,"2027|"&amp;$P$1,_CALC_ALLOC!$B$1:$B$420,$U76)</f>
        <v>0</v>
      </c>
      <c r="K76" s="26">
        <f t="shared" si="0"/>
        <v>0</v>
      </c>
      <c r="L76" s="27">
        <f>SUMIFS(_CALC_ALLOC!$AN$1:$AN$420,_CALC_ALLOC!$AS$1:$AS$420,"2027|"&amp;$P$1,_CALC_ALLOC!$B$1:$B$420,$U76)</f>
        <v>0</v>
      </c>
      <c r="M76" s="28">
        <f t="shared" si="1"/>
        <v>0</v>
      </c>
      <c r="T76" t="inlineStr">
        <is>
          <t>PIGIER_LYO</t>
        </is>
      </c>
      <c r="U76" t="inlineStr">
        <is>
          <t>PIGIER_LYO</t>
        </is>
      </c>
      <c r="V76" t="inlineStr">
        <is>
          <t>PIGIER</t>
        </is>
      </c>
      <c r="Z76">
        <v>2</v>
      </c>
      <c r="BF76" t="s">
        <v>122</v>
      </c>
      <c r="BG76" t="s">
        <v>123</v>
      </c>
      <c r="BH76" t="s">
        <v>124</v>
      </c>
      <c r="BI76" t="s">
        <v>161</v>
      </c>
      <c r="BJ76" t="s">
        <v>141</v>
      </c>
      <c r="BK76" t="s">
        <v>0</v>
      </c>
      <c r="BL76" t="s">
        <v>136</v>
      </c>
      <c r="BM76" t="s">
        <v>129</v>
      </c>
      <c r="BN76" t="s">
        <v>137</v>
      </c>
      <c r="BO76">
        <v>68</v>
      </c>
      <c r="BP76">
        <v>3</v>
      </c>
      <c r="BQ76">
        <v>577320</v>
      </c>
      <c r="BR76">
        <v>43211</v>
      </c>
      <c r="BS76">
        <v>116748.28</v>
      </c>
      <c r="BT76">
        <v>53231.586239999997</v>
      </c>
      <c r="BU76">
        <v>213002.64199999999</v>
      </c>
      <c r="BV76">
        <v>13523.732637999999</v>
      </c>
      <c r="BW76">
        <v>62864.948956</v>
      </c>
      <c r="BX76">
        <v>76388.681593999994</v>
      </c>
      <c r="BY76">
        <v>96442.586240000004</v>
      </c>
      <c r="BZ76">
        <v>406139.60359399999</v>
      </c>
      <c r="CA76">
        <v>502582.18983400002</v>
      </c>
      <c r="CB76">
        <v>74737.810165999996</v>
      </c>
      <c r="CC76">
        <v>68</v>
      </c>
      <c r="CD76">
        <v>172844</v>
      </c>
      <c r="CE76">
        <v>466993.12</v>
      </c>
      <c r="CF76">
        <v>125720</v>
      </c>
      <c r="CG76">
        <v>55272</v>
      </c>
      <c r="CH76">
        <v>1065013.21</v>
      </c>
      <c r="CI76">
        <v>2760232</v>
      </c>
      <c r="CJ76">
        <v>580167</v>
      </c>
    </row>
    <row r="77" spans="2:88" x14ac:dyDescent="0.45" outlineLevel="2" hidden="1">
      <c r="B77" s="29" t="s">
        <v>109</v>
      </c>
      <c r="C77" s="30">
        <f>SUMIFS(_CALC_ALLOC!$G$1:$G$420,_CALC_ALLOC!$AS$1:$AS$420,"2027|"&amp;$P$1,_CALC_ALLOC!$B$1:$B$420,$U77,_CALC_ALLOC!$D$1:$D$420,$W77,_CALC_ALLOC!$E$1:$E$420,$X77,_CALC_ALLOC!$F$1:$F$420,$Y77)</f>
        <v>0</v>
      </c>
      <c r="D77" s="31">
        <f>SUMIFS(_CALC_ALLOC!$I$1:$I$420,_CALC_ALLOC!$AS$1:$AS$420,"2027|"&amp;$P$1,_CALC_ALLOC!$B$1:$B$420,$U77,_CALC_ALLOC!$D$1:$D$420,$W77,_CALC_ALLOC!$E$1:$E$420,$X77,_CALC_ALLOC!$F$1:$F$420,$Y77)</f>
        <v>0</v>
      </c>
      <c r="E77" s="31">
        <f>SUMIFS(_CALC_ALLOC!$AI$1:$AI$420,_CALC_ALLOC!$AS$1:$AS$420,"2027|"&amp;$P$1,_CALC_ALLOC!$B$1:$B$420,$U77,_CALC_ALLOC!$D$1:$D$420,$W77,_CALC_ALLOC!$E$1:$E$420,$X77,_CALC_ALLOC!$F$1:$F$420,$Y77)</f>
        <v>0</v>
      </c>
      <c r="F77" s="31">
        <f>SUMIFS(_CALC_ALLOC!$AJ$1:$AJ$420,_CALC_ALLOC!$AS$1:$AS$420,"2027|"&amp;$P$1,_CALC_ALLOC!$B$1:$B$420,$U77,_CALC_ALLOC!$D$1:$D$420,$W77,_CALC_ALLOC!$E$1:$E$420,$X77,_CALC_ALLOC!$F$1:$F$420,$Y77)</f>
        <v>0</v>
      </c>
      <c r="G77" s="31">
        <f>SUMIFS(_CALC_ALLOC!$AK$1:$AK$420,_CALC_ALLOC!$AS$1:$AS$420,"2027|"&amp;$P$1,_CALC_ALLOC!$B$1:$B$420,$U77,_CALC_ALLOC!$D$1:$D$420,$W77,_CALC_ALLOC!$E$1:$E$420,$X77,_CALC_ALLOC!$F$1:$F$420,$Y77)</f>
        <v>0</v>
      </c>
      <c r="H77" s="31">
        <f>SUMIFS(_CALC_ALLOC!$AL$1:$AL$420,_CALC_ALLOC!$AS$1:$AS$420,"2027|"&amp;$P$1,_CALC_ALLOC!$B$1:$B$420,$U77,_CALC_ALLOC!$D$1:$D$420,$W77,_CALC_ALLOC!$E$1:$E$420,$X77,_CALC_ALLOC!$F$1:$F$420,$Y77)</f>
        <v>0</v>
      </c>
      <c r="I77" s="31">
        <f>SUMIFS(_CALC_ALLOC!$AR$1:$AR$420,_CALC_ALLOC!$AS$1:$AS$420,"2027|"&amp;$P$1,_CALC_ALLOC!$B$1:$B$420,$U77,_CALC_ALLOC!$D$1:$D$420,$W77,_CALC_ALLOC!$E$1:$E$420,$X77,_CALC_ALLOC!$F$1:$F$420,$Y77)</f>
        <v>0</v>
      </c>
      <c r="J77" s="31">
        <f>SUMIFS(_CALC_ALLOC!$AM$1:$AM$420,_CALC_ALLOC!$AS$1:$AS$420,"2027|"&amp;$P$1,_CALC_ALLOC!$B$1:$B$420,$U77,_CALC_ALLOC!$D$1:$D$420,$W77,_CALC_ALLOC!$E$1:$E$420,$X77,_CALC_ALLOC!$F$1:$F$420,$Y77)</f>
        <v>0</v>
      </c>
      <c r="K77" s="32">
        <f t="shared" si="0"/>
        <v>0</v>
      </c>
      <c r="L77" s="33">
        <f>SUMIFS(_CALC_ALLOC!$AN$1:$AN$420,_CALC_ALLOC!$AS$1:$AS$420,"2027|"&amp;$P$1,_CALC_ALLOC!$B$1:$B$420,$U77,_CALC_ALLOC!$D$1:$D$420,$W77,_CALC_ALLOC!$E$1:$E$420,$X77,_CALC_ALLOC!$F$1:$F$420,$Y77)</f>
        <v>0</v>
      </c>
      <c r="M77" s="34">
        <f t="shared" si="1"/>
        <v>0</v>
      </c>
      <c r="T77" t="inlineStr">
        <is>
          <t>PIGIER_LYO|BAC_RH|B1|ALT</t>
        </is>
      </c>
      <c r="U77" t="inlineStr">
        <is>
          <t>PIGIER_LYO</t>
        </is>
      </c>
      <c r="V77" t="inlineStr">
        <is>
          <t>PIGIER</t>
        </is>
      </c>
      <c r="W77" t="inlineStr">
        <is>
          <t>BAC_RH</t>
        </is>
      </c>
      <c r="X77" t="inlineStr">
        <is>
          <t>B1</t>
        </is>
      </c>
      <c r="Y77" t="inlineStr">
        <is>
          <t>ALT</t>
        </is>
      </c>
      <c r="Z77">
        <v>3</v>
      </c>
      <c r="BF77" t="s">
        <v>122</v>
      </c>
      <c r="BG77" t="s">
        <v>123</v>
      </c>
      <c r="BH77" t="s">
        <v>124</v>
      </c>
      <c r="BI77" t="s">
        <v>161</v>
      </c>
      <c r="BJ77" t="s">
        <v>141</v>
      </c>
      <c r="BK77" t="s">
        <v>0</v>
      </c>
      <c r="BL77" t="s">
        <v>136</v>
      </c>
      <c r="BM77" t="s">
        <v>131</v>
      </c>
      <c r="BN77" t="s">
        <v>130</v>
      </c>
      <c r="BO77">
        <v>66</v>
      </c>
      <c r="BP77">
        <v>3</v>
      </c>
      <c r="BQ77">
        <v>517440</v>
      </c>
      <c r="BR77">
        <v>34568.800000000003</v>
      </c>
      <c r="BS77">
        <v>93398.623999999996</v>
      </c>
      <c r="BT77">
        <v>24842.774880000001</v>
      </c>
      <c r="BU77">
        <v>213002.64199999999</v>
      </c>
      <c r="BV77">
        <v>13523.732637999999</v>
      </c>
      <c r="BW77">
        <v>62864.948956</v>
      </c>
      <c r="BX77">
        <v>76388.681593999994</v>
      </c>
      <c r="BY77">
        <v>59411.57488</v>
      </c>
      <c r="BZ77">
        <v>382789.94759400003</v>
      </c>
      <c r="CA77">
        <v>442201.522474</v>
      </c>
      <c r="CB77">
        <v>75238.477526000002</v>
      </c>
      <c r="CC77">
        <v>0</v>
      </c>
      <c r="CD77">
        <v>172844</v>
      </c>
      <c r="CE77">
        <v>466993.12</v>
      </c>
      <c r="CF77">
        <v>125720</v>
      </c>
      <c r="CG77">
        <v>55272</v>
      </c>
      <c r="CH77">
        <v>1065013.21</v>
      </c>
      <c r="CI77">
        <v>2760232</v>
      </c>
      <c r="CJ77">
        <v>580167</v>
      </c>
    </row>
    <row r="78" spans="2:88" x14ac:dyDescent="0.45" outlineLevel="2" hidden="1">
      <c r="B78" s="29" t="s">
        <v>110</v>
      </c>
      <c r="C78" s="30">
        <f>SUMIFS(_CALC_ALLOC!$G$1:$G$420,_CALC_ALLOC!$AS$1:$AS$420,"2027|"&amp;$P$1,_CALC_ALLOC!$B$1:$B$420,$U78,_CALC_ALLOC!$D$1:$D$420,$W78,_CALC_ALLOC!$E$1:$E$420,$X78,_CALC_ALLOC!$F$1:$F$420,$Y78)</f>
        <v>0</v>
      </c>
      <c r="D78" s="31">
        <f>SUMIFS(_CALC_ALLOC!$I$1:$I$420,_CALC_ALLOC!$AS$1:$AS$420,"2027|"&amp;$P$1,_CALC_ALLOC!$B$1:$B$420,$U78,_CALC_ALLOC!$D$1:$D$420,$W78,_CALC_ALLOC!$E$1:$E$420,$X78,_CALC_ALLOC!$F$1:$F$420,$Y78)</f>
        <v>0</v>
      </c>
      <c r="E78" s="31">
        <f>SUMIFS(_CALC_ALLOC!$AI$1:$AI$420,_CALC_ALLOC!$AS$1:$AS$420,"2027|"&amp;$P$1,_CALC_ALLOC!$B$1:$B$420,$U78,_CALC_ALLOC!$D$1:$D$420,$W78,_CALC_ALLOC!$E$1:$E$420,$X78,_CALC_ALLOC!$F$1:$F$420,$Y78)</f>
        <v>0</v>
      </c>
      <c r="F78" s="31">
        <f>SUMIFS(_CALC_ALLOC!$AJ$1:$AJ$420,_CALC_ALLOC!$AS$1:$AS$420,"2027|"&amp;$P$1,_CALC_ALLOC!$B$1:$B$420,$U78,_CALC_ALLOC!$D$1:$D$420,$W78,_CALC_ALLOC!$E$1:$E$420,$X78,_CALC_ALLOC!$F$1:$F$420,$Y78)</f>
        <v>0</v>
      </c>
      <c r="G78" s="31">
        <f>SUMIFS(_CALC_ALLOC!$AK$1:$AK$420,_CALC_ALLOC!$AS$1:$AS$420,"2027|"&amp;$P$1,_CALC_ALLOC!$B$1:$B$420,$U78,_CALC_ALLOC!$D$1:$D$420,$W78,_CALC_ALLOC!$E$1:$E$420,$X78,_CALC_ALLOC!$F$1:$F$420,$Y78)</f>
        <v>0</v>
      </c>
      <c r="H78" s="31">
        <f>SUMIFS(_CALC_ALLOC!$AL$1:$AL$420,_CALC_ALLOC!$AS$1:$AS$420,"2027|"&amp;$P$1,_CALC_ALLOC!$B$1:$B$420,$U78,_CALC_ALLOC!$D$1:$D$420,$W78,_CALC_ALLOC!$E$1:$E$420,$X78,_CALC_ALLOC!$F$1:$F$420,$Y78)</f>
        <v>0</v>
      </c>
      <c r="I78" s="31">
        <f>SUMIFS(_CALC_ALLOC!$AR$1:$AR$420,_CALC_ALLOC!$AS$1:$AS$420,"2027|"&amp;$P$1,_CALC_ALLOC!$B$1:$B$420,$U78,_CALC_ALLOC!$D$1:$D$420,$W78,_CALC_ALLOC!$E$1:$E$420,$X78,_CALC_ALLOC!$F$1:$F$420,$Y78)</f>
        <v>0</v>
      </c>
      <c r="J78" s="31">
        <f>SUMIFS(_CALC_ALLOC!$AM$1:$AM$420,_CALC_ALLOC!$AS$1:$AS$420,"2027|"&amp;$P$1,_CALC_ALLOC!$B$1:$B$420,$U78,_CALC_ALLOC!$D$1:$D$420,$W78,_CALC_ALLOC!$E$1:$E$420,$X78,_CALC_ALLOC!$F$1:$F$420,$Y78)</f>
        <v>0</v>
      </c>
      <c r="K78" s="32">
        <f t="shared" si="0"/>
        <v>0</v>
      </c>
      <c r="L78" s="33">
        <f>SUMIFS(_CALC_ALLOC!$AN$1:$AN$420,_CALC_ALLOC!$AS$1:$AS$420,"2027|"&amp;$P$1,_CALC_ALLOC!$B$1:$B$420,$U78,_CALC_ALLOC!$D$1:$D$420,$W78,_CALC_ALLOC!$E$1:$E$420,$X78,_CALC_ALLOC!$F$1:$F$420,$Y78)</f>
        <v>0</v>
      </c>
      <c r="M78" s="34">
        <f t="shared" si="1"/>
        <v>0</v>
      </c>
      <c r="T78" t="inlineStr">
        <is>
          <t>PIGIER_LYO|BAC_RH|B2|ALT</t>
        </is>
      </c>
      <c r="U78" t="inlineStr">
        <is>
          <t>PIGIER_LYO</t>
        </is>
      </c>
      <c r="V78" t="inlineStr">
        <is>
          <t>PIGIER</t>
        </is>
      </c>
      <c r="W78" t="inlineStr">
        <is>
          <t>BAC_RH</t>
        </is>
      </c>
      <c r="X78" t="inlineStr">
        <is>
          <t>B2</t>
        </is>
      </c>
      <c r="Y78" t="inlineStr">
        <is>
          <t>ALT</t>
        </is>
      </c>
      <c r="Z78">
        <v>3</v>
      </c>
      <c r="BF78" t="s">
        <v>122</v>
      </c>
      <c r="BG78" t="s">
        <v>123</v>
      </c>
      <c r="BH78" t="s">
        <v>124</v>
      </c>
      <c r="BI78" t="s">
        <v>161</v>
      </c>
      <c r="BJ78" t="s">
        <v>141</v>
      </c>
      <c r="BK78" t="s">
        <v>0</v>
      </c>
      <c r="BL78" t="s">
        <v>136</v>
      </c>
      <c r="BM78" t="s">
        <v>132</v>
      </c>
      <c r="BN78" t="s">
        <v>130</v>
      </c>
      <c r="BO78">
        <v>65</v>
      </c>
      <c r="BP78">
        <v>3</v>
      </c>
      <c r="BQ78">
        <v>509600</v>
      </c>
      <c r="BR78">
        <v>34568.800000000003</v>
      </c>
      <c r="BS78">
        <v>93398.623999999996</v>
      </c>
      <c r="BT78">
        <v>24466.369200000001</v>
      </c>
      <c r="BU78">
        <v>213002.64199999999</v>
      </c>
      <c r="BV78">
        <v>13523.732637999999</v>
      </c>
      <c r="BW78">
        <v>62864.948956</v>
      </c>
      <c r="BX78">
        <v>76388.681593999994</v>
      </c>
      <c r="BY78">
        <v>59035.169199999997</v>
      </c>
      <c r="BZ78">
        <v>382789.94759400003</v>
      </c>
      <c r="CA78">
        <v>441825.11679399997</v>
      </c>
      <c r="CB78">
        <v>67774.883205999999</v>
      </c>
      <c r="CC78">
        <v>0</v>
      </c>
      <c r="CD78">
        <v>172844</v>
      </c>
      <c r="CE78">
        <v>466993.12</v>
      </c>
      <c r="CF78">
        <v>125720</v>
      </c>
      <c r="CG78">
        <v>55272</v>
      </c>
      <c r="CH78">
        <v>1065013.21</v>
      </c>
      <c r="CI78">
        <v>2760232</v>
      </c>
      <c r="CJ78">
        <v>580167</v>
      </c>
    </row>
    <row r="79" spans="2:88" x14ac:dyDescent="0.45" outlineLevel="2" hidden="1">
      <c r="B79" s="29" t="s">
        <v>111</v>
      </c>
      <c r="C79" s="30">
        <f>SUMIFS(_CALC_ALLOC!$G$1:$G$420,_CALC_ALLOC!$AS$1:$AS$420,"2027|"&amp;$P$1,_CALC_ALLOC!$B$1:$B$420,$U79,_CALC_ALLOC!$D$1:$D$420,$W79,_CALC_ALLOC!$E$1:$E$420,$X79,_CALC_ALLOC!$F$1:$F$420,$Y79)</f>
        <v>0</v>
      </c>
      <c r="D79" s="31">
        <f>SUMIFS(_CALC_ALLOC!$I$1:$I$420,_CALC_ALLOC!$AS$1:$AS$420,"2027|"&amp;$P$1,_CALC_ALLOC!$B$1:$B$420,$U79,_CALC_ALLOC!$D$1:$D$420,$W79,_CALC_ALLOC!$E$1:$E$420,$X79,_CALC_ALLOC!$F$1:$F$420,$Y79)</f>
        <v>0</v>
      </c>
      <c r="E79" s="31">
        <f>SUMIFS(_CALC_ALLOC!$AI$1:$AI$420,_CALC_ALLOC!$AS$1:$AS$420,"2027|"&amp;$P$1,_CALC_ALLOC!$B$1:$B$420,$U79,_CALC_ALLOC!$D$1:$D$420,$W79,_CALC_ALLOC!$E$1:$E$420,$X79,_CALC_ALLOC!$F$1:$F$420,$Y79)</f>
        <v>0</v>
      </c>
      <c r="F79" s="31">
        <f>SUMIFS(_CALC_ALLOC!$AJ$1:$AJ$420,_CALC_ALLOC!$AS$1:$AS$420,"2027|"&amp;$P$1,_CALC_ALLOC!$B$1:$B$420,$U79,_CALC_ALLOC!$D$1:$D$420,$W79,_CALC_ALLOC!$E$1:$E$420,$X79,_CALC_ALLOC!$F$1:$F$420,$Y79)</f>
        <v>0</v>
      </c>
      <c r="G79" s="31">
        <f>SUMIFS(_CALC_ALLOC!$AK$1:$AK$420,_CALC_ALLOC!$AS$1:$AS$420,"2027|"&amp;$P$1,_CALC_ALLOC!$B$1:$B$420,$U79,_CALC_ALLOC!$D$1:$D$420,$W79,_CALC_ALLOC!$E$1:$E$420,$X79,_CALC_ALLOC!$F$1:$F$420,$Y79)</f>
        <v>0</v>
      </c>
      <c r="H79" s="31">
        <f>SUMIFS(_CALC_ALLOC!$AL$1:$AL$420,_CALC_ALLOC!$AS$1:$AS$420,"2027|"&amp;$P$1,_CALC_ALLOC!$B$1:$B$420,$U79,_CALC_ALLOC!$D$1:$D$420,$W79,_CALC_ALLOC!$E$1:$E$420,$X79,_CALC_ALLOC!$F$1:$F$420,$Y79)</f>
        <v>0</v>
      </c>
      <c r="I79" s="31">
        <f>SUMIFS(_CALC_ALLOC!$AR$1:$AR$420,_CALC_ALLOC!$AS$1:$AS$420,"2027|"&amp;$P$1,_CALC_ALLOC!$B$1:$B$420,$U79,_CALC_ALLOC!$D$1:$D$420,$W79,_CALC_ALLOC!$E$1:$E$420,$X79,_CALC_ALLOC!$F$1:$F$420,$Y79)</f>
        <v>0</v>
      </c>
      <c r="J79" s="31">
        <f>SUMIFS(_CALC_ALLOC!$AM$1:$AM$420,_CALC_ALLOC!$AS$1:$AS$420,"2027|"&amp;$P$1,_CALC_ALLOC!$B$1:$B$420,$U79,_CALC_ALLOC!$D$1:$D$420,$W79,_CALC_ALLOC!$E$1:$E$420,$X79,_CALC_ALLOC!$F$1:$F$420,$Y79)</f>
        <v>0</v>
      </c>
      <c r="K79" s="32">
        <f t="shared" si="0"/>
        <v>0</v>
      </c>
      <c r="L79" s="33">
        <f>SUMIFS(_CALC_ALLOC!$AN$1:$AN$420,_CALC_ALLOC!$AS$1:$AS$420,"2027|"&amp;$P$1,_CALC_ALLOC!$B$1:$B$420,$U79,_CALC_ALLOC!$D$1:$D$420,$W79,_CALC_ALLOC!$E$1:$E$420,$X79,_CALC_ALLOC!$F$1:$F$420,$Y79)</f>
        <v>0</v>
      </c>
      <c r="M79" s="34">
        <f t="shared" si="1"/>
        <v>0</v>
      </c>
      <c r="T79" t="inlineStr">
        <is>
          <t>PIGIER_LYO|BAC_RH|B3|ALT</t>
        </is>
      </c>
      <c r="U79" t="inlineStr">
        <is>
          <t>PIGIER_LYO</t>
        </is>
      </c>
      <c r="V79" t="inlineStr">
        <is>
          <t>PIGIER</t>
        </is>
      </c>
      <c r="W79" t="inlineStr">
        <is>
          <t>BAC_RH</t>
        </is>
      </c>
      <c r="X79" t="inlineStr">
        <is>
          <t>B3</t>
        </is>
      </c>
      <c r="Y79" t="inlineStr">
        <is>
          <t>ALT</t>
        </is>
      </c>
      <c r="Z79">
        <v>3</v>
      </c>
      <c r="BF79" t="s">
        <v>122</v>
      </c>
      <c r="BG79" t="s">
        <v>123</v>
      </c>
      <c r="BH79" t="s">
        <v>124</v>
      </c>
      <c r="BI79" t="s">
        <v>161</v>
      </c>
      <c r="BJ79" t="s">
        <v>141</v>
      </c>
      <c r="BK79" t="s">
        <v>0</v>
      </c>
      <c r="BL79" t="s">
        <v>138</v>
      </c>
      <c r="BM79" t="s">
        <v>139</v>
      </c>
      <c r="BN79" t="s">
        <v>130</v>
      </c>
      <c r="BO79">
        <v>68</v>
      </c>
      <c r="BP79">
        <v>3</v>
      </c>
      <c r="BQ79">
        <v>577320</v>
      </c>
      <c r="BR79">
        <v>30247.7</v>
      </c>
      <c r="BS79">
        <v>81723.796000000002</v>
      </c>
      <c r="BT79">
        <v>53231.586239999997</v>
      </c>
      <c r="BU79">
        <v>213002.64199999999</v>
      </c>
      <c r="BV79">
        <v>13523.732637999999</v>
      </c>
      <c r="BW79">
        <v>62864.948956</v>
      </c>
      <c r="BX79">
        <v>76388.681593999994</v>
      </c>
      <c r="BY79">
        <v>83479.286240000001</v>
      </c>
      <c r="BZ79">
        <v>371115.11959399999</v>
      </c>
      <c r="CA79">
        <v>454594.40583399998</v>
      </c>
      <c r="CB79">
        <v>122725.594166</v>
      </c>
      <c r="CC79">
        <v>68</v>
      </c>
      <c r="CD79">
        <v>172844</v>
      </c>
      <c r="CE79">
        <v>466993.12</v>
      </c>
      <c r="CF79">
        <v>125720</v>
      </c>
      <c r="CG79">
        <v>55272</v>
      </c>
      <c r="CH79">
        <v>1065013.21</v>
      </c>
      <c r="CI79">
        <v>2760232</v>
      </c>
      <c r="CJ79">
        <v>580167</v>
      </c>
    </row>
    <row r="80" spans="2:88" x14ac:dyDescent="0.45" outlineLevel="2" hidden="1">
      <c r="B80" s="29" t="s">
        <v>112</v>
      </c>
      <c r="C80" s="30">
        <f>SUMIFS(_CALC_ALLOC!$G$1:$G$420,_CALC_ALLOC!$AS$1:$AS$420,"2027|"&amp;$P$1,_CALC_ALLOC!$B$1:$B$420,$U80,_CALC_ALLOC!$D$1:$D$420,$W80,_CALC_ALLOC!$E$1:$E$420,$X80,_CALC_ALLOC!$F$1:$F$420,$Y80)</f>
        <v>0</v>
      </c>
      <c r="D80" s="31">
        <f>SUMIFS(_CALC_ALLOC!$I$1:$I$420,_CALC_ALLOC!$AS$1:$AS$420,"2027|"&amp;$P$1,_CALC_ALLOC!$B$1:$B$420,$U80,_CALC_ALLOC!$D$1:$D$420,$W80,_CALC_ALLOC!$E$1:$E$420,$X80,_CALC_ALLOC!$F$1:$F$420,$Y80)</f>
        <v>0</v>
      </c>
      <c r="E80" s="31">
        <f>SUMIFS(_CALC_ALLOC!$AI$1:$AI$420,_CALC_ALLOC!$AS$1:$AS$420,"2027|"&amp;$P$1,_CALC_ALLOC!$B$1:$B$420,$U80,_CALC_ALLOC!$D$1:$D$420,$W80,_CALC_ALLOC!$E$1:$E$420,$X80,_CALC_ALLOC!$F$1:$F$420,$Y80)</f>
        <v>0</v>
      </c>
      <c r="F80" s="31">
        <f>SUMIFS(_CALC_ALLOC!$AJ$1:$AJ$420,_CALC_ALLOC!$AS$1:$AS$420,"2027|"&amp;$P$1,_CALC_ALLOC!$B$1:$B$420,$U80,_CALC_ALLOC!$D$1:$D$420,$W80,_CALC_ALLOC!$E$1:$E$420,$X80,_CALC_ALLOC!$F$1:$F$420,$Y80)</f>
        <v>0</v>
      </c>
      <c r="G80" s="31">
        <f>SUMIFS(_CALC_ALLOC!$AK$1:$AK$420,_CALC_ALLOC!$AS$1:$AS$420,"2027|"&amp;$P$1,_CALC_ALLOC!$B$1:$B$420,$U80,_CALC_ALLOC!$D$1:$D$420,$W80,_CALC_ALLOC!$E$1:$E$420,$X80,_CALC_ALLOC!$F$1:$F$420,$Y80)</f>
        <v>0</v>
      </c>
      <c r="H80" s="31">
        <f>SUMIFS(_CALC_ALLOC!$AL$1:$AL$420,_CALC_ALLOC!$AS$1:$AS$420,"2027|"&amp;$P$1,_CALC_ALLOC!$B$1:$B$420,$U80,_CALC_ALLOC!$D$1:$D$420,$W80,_CALC_ALLOC!$E$1:$E$420,$X80,_CALC_ALLOC!$F$1:$F$420,$Y80)</f>
        <v>0</v>
      </c>
      <c r="I80" s="31">
        <f>SUMIFS(_CALC_ALLOC!$AR$1:$AR$420,_CALC_ALLOC!$AS$1:$AS$420,"2027|"&amp;$P$1,_CALC_ALLOC!$B$1:$B$420,$U80,_CALC_ALLOC!$D$1:$D$420,$W80,_CALC_ALLOC!$E$1:$E$420,$X80,_CALC_ALLOC!$F$1:$F$420,$Y80)</f>
        <v>0</v>
      </c>
      <c r="J80" s="31">
        <f>SUMIFS(_CALC_ALLOC!$AM$1:$AM$420,_CALC_ALLOC!$AS$1:$AS$420,"2027|"&amp;$P$1,_CALC_ALLOC!$B$1:$B$420,$U80,_CALC_ALLOC!$D$1:$D$420,$W80,_CALC_ALLOC!$E$1:$E$420,$X80,_CALC_ALLOC!$F$1:$F$420,$Y80)</f>
        <v>0</v>
      </c>
      <c r="K80" s="32">
        <f t="shared" si="0"/>
        <v>0</v>
      </c>
      <c r="L80" s="33">
        <f>SUMIFS(_CALC_ALLOC!$AN$1:$AN$420,_CALC_ALLOC!$AS$1:$AS$420,"2027|"&amp;$P$1,_CALC_ALLOC!$B$1:$B$420,$U80,_CALC_ALLOC!$D$1:$D$420,$W80,_CALC_ALLOC!$E$1:$E$420,$X80,_CALC_ALLOC!$F$1:$F$420,$Y80)</f>
        <v>0</v>
      </c>
      <c r="M80" s="34">
        <f t="shared" si="1"/>
        <v>0</v>
      </c>
      <c r="T80" t="inlineStr">
        <is>
          <t>PIGIER_LYO|BTS_GES|BTS1|ALT</t>
        </is>
      </c>
      <c r="U80" t="inlineStr">
        <is>
          <t>PIGIER_LYO</t>
        </is>
      </c>
      <c r="V80" t="inlineStr">
        <is>
          <t>PIGIER</t>
        </is>
      </c>
      <c r="W80" t="inlineStr">
        <is>
          <t>BTS_GES</t>
        </is>
      </c>
      <c r="X80" t="inlineStr">
        <is>
          <t>BTS1</t>
        </is>
      </c>
      <c r="Y80" t="inlineStr">
        <is>
          <t>ALT</t>
        </is>
      </c>
      <c r="Z80">
        <v>3</v>
      </c>
      <c r="BF80" t="s">
        <v>122</v>
      </c>
      <c r="BG80" t="s">
        <v>123</v>
      </c>
      <c r="BH80" t="s">
        <v>124</v>
      </c>
      <c r="BI80" t="s">
        <v>161</v>
      </c>
      <c r="BJ80" t="s">
        <v>141</v>
      </c>
      <c r="BK80" t="s">
        <v>0</v>
      </c>
      <c r="BL80" t="s">
        <v>138</v>
      </c>
      <c r="BM80" t="s">
        <v>140</v>
      </c>
      <c r="BN80" t="s">
        <v>130</v>
      </c>
      <c r="BO80">
        <v>67</v>
      </c>
      <c r="BP80">
        <v>3</v>
      </c>
      <c r="BQ80">
        <v>562800</v>
      </c>
      <c r="BR80">
        <v>30247.7</v>
      </c>
      <c r="BS80">
        <v>81723.796000000002</v>
      </c>
      <c r="BT80">
        <v>25219.180560000001</v>
      </c>
      <c r="BU80">
        <v>213002.64199999999</v>
      </c>
      <c r="BV80">
        <v>13523.732637999999</v>
      </c>
      <c r="BW80">
        <v>62864.948956</v>
      </c>
      <c r="BX80">
        <v>76388.681593999994</v>
      </c>
      <c r="BY80">
        <v>55466.880559999998</v>
      </c>
      <c r="BZ80">
        <v>371115.11959399999</v>
      </c>
      <c r="CA80">
        <v>426582.00015400001</v>
      </c>
      <c r="CB80">
        <v>136217.99984599999</v>
      </c>
      <c r="CC80">
        <v>0</v>
      </c>
      <c r="CD80">
        <v>172844</v>
      </c>
      <c r="CE80">
        <v>466993.12</v>
      </c>
      <c r="CF80">
        <v>125720</v>
      </c>
      <c r="CG80">
        <v>55272</v>
      </c>
      <c r="CH80">
        <v>1065013.21</v>
      </c>
      <c r="CI80">
        <v>2760232</v>
      </c>
      <c r="CJ80">
        <v>580167</v>
      </c>
    </row>
    <row r="81" spans="2:88" x14ac:dyDescent="0.45" outlineLevel="2" hidden="1">
      <c r="B81" s="29" t="s">
        <v>113</v>
      </c>
      <c r="C81" s="30">
        <f>SUMIFS(_CALC_ALLOC!$G$1:$G$420,_CALC_ALLOC!$AS$1:$AS$420,"2027|"&amp;$P$1,_CALC_ALLOC!$B$1:$B$420,$U81,_CALC_ALLOC!$D$1:$D$420,$W81,_CALC_ALLOC!$E$1:$E$420,$X81,_CALC_ALLOC!$F$1:$F$420,$Y81)</f>
        <v>0</v>
      </c>
      <c r="D81" s="31">
        <f>SUMIFS(_CALC_ALLOC!$I$1:$I$420,_CALC_ALLOC!$AS$1:$AS$420,"2027|"&amp;$P$1,_CALC_ALLOC!$B$1:$B$420,$U81,_CALC_ALLOC!$D$1:$D$420,$W81,_CALC_ALLOC!$E$1:$E$420,$X81,_CALC_ALLOC!$F$1:$F$420,$Y81)</f>
        <v>0</v>
      </c>
      <c r="E81" s="31">
        <f>SUMIFS(_CALC_ALLOC!$AI$1:$AI$420,_CALC_ALLOC!$AS$1:$AS$420,"2027|"&amp;$P$1,_CALC_ALLOC!$B$1:$B$420,$U81,_CALC_ALLOC!$D$1:$D$420,$W81,_CALC_ALLOC!$E$1:$E$420,$X81,_CALC_ALLOC!$F$1:$F$420,$Y81)</f>
        <v>0</v>
      </c>
      <c r="F81" s="31">
        <f>SUMIFS(_CALC_ALLOC!$AJ$1:$AJ$420,_CALC_ALLOC!$AS$1:$AS$420,"2027|"&amp;$P$1,_CALC_ALLOC!$B$1:$B$420,$U81,_CALC_ALLOC!$D$1:$D$420,$W81,_CALC_ALLOC!$E$1:$E$420,$X81,_CALC_ALLOC!$F$1:$F$420,$Y81)</f>
        <v>0</v>
      </c>
      <c r="G81" s="31">
        <f>SUMIFS(_CALC_ALLOC!$AK$1:$AK$420,_CALC_ALLOC!$AS$1:$AS$420,"2027|"&amp;$P$1,_CALC_ALLOC!$B$1:$B$420,$U81,_CALC_ALLOC!$D$1:$D$420,$W81,_CALC_ALLOC!$E$1:$E$420,$X81,_CALC_ALLOC!$F$1:$F$420,$Y81)</f>
        <v>0</v>
      </c>
      <c r="H81" s="31">
        <f>SUMIFS(_CALC_ALLOC!$AL$1:$AL$420,_CALC_ALLOC!$AS$1:$AS$420,"2027|"&amp;$P$1,_CALC_ALLOC!$B$1:$B$420,$U81,_CALC_ALLOC!$D$1:$D$420,$W81,_CALC_ALLOC!$E$1:$E$420,$X81,_CALC_ALLOC!$F$1:$F$420,$Y81)</f>
        <v>0</v>
      </c>
      <c r="I81" s="31">
        <f>SUMIFS(_CALC_ALLOC!$AR$1:$AR$420,_CALC_ALLOC!$AS$1:$AS$420,"2027|"&amp;$P$1,_CALC_ALLOC!$B$1:$B$420,$U81,_CALC_ALLOC!$D$1:$D$420,$W81,_CALC_ALLOC!$E$1:$E$420,$X81,_CALC_ALLOC!$F$1:$F$420,$Y81)</f>
        <v>0</v>
      </c>
      <c r="J81" s="31">
        <f>SUMIFS(_CALC_ALLOC!$AM$1:$AM$420,_CALC_ALLOC!$AS$1:$AS$420,"2027|"&amp;$P$1,_CALC_ALLOC!$B$1:$B$420,$U81,_CALC_ALLOC!$D$1:$D$420,$W81,_CALC_ALLOC!$E$1:$E$420,$X81,_CALC_ALLOC!$F$1:$F$420,$Y81)</f>
        <v>0</v>
      </c>
      <c r="K81" s="32">
        <f t="shared" si="0"/>
        <v>0</v>
      </c>
      <c r="L81" s="33">
        <f>SUMIFS(_CALC_ALLOC!$AN$1:$AN$420,_CALC_ALLOC!$AS$1:$AS$420,"2027|"&amp;$P$1,_CALC_ALLOC!$B$1:$B$420,$U81,_CALC_ALLOC!$D$1:$D$420,$W81,_CALC_ALLOC!$E$1:$E$420,$X81,_CALC_ALLOC!$F$1:$F$420,$Y81)</f>
        <v>0</v>
      </c>
      <c r="M81" s="34">
        <f t="shared" si="1"/>
        <v>0</v>
      </c>
      <c r="T81" t="inlineStr">
        <is>
          <t>PIGIER_LYO|BTS_GES|BTS2|ALT</t>
        </is>
      </c>
      <c r="U81" t="inlineStr">
        <is>
          <t>PIGIER_LYO</t>
        </is>
      </c>
      <c r="V81" t="inlineStr">
        <is>
          <t>PIGIER</t>
        </is>
      </c>
      <c r="W81" t="inlineStr">
        <is>
          <t>BTS_GES</t>
        </is>
      </c>
      <c r="X81" t="inlineStr">
        <is>
          <t>BTS2</t>
        </is>
      </c>
      <c r="Y81" t="inlineStr">
        <is>
          <t>ALT</t>
        </is>
      </c>
      <c r="Z81">
        <v>3</v>
      </c>
      <c r="BF81" t="s">
        <v>122</v>
      </c>
      <c r="BG81" t="s">
        <v>123</v>
      </c>
      <c r="BH81" t="s">
        <v>124</v>
      </c>
      <c r="BI81" t="s">
        <v>161</v>
      </c>
      <c r="BJ81" t="s">
        <v>142</v>
      </c>
      <c r="BK81" t="s">
        <v>0</v>
      </c>
      <c r="BL81" t="s">
        <v>136</v>
      </c>
      <c r="BM81" t="s">
        <v>129</v>
      </c>
      <c r="BN81" t="s">
        <v>137</v>
      </c>
      <c r="BO81">
        <v>44</v>
      </c>
      <c r="BP81">
        <v>2</v>
      </c>
      <c r="BQ81">
        <v>320760</v>
      </c>
      <c r="BR81">
        <v>28807.25</v>
      </c>
      <c r="BS81">
        <v>63305.21</v>
      </c>
      <c r="BT81">
        <v>26749.386714</v>
      </c>
      <c r="BU81">
        <v>113871.436</v>
      </c>
      <c r="BV81">
        <v>8745.8858419999997</v>
      </c>
      <c r="BW81">
        <v>40655.171303000003</v>
      </c>
      <c r="BX81">
        <v>49401.057144999999</v>
      </c>
      <c r="BY81">
        <v>55556.636714</v>
      </c>
      <c r="BZ81">
        <v>226577.70314500001</v>
      </c>
      <c r="CA81">
        <v>282134.339859</v>
      </c>
      <c r="CB81">
        <v>38625.660141</v>
      </c>
      <c r="CC81">
        <v>44</v>
      </c>
      <c r="CD81">
        <v>115229</v>
      </c>
      <c r="CE81">
        <v>253220.84</v>
      </c>
      <c r="CF81">
        <v>82038</v>
      </c>
      <c r="CG81">
        <v>20076</v>
      </c>
      <c r="CH81">
        <v>569357.18000000005</v>
      </c>
      <c r="CI81">
        <v>2760232</v>
      </c>
      <c r="CJ81">
        <v>580167</v>
      </c>
    </row>
    <row r="82" spans="2:88" x14ac:dyDescent="0.45" outlineLevel="1">
      <c r="B82" s="24" t="s">
        <v>95</v>
      </c>
      <c r="C82" s="25">
        <f>SUMIFS(_CALC_ALLOC!$G$1:$G$420,_CALC_ALLOC!$AS$1:$AS$420,"2027|"&amp;$P$1,_CALC_ALLOC!$B$1:$B$420,$U82)</f>
        <v>0</v>
      </c>
      <c r="D82" s="26">
        <f>SUMIFS(_CALC_ALLOC!$I$1:$I$420,_CALC_ALLOC!$AS$1:$AS$420,"2027|"&amp;$P$1,_CALC_ALLOC!$B$1:$B$420,$U82)</f>
        <v>0</v>
      </c>
      <c r="E82" s="26">
        <f>SUMIFS(_CALC_ALLOC!$AI$1:$AI$420,_CALC_ALLOC!$AS$1:$AS$420,"2027|"&amp;$P$1,_CALC_ALLOC!$B$1:$B$420,$U82)</f>
        <v>0</v>
      </c>
      <c r="F82" s="26">
        <f>SUMIFS(_CALC_ALLOC!$AJ$1:$AJ$420,_CALC_ALLOC!$AS$1:$AS$420,"2027|"&amp;$P$1,_CALC_ALLOC!$B$1:$B$420,$U82)</f>
        <v>0</v>
      </c>
      <c r="G82" s="26">
        <f>SUMIFS(_CALC_ALLOC!$AK$1:$AK$420,_CALC_ALLOC!$AS$1:$AS$420,"2027|"&amp;$P$1,_CALC_ALLOC!$B$1:$B$420,$U82)</f>
        <v>0</v>
      </c>
      <c r="H82" s="26">
        <f>SUMIFS(_CALC_ALLOC!$AL$1:$AL$420,_CALC_ALLOC!$AS$1:$AS$420,"2027|"&amp;$P$1,_CALC_ALLOC!$B$1:$B$420,$U82)</f>
        <v>0</v>
      </c>
      <c r="I82" s="26">
        <f>SUMIFS(_CALC_ALLOC!$AR$1:$AR$420,_CALC_ALLOC!$AS$1:$AS$420,"2027|"&amp;$P$1,_CALC_ALLOC!$B$1:$B$420,$U82)</f>
        <v>0</v>
      </c>
      <c r="J82" s="26">
        <f>SUMIFS(_CALC_ALLOC!$AM$1:$AM$420,_CALC_ALLOC!$AS$1:$AS$420,"2027|"&amp;$P$1,_CALC_ALLOC!$B$1:$B$420,$U82)</f>
        <v>0</v>
      </c>
      <c r="K82" s="26">
        <f t="shared" ref="K82:K97" si="2">E82+F82+G82+H82+I82+J82</f>
        <v>0</v>
      </c>
      <c r="L82" s="27">
        <f>SUMIFS(_CALC_ALLOC!$AN$1:$AN$420,_CALC_ALLOC!$AS$1:$AS$420,"2027|"&amp;$P$1,_CALC_ALLOC!$B$1:$B$420,$U82)</f>
        <v>0</v>
      </c>
      <c r="M82" s="28">
        <f t="shared" ref="M82:M97" si="3">IF(D82=0,0,L82/D82)</f>
        <v>0</v>
      </c>
      <c r="T82" t="inlineStr">
        <is>
          <t>PIGIER_BOR</t>
        </is>
      </c>
      <c r="U82" t="inlineStr">
        <is>
          <t>PIGIER_BOR</t>
        </is>
      </c>
      <c r="V82" t="inlineStr">
        <is>
          <t>PIGIER</t>
        </is>
      </c>
      <c r="Z82">
        <v>2</v>
      </c>
      <c r="BF82" t="s">
        <v>122</v>
      </c>
      <c r="BG82" t="s">
        <v>123</v>
      </c>
      <c r="BH82" t="s">
        <v>124</v>
      </c>
      <c r="BI82" t="s">
        <v>161</v>
      </c>
      <c r="BJ82" t="s">
        <v>142</v>
      </c>
      <c r="BK82" t="s">
        <v>0</v>
      </c>
      <c r="BL82" t="s">
        <v>136</v>
      </c>
      <c r="BM82" t="s">
        <v>131</v>
      </c>
      <c r="BN82" t="s">
        <v>130</v>
      </c>
      <c r="BO82">
        <v>43</v>
      </c>
      <c r="BP82">
        <v>2</v>
      </c>
      <c r="BQ82">
        <v>288960</v>
      </c>
      <c r="BR82">
        <v>23045.8</v>
      </c>
      <c r="BS82">
        <v>50644.167999999998</v>
      </c>
      <c r="BT82">
        <v>16331.632812</v>
      </c>
      <c r="BU82">
        <v>113871.436</v>
      </c>
      <c r="BV82">
        <v>8745.8858419999997</v>
      </c>
      <c r="BW82">
        <v>40655.171303000003</v>
      </c>
      <c r="BX82">
        <v>49401.057144999999</v>
      </c>
      <c r="BY82">
        <v>39377.432811999999</v>
      </c>
      <c r="BZ82">
        <v>213916.66114499999</v>
      </c>
      <c r="CA82">
        <v>253294.093957</v>
      </c>
      <c r="CB82">
        <v>35665.906043000003</v>
      </c>
      <c r="CC82">
        <v>0</v>
      </c>
      <c r="CD82">
        <v>115229</v>
      </c>
      <c r="CE82">
        <v>253220.84</v>
      </c>
      <c r="CF82">
        <v>82038</v>
      </c>
      <c r="CG82">
        <v>20076</v>
      </c>
      <c r="CH82">
        <v>569357.18000000005</v>
      </c>
      <c r="CI82">
        <v>2760232</v>
      </c>
      <c r="CJ82">
        <v>580167</v>
      </c>
    </row>
    <row r="83" spans="2:88" x14ac:dyDescent="0.45" outlineLevel="2" hidden="1">
      <c r="B83" s="29" t="s">
        <v>109</v>
      </c>
      <c r="C83" s="30">
        <f>SUMIFS(_CALC_ALLOC!$G$1:$G$420,_CALC_ALLOC!$AS$1:$AS$420,"2027|"&amp;$P$1,_CALC_ALLOC!$B$1:$B$420,$U83,_CALC_ALLOC!$D$1:$D$420,$W83,_CALC_ALLOC!$E$1:$E$420,$X83,_CALC_ALLOC!$F$1:$F$420,$Y83)</f>
        <v>0</v>
      </c>
      <c r="D83" s="31">
        <f>SUMIFS(_CALC_ALLOC!$I$1:$I$420,_CALC_ALLOC!$AS$1:$AS$420,"2027|"&amp;$P$1,_CALC_ALLOC!$B$1:$B$420,$U83,_CALC_ALLOC!$D$1:$D$420,$W83,_CALC_ALLOC!$E$1:$E$420,$X83,_CALC_ALLOC!$F$1:$F$420,$Y83)</f>
        <v>0</v>
      </c>
      <c r="E83" s="31">
        <f>SUMIFS(_CALC_ALLOC!$AI$1:$AI$420,_CALC_ALLOC!$AS$1:$AS$420,"2027|"&amp;$P$1,_CALC_ALLOC!$B$1:$B$420,$U83,_CALC_ALLOC!$D$1:$D$420,$W83,_CALC_ALLOC!$E$1:$E$420,$X83,_CALC_ALLOC!$F$1:$F$420,$Y83)</f>
        <v>0</v>
      </c>
      <c r="F83" s="31">
        <f>SUMIFS(_CALC_ALLOC!$AJ$1:$AJ$420,_CALC_ALLOC!$AS$1:$AS$420,"2027|"&amp;$P$1,_CALC_ALLOC!$B$1:$B$420,$U83,_CALC_ALLOC!$D$1:$D$420,$W83,_CALC_ALLOC!$E$1:$E$420,$X83,_CALC_ALLOC!$F$1:$F$420,$Y83)</f>
        <v>0</v>
      </c>
      <c r="G83" s="31">
        <f>SUMIFS(_CALC_ALLOC!$AK$1:$AK$420,_CALC_ALLOC!$AS$1:$AS$420,"2027|"&amp;$P$1,_CALC_ALLOC!$B$1:$B$420,$U83,_CALC_ALLOC!$D$1:$D$420,$W83,_CALC_ALLOC!$E$1:$E$420,$X83,_CALC_ALLOC!$F$1:$F$420,$Y83)</f>
        <v>0</v>
      </c>
      <c r="H83" s="31">
        <f>SUMIFS(_CALC_ALLOC!$AL$1:$AL$420,_CALC_ALLOC!$AS$1:$AS$420,"2027|"&amp;$P$1,_CALC_ALLOC!$B$1:$B$420,$U83,_CALC_ALLOC!$D$1:$D$420,$W83,_CALC_ALLOC!$E$1:$E$420,$X83,_CALC_ALLOC!$F$1:$F$420,$Y83)</f>
        <v>0</v>
      </c>
      <c r="I83" s="31">
        <f>SUMIFS(_CALC_ALLOC!$AR$1:$AR$420,_CALC_ALLOC!$AS$1:$AS$420,"2027|"&amp;$P$1,_CALC_ALLOC!$B$1:$B$420,$U83,_CALC_ALLOC!$D$1:$D$420,$W83,_CALC_ALLOC!$E$1:$E$420,$X83,_CALC_ALLOC!$F$1:$F$420,$Y83)</f>
        <v>0</v>
      </c>
      <c r="J83" s="31">
        <f>SUMIFS(_CALC_ALLOC!$AM$1:$AM$420,_CALC_ALLOC!$AS$1:$AS$420,"2027|"&amp;$P$1,_CALC_ALLOC!$B$1:$B$420,$U83,_CALC_ALLOC!$D$1:$D$420,$W83,_CALC_ALLOC!$E$1:$E$420,$X83,_CALC_ALLOC!$F$1:$F$420,$Y83)</f>
        <v>0</v>
      </c>
      <c r="K83" s="32">
        <f t="shared" si="2"/>
        <v>0</v>
      </c>
      <c r="L83" s="33">
        <f>SUMIFS(_CALC_ALLOC!$AN$1:$AN$420,_CALC_ALLOC!$AS$1:$AS$420,"2027|"&amp;$P$1,_CALC_ALLOC!$B$1:$B$420,$U83,_CALC_ALLOC!$D$1:$D$420,$W83,_CALC_ALLOC!$E$1:$E$420,$X83,_CALC_ALLOC!$F$1:$F$420,$Y83)</f>
        <v>0</v>
      </c>
      <c r="M83" s="34">
        <f t="shared" si="3"/>
        <v>0</v>
      </c>
      <c r="T83" t="inlineStr">
        <is>
          <t>PIGIER_BOR|BAC_RH|B1|ALT</t>
        </is>
      </c>
      <c r="U83" t="inlineStr">
        <is>
          <t>PIGIER_BOR</t>
        </is>
      </c>
      <c r="V83" t="inlineStr">
        <is>
          <t>PIGIER</t>
        </is>
      </c>
      <c r="W83" t="inlineStr">
        <is>
          <t>BAC_RH</t>
        </is>
      </c>
      <c r="X83" t="inlineStr">
        <is>
          <t>B1</t>
        </is>
      </c>
      <c r="Y83" t="inlineStr">
        <is>
          <t>ALT</t>
        </is>
      </c>
      <c r="Z83">
        <v>3</v>
      </c>
      <c r="BF83" t="s">
        <v>122</v>
      </c>
      <c r="BG83" t="s">
        <v>123</v>
      </c>
      <c r="BH83" t="s">
        <v>124</v>
      </c>
      <c r="BI83" t="s">
        <v>161</v>
      </c>
      <c r="BJ83" t="s">
        <v>142</v>
      </c>
      <c r="BK83" t="s">
        <v>0</v>
      </c>
      <c r="BL83" t="s">
        <v>136</v>
      </c>
      <c r="BM83" t="s">
        <v>132</v>
      </c>
      <c r="BN83" t="s">
        <v>130</v>
      </c>
      <c r="BO83">
        <v>42</v>
      </c>
      <c r="BP83">
        <v>2</v>
      </c>
      <c r="BQ83">
        <v>282240</v>
      </c>
      <c r="BR83">
        <v>23045.8</v>
      </c>
      <c r="BS83">
        <v>50644.167999999998</v>
      </c>
      <c r="BT83">
        <v>15951.796872000001</v>
      </c>
      <c r="BU83">
        <v>113871.436</v>
      </c>
      <c r="BV83">
        <v>8745.8858419999997</v>
      </c>
      <c r="BW83">
        <v>40655.171303000003</v>
      </c>
      <c r="BX83">
        <v>49401.057144999999</v>
      </c>
      <c r="BY83">
        <v>38997.596872000002</v>
      </c>
      <c r="BZ83">
        <v>213916.66114499999</v>
      </c>
      <c r="CA83">
        <v>252914.25801699999</v>
      </c>
      <c r="CB83">
        <v>29325.741983</v>
      </c>
      <c r="CC83">
        <v>0</v>
      </c>
      <c r="CD83">
        <v>115229</v>
      </c>
      <c r="CE83">
        <v>253220.84</v>
      </c>
      <c r="CF83">
        <v>82038</v>
      </c>
      <c r="CG83">
        <v>20076</v>
      </c>
      <c r="CH83">
        <v>569357.18000000005</v>
      </c>
      <c r="CI83">
        <v>2760232</v>
      </c>
      <c r="CJ83">
        <v>580167</v>
      </c>
    </row>
    <row r="84" spans="2:88" x14ac:dyDescent="0.45" outlineLevel="2" hidden="1">
      <c r="B84" s="29" t="s">
        <v>110</v>
      </c>
      <c r="C84" s="30">
        <f>SUMIFS(_CALC_ALLOC!$G$1:$G$420,_CALC_ALLOC!$AS$1:$AS$420,"2027|"&amp;$P$1,_CALC_ALLOC!$B$1:$B$420,$U84,_CALC_ALLOC!$D$1:$D$420,$W84,_CALC_ALLOC!$E$1:$E$420,$X84,_CALC_ALLOC!$F$1:$F$420,$Y84)</f>
        <v>0</v>
      </c>
      <c r="D84" s="31">
        <f>SUMIFS(_CALC_ALLOC!$I$1:$I$420,_CALC_ALLOC!$AS$1:$AS$420,"2027|"&amp;$P$1,_CALC_ALLOC!$B$1:$B$420,$U84,_CALC_ALLOC!$D$1:$D$420,$W84,_CALC_ALLOC!$E$1:$E$420,$X84,_CALC_ALLOC!$F$1:$F$420,$Y84)</f>
        <v>0</v>
      </c>
      <c r="E84" s="31">
        <f>SUMIFS(_CALC_ALLOC!$AI$1:$AI$420,_CALC_ALLOC!$AS$1:$AS$420,"2027|"&amp;$P$1,_CALC_ALLOC!$B$1:$B$420,$U84,_CALC_ALLOC!$D$1:$D$420,$W84,_CALC_ALLOC!$E$1:$E$420,$X84,_CALC_ALLOC!$F$1:$F$420,$Y84)</f>
        <v>0</v>
      </c>
      <c r="F84" s="31">
        <f>SUMIFS(_CALC_ALLOC!$AJ$1:$AJ$420,_CALC_ALLOC!$AS$1:$AS$420,"2027|"&amp;$P$1,_CALC_ALLOC!$B$1:$B$420,$U84,_CALC_ALLOC!$D$1:$D$420,$W84,_CALC_ALLOC!$E$1:$E$420,$X84,_CALC_ALLOC!$F$1:$F$420,$Y84)</f>
        <v>0</v>
      </c>
      <c r="G84" s="31">
        <f>SUMIFS(_CALC_ALLOC!$AK$1:$AK$420,_CALC_ALLOC!$AS$1:$AS$420,"2027|"&amp;$P$1,_CALC_ALLOC!$B$1:$B$420,$U84,_CALC_ALLOC!$D$1:$D$420,$W84,_CALC_ALLOC!$E$1:$E$420,$X84,_CALC_ALLOC!$F$1:$F$420,$Y84)</f>
        <v>0</v>
      </c>
      <c r="H84" s="31">
        <f>SUMIFS(_CALC_ALLOC!$AL$1:$AL$420,_CALC_ALLOC!$AS$1:$AS$420,"2027|"&amp;$P$1,_CALC_ALLOC!$B$1:$B$420,$U84,_CALC_ALLOC!$D$1:$D$420,$W84,_CALC_ALLOC!$E$1:$E$420,$X84,_CALC_ALLOC!$F$1:$F$420,$Y84)</f>
        <v>0</v>
      </c>
      <c r="I84" s="31">
        <f>SUMIFS(_CALC_ALLOC!$AR$1:$AR$420,_CALC_ALLOC!$AS$1:$AS$420,"2027|"&amp;$P$1,_CALC_ALLOC!$B$1:$B$420,$U84,_CALC_ALLOC!$D$1:$D$420,$W84,_CALC_ALLOC!$E$1:$E$420,$X84,_CALC_ALLOC!$F$1:$F$420,$Y84)</f>
        <v>0</v>
      </c>
      <c r="J84" s="31">
        <f>SUMIFS(_CALC_ALLOC!$AM$1:$AM$420,_CALC_ALLOC!$AS$1:$AS$420,"2027|"&amp;$P$1,_CALC_ALLOC!$B$1:$B$420,$U84,_CALC_ALLOC!$D$1:$D$420,$W84,_CALC_ALLOC!$E$1:$E$420,$X84,_CALC_ALLOC!$F$1:$F$420,$Y84)</f>
        <v>0</v>
      </c>
      <c r="K84" s="32">
        <f t="shared" si="2"/>
        <v>0</v>
      </c>
      <c r="L84" s="33">
        <f>SUMIFS(_CALC_ALLOC!$AN$1:$AN$420,_CALC_ALLOC!$AS$1:$AS$420,"2027|"&amp;$P$1,_CALC_ALLOC!$B$1:$B$420,$U84,_CALC_ALLOC!$D$1:$D$420,$W84,_CALC_ALLOC!$E$1:$E$420,$X84,_CALC_ALLOC!$F$1:$F$420,$Y84)</f>
        <v>0</v>
      </c>
      <c r="M84" s="34">
        <f t="shared" si="3"/>
        <v>0</v>
      </c>
      <c r="T84" t="inlineStr">
        <is>
          <t>PIGIER_BOR|BAC_RH|B2|ALT</t>
        </is>
      </c>
      <c r="U84" t="inlineStr">
        <is>
          <t>PIGIER_BOR</t>
        </is>
      </c>
      <c r="V84" t="inlineStr">
        <is>
          <t>PIGIER</t>
        </is>
      </c>
      <c r="W84" t="inlineStr">
        <is>
          <t>BAC_RH</t>
        </is>
      </c>
      <c r="X84" t="inlineStr">
        <is>
          <t>B2</t>
        </is>
      </c>
      <c r="Y84" t="inlineStr">
        <is>
          <t>ALT</t>
        </is>
      </c>
      <c r="Z84">
        <v>3</v>
      </c>
      <c r="BF84" t="s">
        <v>122</v>
      </c>
      <c r="BG84" t="s">
        <v>123</v>
      </c>
      <c r="BH84" t="s">
        <v>124</v>
      </c>
      <c r="BI84" t="s">
        <v>161</v>
      </c>
      <c r="BJ84" t="s">
        <v>142</v>
      </c>
      <c r="BK84" t="s">
        <v>0</v>
      </c>
      <c r="BL84" t="s">
        <v>138</v>
      </c>
      <c r="BM84" t="s">
        <v>139</v>
      </c>
      <c r="BN84" t="s">
        <v>130</v>
      </c>
      <c r="BO84">
        <v>44</v>
      </c>
      <c r="BP84">
        <v>2</v>
      </c>
      <c r="BQ84">
        <v>320760</v>
      </c>
      <c r="BR84">
        <v>20165.075000000001</v>
      </c>
      <c r="BS84">
        <v>44313.646999999997</v>
      </c>
      <c r="BT84">
        <v>26749.386714</v>
      </c>
      <c r="BU84">
        <v>113871.436</v>
      </c>
      <c r="BV84">
        <v>8745.8858419999997</v>
      </c>
      <c r="BW84">
        <v>40655.171303000003</v>
      </c>
      <c r="BX84">
        <v>49401.057144999999</v>
      </c>
      <c r="BY84">
        <v>46914.461713999997</v>
      </c>
      <c r="BZ84">
        <v>207586.14014500001</v>
      </c>
      <c r="CA84">
        <v>254500.60185899999</v>
      </c>
      <c r="CB84">
        <v>66259.398140999998</v>
      </c>
      <c r="CC84">
        <v>44</v>
      </c>
      <c r="CD84">
        <v>115229</v>
      </c>
      <c r="CE84">
        <v>253220.84</v>
      </c>
      <c r="CF84">
        <v>82038</v>
      </c>
      <c r="CG84">
        <v>20076</v>
      </c>
      <c r="CH84">
        <v>569357.18000000005</v>
      </c>
      <c r="CI84">
        <v>2760232</v>
      </c>
      <c r="CJ84">
        <v>580167</v>
      </c>
    </row>
    <row r="85" spans="2:88" x14ac:dyDescent="0.45" outlineLevel="2" hidden="1">
      <c r="B85" s="29" t="s">
        <v>111</v>
      </c>
      <c r="C85" s="30">
        <f>SUMIFS(_CALC_ALLOC!$G$1:$G$420,_CALC_ALLOC!$AS$1:$AS$420,"2027|"&amp;$P$1,_CALC_ALLOC!$B$1:$B$420,$U85,_CALC_ALLOC!$D$1:$D$420,$W85,_CALC_ALLOC!$E$1:$E$420,$X85,_CALC_ALLOC!$F$1:$F$420,$Y85)</f>
        <v>0</v>
      </c>
      <c r="D85" s="31">
        <f>SUMIFS(_CALC_ALLOC!$I$1:$I$420,_CALC_ALLOC!$AS$1:$AS$420,"2027|"&amp;$P$1,_CALC_ALLOC!$B$1:$B$420,$U85,_CALC_ALLOC!$D$1:$D$420,$W85,_CALC_ALLOC!$E$1:$E$420,$X85,_CALC_ALLOC!$F$1:$F$420,$Y85)</f>
        <v>0</v>
      </c>
      <c r="E85" s="31">
        <f>SUMIFS(_CALC_ALLOC!$AI$1:$AI$420,_CALC_ALLOC!$AS$1:$AS$420,"2027|"&amp;$P$1,_CALC_ALLOC!$B$1:$B$420,$U85,_CALC_ALLOC!$D$1:$D$420,$W85,_CALC_ALLOC!$E$1:$E$420,$X85,_CALC_ALLOC!$F$1:$F$420,$Y85)</f>
        <v>0</v>
      </c>
      <c r="F85" s="31">
        <f>SUMIFS(_CALC_ALLOC!$AJ$1:$AJ$420,_CALC_ALLOC!$AS$1:$AS$420,"2027|"&amp;$P$1,_CALC_ALLOC!$B$1:$B$420,$U85,_CALC_ALLOC!$D$1:$D$420,$W85,_CALC_ALLOC!$E$1:$E$420,$X85,_CALC_ALLOC!$F$1:$F$420,$Y85)</f>
        <v>0</v>
      </c>
      <c r="G85" s="31">
        <f>SUMIFS(_CALC_ALLOC!$AK$1:$AK$420,_CALC_ALLOC!$AS$1:$AS$420,"2027|"&amp;$P$1,_CALC_ALLOC!$B$1:$B$420,$U85,_CALC_ALLOC!$D$1:$D$420,$W85,_CALC_ALLOC!$E$1:$E$420,$X85,_CALC_ALLOC!$F$1:$F$420,$Y85)</f>
        <v>0</v>
      </c>
      <c r="H85" s="31">
        <f>SUMIFS(_CALC_ALLOC!$AL$1:$AL$420,_CALC_ALLOC!$AS$1:$AS$420,"2027|"&amp;$P$1,_CALC_ALLOC!$B$1:$B$420,$U85,_CALC_ALLOC!$D$1:$D$420,$W85,_CALC_ALLOC!$E$1:$E$420,$X85,_CALC_ALLOC!$F$1:$F$420,$Y85)</f>
        <v>0</v>
      </c>
      <c r="I85" s="31">
        <f>SUMIFS(_CALC_ALLOC!$AR$1:$AR$420,_CALC_ALLOC!$AS$1:$AS$420,"2027|"&amp;$P$1,_CALC_ALLOC!$B$1:$B$420,$U85,_CALC_ALLOC!$D$1:$D$420,$W85,_CALC_ALLOC!$E$1:$E$420,$X85,_CALC_ALLOC!$F$1:$F$420,$Y85)</f>
        <v>0</v>
      </c>
      <c r="J85" s="31">
        <f>SUMIFS(_CALC_ALLOC!$AM$1:$AM$420,_CALC_ALLOC!$AS$1:$AS$420,"2027|"&amp;$P$1,_CALC_ALLOC!$B$1:$B$420,$U85,_CALC_ALLOC!$D$1:$D$420,$W85,_CALC_ALLOC!$E$1:$E$420,$X85,_CALC_ALLOC!$F$1:$F$420,$Y85)</f>
        <v>0</v>
      </c>
      <c r="K85" s="32">
        <f t="shared" si="2"/>
        <v>0</v>
      </c>
      <c r="L85" s="33">
        <f>SUMIFS(_CALC_ALLOC!$AN$1:$AN$420,_CALC_ALLOC!$AS$1:$AS$420,"2027|"&amp;$P$1,_CALC_ALLOC!$B$1:$B$420,$U85,_CALC_ALLOC!$D$1:$D$420,$W85,_CALC_ALLOC!$E$1:$E$420,$X85,_CALC_ALLOC!$F$1:$F$420,$Y85)</f>
        <v>0</v>
      </c>
      <c r="M85" s="34">
        <f t="shared" si="3"/>
        <v>0</v>
      </c>
      <c r="T85" t="inlineStr">
        <is>
          <t>PIGIER_BOR|BAC_RH|B3|ALT</t>
        </is>
      </c>
      <c r="U85" t="inlineStr">
        <is>
          <t>PIGIER_BOR</t>
        </is>
      </c>
      <c r="V85" t="inlineStr">
        <is>
          <t>PIGIER</t>
        </is>
      </c>
      <c r="W85" t="inlineStr">
        <is>
          <t>BAC_RH</t>
        </is>
      </c>
      <c r="X85" t="inlineStr">
        <is>
          <t>B3</t>
        </is>
      </c>
      <c r="Y85" t="inlineStr">
        <is>
          <t>ALT</t>
        </is>
      </c>
      <c r="Z85">
        <v>3</v>
      </c>
      <c r="BF85" t="s">
        <v>122</v>
      </c>
      <c r="BG85" t="s">
        <v>123</v>
      </c>
      <c r="BH85" t="s">
        <v>124</v>
      </c>
      <c r="BI85" t="s">
        <v>161</v>
      </c>
      <c r="BJ85" t="s">
        <v>142</v>
      </c>
      <c r="BK85" t="s">
        <v>0</v>
      </c>
      <c r="BL85" t="s">
        <v>138</v>
      </c>
      <c r="BM85" t="s">
        <v>140</v>
      </c>
      <c r="BN85" t="s">
        <v>130</v>
      </c>
      <c r="BO85">
        <v>43</v>
      </c>
      <c r="BP85">
        <v>2</v>
      </c>
      <c r="BQ85">
        <v>309600</v>
      </c>
      <c r="BR85">
        <v>20165.075000000001</v>
      </c>
      <c r="BS85">
        <v>44313.646999999997</v>
      </c>
      <c r="BT85">
        <v>16331.632812</v>
      </c>
      <c r="BU85">
        <v>113871.436</v>
      </c>
      <c r="BV85">
        <v>8745.8858419999997</v>
      </c>
      <c r="BW85">
        <v>40655.171303000003</v>
      </c>
      <c r="BX85">
        <v>49401.057144999999</v>
      </c>
      <c r="BY85">
        <v>36496.707812000001</v>
      </c>
      <c r="BZ85">
        <v>207586.14014500001</v>
      </c>
      <c r="CA85">
        <v>244082.84795699999</v>
      </c>
      <c r="CB85">
        <v>65517.152043000002</v>
      </c>
      <c r="CC85">
        <v>0</v>
      </c>
      <c r="CD85">
        <v>115229</v>
      </c>
      <c r="CE85">
        <v>253220.84</v>
      </c>
      <c r="CF85">
        <v>82038</v>
      </c>
      <c r="CG85">
        <v>20076</v>
      </c>
      <c r="CH85">
        <v>569357.18000000005</v>
      </c>
      <c r="CI85">
        <v>2760232</v>
      </c>
      <c r="CJ85">
        <v>580167</v>
      </c>
    </row>
    <row r="86" spans="2:88" collapsed="1" x14ac:dyDescent="0.45" outlineLevel="2" hidden="1">
      <c r="B86" s="29" t="s">
        <v>112</v>
      </c>
      <c r="C86" s="30">
        <f>SUMIFS(_CALC_ALLOC!$G$1:$G$420,_CALC_ALLOC!$AS$1:$AS$420,"2027|"&amp;$P$1,_CALC_ALLOC!$B$1:$B$420,$U86,_CALC_ALLOC!$D$1:$D$420,$W86,_CALC_ALLOC!$E$1:$E$420,$X86,_CALC_ALLOC!$F$1:$F$420,$Y86)</f>
        <v>0</v>
      </c>
      <c r="D86" s="31">
        <f>SUMIFS(_CALC_ALLOC!$I$1:$I$420,_CALC_ALLOC!$AS$1:$AS$420,"2027|"&amp;$P$1,_CALC_ALLOC!$B$1:$B$420,$U86,_CALC_ALLOC!$D$1:$D$420,$W86,_CALC_ALLOC!$E$1:$E$420,$X86,_CALC_ALLOC!$F$1:$F$420,$Y86)</f>
        <v>0</v>
      </c>
      <c r="E86" s="31">
        <f>SUMIFS(_CALC_ALLOC!$AI$1:$AI$420,_CALC_ALLOC!$AS$1:$AS$420,"2027|"&amp;$P$1,_CALC_ALLOC!$B$1:$B$420,$U86,_CALC_ALLOC!$D$1:$D$420,$W86,_CALC_ALLOC!$E$1:$E$420,$X86,_CALC_ALLOC!$F$1:$F$420,$Y86)</f>
        <v>0</v>
      </c>
      <c r="F86" s="31">
        <f>SUMIFS(_CALC_ALLOC!$AJ$1:$AJ$420,_CALC_ALLOC!$AS$1:$AS$420,"2027|"&amp;$P$1,_CALC_ALLOC!$B$1:$B$420,$U86,_CALC_ALLOC!$D$1:$D$420,$W86,_CALC_ALLOC!$E$1:$E$420,$X86,_CALC_ALLOC!$F$1:$F$420,$Y86)</f>
        <v>0</v>
      </c>
      <c r="G86" s="31">
        <f>SUMIFS(_CALC_ALLOC!$AK$1:$AK$420,_CALC_ALLOC!$AS$1:$AS$420,"2027|"&amp;$P$1,_CALC_ALLOC!$B$1:$B$420,$U86,_CALC_ALLOC!$D$1:$D$420,$W86,_CALC_ALLOC!$E$1:$E$420,$X86,_CALC_ALLOC!$F$1:$F$420,$Y86)</f>
        <v>0</v>
      </c>
      <c r="H86" s="31">
        <f>SUMIFS(_CALC_ALLOC!$AL$1:$AL$420,_CALC_ALLOC!$AS$1:$AS$420,"2027|"&amp;$P$1,_CALC_ALLOC!$B$1:$B$420,$U86,_CALC_ALLOC!$D$1:$D$420,$W86,_CALC_ALLOC!$E$1:$E$420,$X86,_CALC_ALLOC!$F$1:$F$420,$Y86)</f>
        <v>0</v>
      </c>
      <c r="I86" s="31">
        <f>SUMIFS(_CALC_ALLOC!$AR$1:$AR$420,_CALC_ALLOC!$AS$1:$AS$420,"2027|"&amp;$P$1,_CALC_ALLOC!$B$1:$B$420,$U86,_CALC_ALLOC!$D$1:$D$420,$W86,_CALC_ALLOC!$E$1:$E$420,$X86,_CALC_ALLOC!$F$1:$F$420,$Y86)</f>
        <v>0</v>
      </c>
      <c r="J86" s="31">
        <f>SUMIFS(_CALC_ALLOC!$AM$1:$AM$420,_CALC_ALLOC!$AS$1:$AS$420,"2027|"&amp;$P$1,_CALC_ALLOC!$B$1:$B$420,$U86,_CALC_ALLOC!$D$1:$D$420,$W86,_CALC_ALLOC!$E$1:$E$420,$X86,_CALC_ALLOC!$F$1:$F$420,$Y86)</f>
        <v>0</v>
      </c>
      <c r="K86" s="32">
        <f t="shared" si="2"/>
        <v>0</v>
      </c>
      <c r="L86" s="33">
        <f>SUMIFS(_CALC_ALLOC!$AN$1:$AN$420,_CALC_ALLOC!$AS$1:$AS$420,"2027|"&amp;$P$1,_CALC_ALLOC!$B$1:$B$420,$U86,_CALC_ALLOC!$D$1:$D$420,$W86,_CALC_ALLOC!$E$1:$E$420,$X86,_CALC_ALLOC!$F$1:$F$420,$Y86)</f>
        <v>0</v>
      </c>
      <c r="M86" s="34">
        <f t="shared" si="3"/>
        <v>0</v>
      </c>
      <c r="T86" t="inlineStr">
        <is>
          <t>PIGIER_BOR|BTS_GES|BTS1|ALT</t>
        </is>
      </c>
      <c r="U86" t="inlineStr">
        <is>
          <t>PIGIER_BOR</t>
        </is>
      </c>
      <c r="V86" t="inlineStr">
        <is>
          <t>PIGIER</t>
        </is>
      </c>
      <c r="W86" t="inlineStr">
        <is>
          <t>BTS_GES</t>
        </is>
      </c>
      <c r="X86" t="inlineStr">
        <is>
          <t>BTS1</t>
        </is>
      </c>
      <c r="Y86" t="inlineStr">
        <is>
          <t>ALT</t>
        </is>
      </c>
      <c r="Z86">
        <v>3</v>
      </c>
      <c r="BF86" t="s">
        <v>122</v>
      </c>
      <c r="BG86" t="s">
        <v>123</v>
      </c>
      <c r="BH86" t="s">
        <v>124</v>
      </c>
      <c r="BI86" t="s">
        <v>161</v>
      </c>
      <c r="BJ86" t="s">
        <v>143</v>
      </c>
      <c r="BK86" t="s">
        <v>144</v>
      </c>
      <c r="BL86" t="s">
        <v>145</v>
      </c>
      <c r="BM86" t="s">
        <v>129</v>
      </c>
      <c r="BN86" t="s">
        <v>137</v>
      </c>
      <c r="BO86">
        <v>48</v>
      </c>
      <c r="BP86">
        <v>2</v>
      </c>
      <c r="BQ86">
        <v>353520</v>
      </c>
      <c r="BR86">
        <v>28807.25</v>
      </c>
      <c r="BS86">
        <v>66982.25</v>
      </c>
      <c r="BT86">
        <v>29467.96904</v>
      </c>
      <c r="BU86">
        <v>126681.156</v>
      </c>
      <c r="BV86">
        <v>9559.8896459999996</v>
      </c>
      <c r="BW86">
        <v>44043.134643999998</v>
      </c>
      <c r="BX86">
        <v>53603.024290000001</v>
      </c>
      <c r="BY86">
        <v>58275.219040000004</v>
      </c>
      <c r="BZ86">
        <v>247266.43028999999</v>
      </c>
      <c r="CA86">
        <v>305541.64932999999</v>
      </c>
      <c r="CB86">
        <v>47978.35067</v>
      </c>
      <c r="CC86">
        <v>48</v>
      </c>
      <c r="CD86">
        <v>115229</v>
      </c>
      <c r="CE86">
        <v>267929</v>
      </c>
      <c r="CF86">
        <v>88430</v>
      </c>
      <c r="CG86">
        <v>22657</v>
      </c>
      <c r="CH86">
        <v>633405.78</v>
      </c>
      <c r="CI86">
        <v>2760232</v>
      </c>
      <c r="CJ86">
        <v>580167</v>
      </c>
    </row>
    <row r="87" spans="2:88" collapsed="1" x14ac:dyDescent="0.45" outlineLevel="2" hidden="1">
      <c r="B87" s="29" t="s">
        <v>113</v>
      </c>
      <c r="C87" s="30">
        <f>SUMIFS(_CALC_ALLOC!$G$1:$G$420,_CALC_ALLOC!$AS$1:$AS$420,"2027|"&amp;$P$1,_CALC_ALLOC!$B$1:$B$420,$U87,_CALC_ALLOC!$D$1:$D$420,$W87,_CALC_ALLOC!$E$1:$E$420,$X87,_CALC_ALLOC!$F$1:$F$420,$Y87)</f>
        <v>0</v>
      </c>
      <c r="D87" s="31">
        <f>SUMIFS(_CALC_ALLOC!$I$1:$I$420,_CALC_ALLOC!$AS$1:$AS$420,"2027|"&amp;$P$1,_CALC_ALLOC!$B$1:$B$420,$U87,_CALC_ALLOC!$D$1:$D$420,$W87,_CALC_ALLOC!$E$1:$E$420,$X87,_CALC_ALLOC!$F$1:$F$420,$Y87)</f>
        <v>0</v>
      </c>
      <c r="E87" s="31">
        <f>SUMIFS(_CALC_ALLOC!$AI$1:$AI$420,_CALC_ALLOC!$AS$1:$AS$420,"2027|"&amp;$P$1,_CALC_ALLOC!$B$1:$B$420,$U87,_CALC_ALLOC!$D$1:$D$420,$W87,_CALC_ALLOC!$E$1:$E$420,$X87,_CALC_ALLOC!$F$1:$F$420,$Y87)</f>
        <v>0</v>
      </c>
      <c r="F87" s="31">
        <f>SUMIFS(_CALC_ALLOC!$AJ$1:$AJ$420,_CALC_ALLOC!$AS$1:$AS$420,"2027|"&amp;$P$1,_CALC_ALLOC!$B$1:$B$420,$U87,_CALC_ALLOC!$D$1:$D$420,$W87,_CALC_ALLOC!$E$1:$E$420,$X87,_CALC_ALLOC!$F$1:$F$420,$Y87)</f>
        <v>0</v>
      </c>
      <c r="G87" s="31">
        <f>SUMIFS(_CALC_ALLOC!$AK$1:$AK$420,_CALC_ALLOC!$AS$1:$AS$420,"2027|"&amp;$P$1,_CALC_ALLOC!$B$1:$B$420,$U87,_CALC_ALLOC!$D$1:$D$420,$W87,_CALC_ALLOC!$E$1:$E$420,$X87,_CALC_ALLOC!$F$1:$F$420,$Y87)</f>
        <v>0</v>
      </c>
      <c r="H87" s="31">
        <f>SUMIFS(_CALC_ALLOC!$AL$1:$AL$420,_CALC_ALLOC!$AS$1:$AS$420,"2027|"&amp;$P$1,_CALC_ALLOC!$B$1:$B$420,$U87,_CALC_ALLOC!$D$1:$D$420,$W87,_CALC_ALLOC!$E$1:$E$420,$X87,_CALC_ALLOC!$F$1:$F$420,$Y87)</f>
        <v>0</v>
      </c>
      <c r="I87" s="31">
        <f>SUMIFS(_CALC_ALLOC!$AR$1:$AR$420,_CALC_ALLOC!$AS$1:$AS$420,"2027|"&amp;$P$1,_CALC_ALLOC!$B$1:$B$420,$U87,_CALC_ALLOC!$D$1:$D$420,$W87,_CALC_ALLOC!$E$1:$E$420,$X87,_CALC_ALLOC!$F$1:$F$420,$Y87)</f>
        <v>0</v>
      </c>
      <c r="J87" s="31">
        <f>SUMIFS(_CALC_ALLOC!$AM$1:$AM$420,_CALC_ALLOC!$AS$1:$AS$420,"2027|"&amp;$P$1,_CALC_ALLOC!$B$1:$B$420,$U87,_CALC_ALLOC!$D$1:$D$420,$W87,_CALC_ALLOC!$E$1:$E$420,$X87,_CALC_ALLOC!$F$1:$F$420,$Y87)</f>
        <v>0</v>
      </c>
      <c r="K87" s="32">
        <f t="shared" si="2"/>
        <v>0</v>
      </c>
      <c r="L87" s="33">
        <f>SUMIFS(_CALC_ALLOC!$AN$1:$AN$420,_CALC_ALLOC!$AS$1:$AS$420,"2027|"&amp;$P$1,_CALC_ALLOC!$B$1:$B$420,$U87,_CALC_ALLOC!$D$1:$D$420,$W87,_CALC_ALLOC!$E$1:$E$420,$X87,_CALC_ALLOC!$F$1:$F$420,$Y87)</f>
        <v>0</v>
      </c>
      <c r="M87" s="34">
        <f t="shared" si="3"/>
        <v>0</v>
      </c>
      <c r="T87" t="inlineStr">
        <is>
          <t>PIGIER_BOR|BTS_GES|BTS2|ALT</t>
        </is>
      </c>
      <c r="U87" t="inlineStr">
        <is>
          <t>PIGIER_BOR</t>
        </is>
      </c>
      <c r="V87" t="inlineStr">
        <is>
          <t>PIGIER</t>
        </is>
      </c>
      <c r="W87" t="inlineStr">
        <is>
          <t>BTS_GES</t>
        </is>
      </c>
      <c r="X87" t="inlineStr">
        <is>
          <t>BTS2</t>
        </is>
      </c>
      <c r="Y87" t="inlineStr">
        <is>
          <t>ALT</t>
        </is>
      </c>
      <c r="Z87">
        <v>3</v>
      </c>
      <c r="BF87" t="s">
        <v>122</v>
      </c>
      <c r="BG87" t="s">
        <v>123</v>
      </c>
      <c r="BH87" t="s">
        <v>124</v>
      </c>
      <c r="BI87" t="s">
        <v>161</v>
      </c>
      <c r="BJ87" t="s">
        <v>143</v>
      </c>
      <c r="BK87" t="s">
        <v>144</v>
      </c>
      <c r="BL87" t="s">
        <v>145</v>
      </c>
      <c r="BM87" t="s">
        <v>131</v>
      </c>
      <c r="BN87" t="s">
        <v>130</v>
      </c>
      <c r="BO87">
        <v>46</v>
      </c>
      <c r="BP87">
        <v>2</v>
      </c>
      <c r="BQ87">
        <v>312340</v>
      </c>
      <c r="BR87">
        <v>23045.8</v>
      </c>
      <c r="BS87">
        <v>53585.8</v>
      </c>
      <c r="BT87">
        <v>17383.65783</v>
      </c>
      <c r="BU87">
        <v>126681.156</v>
      </c>
      <c r="BV87">
        <v>9559.8896459999996</v>
      </c>
      <c r="BW87">
        <v>44043.134643999998</v>
      </c>
      <c r="BX87">
        <v>53603.024290000001</v>
      </c>
      <c r="BY87">
        <v>40429.457829999999</v>
      </c>
      <c r="BZ87">
        <v>233869.98029000001</v>
      </c>
      <c r="CA87">
        <v>274299.43812000001</v>
      </c>
      <c r="CB87">
        <v>38040.561880000001</v>
      </c>
      <c r="CC87">
        <v>0</v>
      </c>
      <c r="CD87">
        <v>115229</v>
      </c>
      <c r="CE87">
        <v>267929</v>
      </c>
      <c r="CF87">
        <v>88430</v>
      </c>
      <c r="CG87">
        <v>22657</v>
      </c>
      <c r="CH87">
        <v>633405.78</v>
      </c>
      <c r="CI87">
        <v>2760232</v>
      </c>
      <c r="CJ87">
        <v>580167</v>
      </c>
    </row>
    <row r="88" spans="2:88" x14ac:dyDescent="0.45" outlineLevel="0">
      <c r="B88" s="19" t="s">
        <v>2</v>
      </c>
      <c r="C88" s="20">
        <f>SUMIFS(_CALC_ALLOC!$G$1:$G$420,_CALC_ALLOC!$AS$1:$AS$420,"2027|"&amp;$P$1,_CALC_ALLOC!$C$1:$C$420,$V88)</f>
        <v>0</v>
      </c>
      <c r="D88" s="21">
        <f>SUMIFS(_CALC_ALLOC!$I$1:$I$420,_CALC_ALLOC!$AS$1:$AS$420,"2027|"&amp;$P$1,_CALC_ALLOC!$C$1:$C$420,$V88)</f>
        <v>0</v>
      </c>
      <c r="E88" s="21">
        <f>SUMIFS(_CALC_ALLOC!$AI$1:$AI$420,_CALC_ALLOC!$AS$1:$AS$420,"2027|"&amp;$P$1,_CALC_ALLOC!$C$1:$C$420,$V88)</f>
        <v>0</v>
      </c>
      <c r="F88" s="21">
        <f>SUMIFS(_CALC_ALLOC!$AJ$1:$AJ$420,_CALC_ALLOC!$AS$1:$AS$420,"2027|"&amp;$P$1,_CALC_ALLOC!$C$1:$C$420,$V88)</f>
        <v>0</v>
      </c>
      <c r="G88" s="21">
        <f>SUMIFS(_CALC_ALLOC!$AK$1:$AK$420,_CALC_ALLOC!$AS$1:$AS$420,"2027|"&amp;$P$1,_CALC_ALLOC!$C$1:$C$420,$V88)</f>
        <v>0</v>
      </c>
      <c r="H88" s="21">
        <f>SUMIFS(_CALC_ALLOC!$AL$1:$AL$420,_CALC_ALLOC!$AS$1:$AS$420,"2027|"&amp;$P$1,_CALC_ALLOC!$C$1:$C$420,$V88)</f>
        <v>0</v>
      </c>
      <c r="I88" s="21">
        <f>SUMIFS(_CALC_ALLOC!$AR$1:$AR$420,_CALC_ALLOC!$AS$1:$AS$420,"2027|"&amp;$P$1,_CALC_ALLOC!$C$1:$C$420,$V88)</f>
        <v>0</v>
      </c>
      <c r="J88" s="21">
        <f>SUMIFS(_CALC_ALLOC!$AM$1:$AM$420,_CALC_ALLOC!$AS$1:$AS$420,"2027|"&amp;$P$1,_CALC_ALLOC!$C$1:$C$420,$V88)</f>
        <v>0</v>
      </c>
      <c r="K88" s="21">
        <f t="shared" si="2"/>
        <v>0</v>
      </c>
      <c r="L88" s="22">
        <f>SUMIFS(_CALC_ALLOC!$AN$1:$AN$420,_CALC_ALLOC!$AS$1:$AS$420,"2027|"&amp;$P$1,_CALC_ALLOC!$C$1:$C$420,$V88)</f>
        <v>0</v>
      </c>
      <c r="M88" s="23">
        <f t="shared" si="3"/>
        <v>0</v>
      </c>
      <c r="T88" t="inlineStr">
        <is>
          <t>TUNON</t>
        </is>
      </c>
      <c r="V88" t="inlineStr">
        <is>
          <t>TUNON</t>
        </is>
      </c>
      <c r="Z88">
        <v>1</v>
      </c>
      <c r="BF88" t="s">
        <v>122</v>
      </c>
      <c r="BG88" t="s">
        <v>123</v>
      </c>
      <c r="BH88" t="s">
        <v>124</v>
      </c>
      <c r="BI88" t="s">
        <v>161</v>
      </c>
      <c r="BJ88" t="s">
        <v>143</v>
      </c>
      <c r="BK88" t="s">
        <v>144</v>
      </c>
      <c r="BL88" t="s">
        <v>145</v>
      </c>
      <c r="BM88" t="s">
        <v>132</v>
      </c>
      <c r="BN88" t="s">
        <v>130</v>
      </c>
      <c r="BO88">
        <v>45</v>
      </c>
      <c r="BP88">
        <v>2</v>
      </c>
      <c r="BQ88">
        <v>305550</v>
      </c>
      <c r="BR88">
        <v>23045.8</v>
      </c>
      <c r="BS88">
        <v>53585.8</v>
      </c>
      <c r="BT88">
        <v>17005.708009999998</v>
      </c>
      <c r="BU88">
        <v>126681.156</v>
      </c>
      <c r="BV88">
        <v>9559.8896459999996</v>
      </c>
      <c r="BW88">
        <v>44043.134643999998</v>
      </c>
      <c r="BX88">
        <v>53603.024290000001</v>
      </c>
      <c r="BY88">
        <v>40051.508009999998</v>
      </c>
      <c r="BZ88">
        <v>233869.98029000001</v>
      </c>
      <c r="CA88">
        <v>273921.48830000003</v>
      </c>
      <c r="CB88">
        <v>31628.511699999999</v>
      </c>
      <c r="CC88">
        <v>0</v>
      </c>
      <c r="CD88">
        <v>115229</v>
      </c>
      <c r="CE88">
        <v>267929</v>
      </c>
      <c r="CF88">
        <v>88430</v>
      </c>
      <c r="CG88">
        <v>22657</v>
      </c>
      <c r="CH88">
        <v>633405.78</v>
      </c>
      <c r="CI88">
        <v>2760232</v>
      </c>
      <c r="CJ88">
        <v>580167</v>
      </c>
    </row>
    <row r="89" spans="2:88" x14ac:dyDescent="0.45" outlineLevel="1">
      <c r="B89" s="24" t="s">
        <v>87</v>
      </c>
      <c r="C89" s="25">
        <f>SUMIFS(_CALC_ALLOC!$G$1:$G$420,_CALC_ALLOC!$AS$1:$AS$420,"2027|"&amp;$P$1,_CALC_ALLOC!$B$1:$B$420,$U89)</f>
        <v>0</v>
      </c>
      <c r="D89" s="26">
        <f>SUMIFS(_CALC_ALLOC!$I$1:$I$420,_CALC_ALLOC!$AS$1:$AS$420,"2027|"&amp;$P$1,_CALC_ALLOC!$B$1:$B$420,$U89)</f>
        <v>0</v>
      </c>
      <c r="E89" s="26">
        <f>SUMIFS(_CALC_ALLOC!$AI$1:$AI$420,_CALC_ALLOC!$AS$1:$AS$420,"2027|"&amp;$P$1,_CALC_ALLOC!$B$1:$B$420,$U89)</f>
        <v>0</v>
      </c>
      <c r="F89" s="26">
        <f>SUMIFS(_CALC_ALLOC!$AJ$1:$AJ$420,_CALC_ALLOC!$AS$1:$AS$420,"2027|"&amp;$P$1,_CALC_ALLOC!$B$1:$B$420,$U89)</f>
        <v>0</v>
      </c>
      <c r="G89" s="26">
        <f>SUMIFS(_CALC_ALLOC!$AK$1:$AK$420,_CALC_ALLOC!$AS$1:$AS$420,"2027|"&amp;$P$1,_CALC_ALLOC!$B$1:$B$420,$U89)</f>
        <v>0</v>
      </c>
      <c r="H89" s="26">
        <f>SUMIFS(_CALC_ALLOC!$AL$1:$AL$420,_CALC_ALLOC!$AS$1:$AS$420,"2027|"&amp;$P$1,_CALC_ALLOC!$B$1:$B$420,$U89)</f>
        <v>0</v>
      </c>
      <c r="I89" s="26">
        <f>SUMIFS(_CALC_ALLOC!$AR$1:$AR$420,_CALC_ALLOC!$AS$1:$AS$420,"2027|"&amp;$P$1,_CALC_ALLOC!$B$1:$B$420,$U89)</f>
        <v>0</v>
      </c>
      <c r="J89" s="26">
        <f>SUMIFS(_CALC_ALLOC!$AM$1:$AM$420,_CALC_ALLOC!$AS$1:$AS$420,"2027|"&amp;$P$1,_CALC_ALLOC!$B$1:$B$420,$U89)</f>
        <v>0</v>
      </c>
      <c r="K89" s="26">
        <f t="shared" si="2"/>
        <v>0</v>
      </c>
      <c r="L89" s="27">
        <f>SUMIFS(_CALC_ALLOC!$AN$1:$AN$420,_CALC_ALLOC!$AS$1:$AS$420,"2027|"&amp;$P$1,_CALC_ALLOC!$B$1:$B$420,$U89)</f>
        <v>0</v>
      </c>
      <c r="M89" s="28">
        <f t="shared" si="3"/>
        <v>0</v>
      </c>
      <c r="T89" t="inlineStr">
        <is>
          <t>TUNON_PAR</t>
        </is>
      </c>
      <c r="U89" t="inlineStr">
        <is>
          <t>TUNON_PAR</t>
        </is>
      </c>
      <c r="V89" t="inlineStr">
        <is>
          <t>TUNON</t>
        </is>
      </c>
      <c r="Z89">
        <v>2</v>
      </c>
      <c r="BF89" t="s">
        <v>122</v>
      </c>
      <c r="BG89" t="s">
        <v>123</v>
      </c>
      <c r="BH89" t="s">
        <v>124</v>
      </c>
      <c r="BI89" t="s">
        <v>161</v>
      </c>
      <c r="BJ89" t="s">
        <v>143</v>
      </c>
      <c r="BK89" t="s">
        <v>144</v>
      </c>
      <c r="BL89" t="s">
        <v>146</v>
      </c>
      <c r="BM89" t="s">
        <v>139</v>
      </c>
      <c r="BN89" t="s">
        <v>130</v>
      </c>
      <c r="BO89">
        <v>48</v>
      </c>
      <c r="BP89">
        <v>2</v>
      </c>
      <c r="BQ89">
        <v>353520</v>
      </c>
      <c r="BR89">
        <v>20165.075000000001</v>
      </c>
      <c r="BS89">
        <v>46887.574999999997</v>
      </c>
      <c r="BT89">
        <v>29467.96904</v>
      </c>
      <c r="BU89">
        <v>126681.156</v>
      </c>
      <c r="BV89">
        <v>9559.8896459999996</v>
      </c>
      <c r="BW89">
        <v>44043.134643999998</v>
      </c>
      <c r="BX89">
        <v>53603.024290000001</v>
      </c>
      <c r="BY89">
        <v>49633.044040000001</v>
      </c>
      <c r="BZ89">
        <v>227171.75529</v>
      </c>
      <c r="CA89">
        <v>276804.79933000001</v>
      </c>
      <c r="CB89">
        <v>76715.200670000006</v>
      </c>
      <c r="CC89">
        <v>48</v>
      </c>
      <c r="CD89">
        <v>115229</v>
      </c>
      <c r="CE89">
        <v>267929</v>
      </c>
      <c r="CF89">
        <v>88430</v>
      </c>
      <c r="CG89">
        <v>22657</v>
      </c>
      <c r="CH89">
        <v>633405.78</v>
      </c>
      <c r="CI89">
        <v>2760232</v>
      </c>
      <c r="CJ89">
        <v>580167</v>
      </c>
    </row>
    <row r="90" spans="2:88" x14ac:dyDescent="0.45" outlineLevel="2" hidden="1">
      <c r="B90" s="29" t="s">
        <v>114</v>
      </c>
      <c r="C90" s="30">
        <f>SUMIFS(_CALC_ALLOC!$G$1:$G$420,_CALC_ALLOC!$AS$1:$AS$420,"2027|"&amp;$P$1,_CALC_ALLOC!$B$1:$B$420,$U90,_CALC_ALLOC!$D$1:$D$420,$W90,_CALC_ALLOC!$E$1:$E$420,$X90,_CALC_ALLOC!$F$1:$F$420,$Y90)</f>
        <v>0</v>
      </c>
      <c r="D90" s="31">
        <f>SUMIFS(_CALC_ALLOC!$I$1:$I$420,_CALC_ALLOC!$AS$1:$AS$420,"2027|"&amp;$P$1,_CALC_ALLOC!$B$1:$B$420,$U90,_CALC_ALLOC!$D$1:$D$420,$W90,_CALC_ALLOC!$E$1:$E$420,$X90,_CALC_ALLOC!$F$1:$F$420,$Y90)</f>
        <v>0</v>
      </c>
      <c r="E90" s="31">
        <f>SUMIFS(_CALC_ALLOC!$AI$1:$AI$420,_CALC_ALLOC!$AS$1:$AS$420,"2027|"&amp;$P$1,_CALC_ALLOC!$B$1:$B$420,$U90,_CALC_ALLOC!$D$1:$D$420,$W90,_CALC_ALLOC!$E$1:$E$420,$X90,_CALC_ALLOC!$F$1:$F$420,$Y90)</f>
        <v>0</v>
      </c>
      <c r="F90" s="31">
        <f>SUMIFS(_CALC_ALLOC!$AJ$1:$AJ$420,_CALC_ALLOC!$AS$1:$AS$420,"2027|"&amp;$P$1,_CALC_ALLOC!$B$1:$B$420,$U90,_CALC_ALLOC!$D$1:$D$420,$W90,_CALC_ALLOC!$E$1:$E$420,$X90,_CALC_ALLOC!$F$1:$F$420,$Y90)</f>
        <v>0</v>
      </c>
      <c r="G90" s="31">
        <f>SUMIFS(_CALC_ALLOC!$AK$1:$AK$420,_CALC_ALLOC!$AS$1:$AS$420,"2027|"&amp;$P$1,_CALC_ALLOC!$B$1:$B$420,$U90,_CALC_ALLOC!$D$1:$D$420,$W90,_CALC_ALLOC!$E$1:$E$420,$X90,_CALC_ALLOC!$F$1:$F$420,$Y90)</f>
        <v>0</v>
      </c>
      <c r="H90" s="31">
        <f>SUMIFS(_CALC_ALLOC!$AL$1:$AL$420,_CALC_ALLOC!$AS$1:$AS$420,"2027|"&amp;$P$1,_CALC_ALLOC!$B$1:$B$420,$U90,_CALC_ALLOC!$D$1:$D$420,$W90,_CALC_ALLOC!$E$1:$E$420,$X90,_CALC_ALLOC!$F$1:$F$420,$Y90)</f>
        <v>0</v>
      </c>
      <c r="I90" s="31">
        <f>SUMIFS(_CALC_ALLOC!$AR$1:$AR$420,_CALC_ALLOC!$AS$1:$AS$420,"2027|"&amp;$P$1,_CALC_ALLOC!$B$1:$B$420,$U90,_CALC_ALLOC!$D$1:$D$420,$W90,_CALC_ALLOC!$E$1:$E$420,$X90,_CALC_ALLOC!$F$1:$F$420,$Y90)</f>
        <v>0</v>
      </c>
      <c r="J90" s="31">
        <f>SUMIFS(_CALC_ALLOC!$AM$1:$AM$420,_CALC_ALLOC!$AS$1:$AS$420,"2027|"&amp;$P$1,_CALC_ALLOC!$B$1:$B$420,$U90,_CALC_ALLOC!$D$1:$D$420,$W90,_CALC_ALLOC!$E$1:$E$420,$X90,_CALC_ALLOC!$F$1:$F$420,$Y90)</f>
        <v>0</v>
      </c>
      <c r="K90" s="32">
        <f t="shared" si="2"/>
        <v>0</v>
      </c>
      <c r="L90" s="33">
        <f>SUMIFS(_CALC_ALLOC!$AN$1:$AN$420,_CALC_ALLOC!$AS$1:$AS$420,"2027|"&amp;$P$1,_CALC_ALLOC!$B$1:$B$420,$U90,_CALC_ALLOC!$D$1:$D$420,$W90,_CALC_ALLOC!$E$1:$E$420,$X90,_CALC_ALLOC!$F$1:$F$420,$Y90)</f>
        <v>0</v>
      </c>
      <c r="M90" s="34">
        <f t="shared" si="3"/>
        <v>0</v>
      </c>
      <c r="T90" t="inlineStr">
        <is>
          <t>TUNON_PAR|BAC_TOU|B1|ALT</t>
        </is>
      </c>
      <c r="U90" t="inlineStr">
        <is>
          <t>TUNON_PAR</t>
        </is>
      </c>
      <c r="V90" t="inlineStr">
        <is>
          <t>TUNON</t>
        </is>
      </c>
      <c r="W90" t="inlineStr">
        <is>
          <t>BAC_TOU</t>
        </is>
      </c>
      <c r="X90" t="inlineStr">
        <is>
          <t>B1</t>
        </is>
      </c>
      <c r="Y90" t="inlineStr">
        <is>
          <t>ALT</t>
        </is>
      </c>
      <c r="Z90">
        <v>3</v>
      </c>
      <c r="BF90" t="s">
        <v>122</v>
      </c>
      <c r="BG90" t="s">
        <v>123</v>
      </c>
      <c r="BH90" t="s">
        <v>124</v>
      </c>
      <c r="BI90" t="s">
        <v>161</v>
      </c>
      <c r="BJ90" t="s">
        <v>143</v>
      </c>
      <c r="BK90" t="s">
        <v>144</v>
      </c>
      <c r="BL90" t="s">
        <v>146</v>
      </c>
      <c r="BM90" t="s">
        <v>140</v>
      </c>
      <c r="BN90" t="s">
        <v>130</v>
      </c>
      <c r="BO90">
        <v>47</v>
      </c>
      <c r="BP90">
        <v>2</v>
      </c>
      <c r="BQ90">
        <v>341925</v>
      </c>
      <c r="BR90">
        <v>20165.075000000001</v>
      </c>
      <c r="BS90">
        <v>46887.574999999997</v>
      </c>
      <c r="BT90">
        <v>17761.519219999998</v>
      </c>
      <c r="BU90">
        <v>126681.156</v>
      </c>
      <c r="BV90">
        <v>9559.8896459999996</v>
      </c>
      <c r="BW90">
        <v>44043.134643999998</v>
      </c>
      <c r="BX90">
        <v>53603.024290000001</v>
      </c>
      <c r="BY90">
        <v>37926.594219999999</v>
      </c>
      <c r="BZ90">
        <v>227171.75529</v>
      </c>
      <c r="CA90">
        <v>265098.34950999997</v>
      </c>
      <c r="CB90">
        <v>76826.65049</v>
      </c>
      <c r="CC90">
        <v>0</v>
      </c>
      <c r="CD90">
        <v>115229</v>
      </c>
      <c r="CE90">
        <v>267929</v>
      </c>
      <c r="CF90">
        <v>88430</v>
      </c>
      <c r="CG90">
        <v>22657</v>
      </c>
      <c r="CH90">
        <v>633405.78</v>
      </c>
      <c r="CI90">
        <v>2760232</v>
      </c>
      <c r="CJ90">
        <v>580167</v>
      </c>
    </row>
    <row r="91" spans="2:88" x14ac:dyDescent="0.45" outlineLevel="2" hidden="1">
      <c r="B91" s="29" t="s">
        <v>115</v>
      </c>
      <c r="C91" s="30">
        <f>SUMIFS(_CALC_ALLOC!$G$1:$G$420,_CALC_ALLOC!$AS$1:$AS$420,"2027|"&amp;$P$1,_CALC_ALLOC!$B$1:$B$420,$U91,_CALC_ALLOC!$D$1:$D$420,$W91,_CALC_ALLOC!$E$1:$E$420,$X91,_CALC_ALLOC!$F$1:$F$420,$Y91)</f>
        <v>0</v>
      </c>
      <c r="D91" s="31">
        <f>SUMIFS(_CALC_ALLOC!$I$1:$I$420,_CALC_ALLOC!$AS$1:$AS$420,"2027|"&amp;$P$1,_CALC_ALLOC!$B$1:$B$420,$U91,_CALC_ALLOC!$D$1:$D$420,$W91,_CALC_ALLOC!$E$1:$E$420,$X91,_CALC_ALLOC!$F$1:$F$420,$Y91)</f>
        <v>0</v>
      </c>
      <c r="E91" s="31">
        <f>SUMIFS(_CALC_ALLOC!$AI$1:$AI$420,_CALC_ALLOC!$AS$1:$AS$420,"2027|"&amp;$P$1,_CALC_ALLOC!$B$1:$B$420,$U91,_CALC_ALLOC!$D$1:$D$420,$W91,_CALC_ALLOC!$E$1:$E$420,$X91,_CALC_ALLOC!$F$1:$F$420,$Y91)</f>
        <v>0</v>
      </c>
      <c r="F91" s="31">
        <f>SUMIFS(_CALC_ALLOC!$AJ$1:$AJ$420,_CALC_ALLOC!$AS$1:$AS$420,"2027|"&amp;$P$1,_CALC_ALLOC!$B$1:$B$420,$U91,_CALC_ALLOC!$D$1:$D$420,$W91,_CALC_ALLOC!$E$1:$E$420,$X91,_CALC_ALLOC!$F$1:$F$420,$Y91)</f>
        <v>0</v>
      </c>
      <c r="G91" s="31">
        <f>SUMIFS(_CALC_ALLOC!$AK$1:$AK$420,_CALC_ALLOC!$AS$1:$AS$420,"2027|"&amp;$P$1,_CALC_ALLOC!$B$1:$B$420,$U91,_CALC_ALLOC!$D$1:$D$420,$W91,_CALC_ALLOC!$E$1:$E$420,$X91,_CALC_ALLOC!$F$1:$F$420,$Y91)</f>
        <v>0</v>
      </c>
      <c r="H91" s="31">
        <f>SUMIFS(_CALC_ALLOC!$AL$1:$AL$420,_CALC_ALLOC!$AS$1:$AS$420,"2027|"&amp;$P$1,_CALC_ALLOC!$B$1:$B$420,$U91,_CALC_ALLOC!$D$1:$D$420,$W91,_CALC_ALLOC!$E$1:$E$420,$X91,_CALC_ALLOC!$F$1:$F$420,$Y91)</f>
        <v>0</v>
      </c>
      <c r="I91" s="31">
        <f>SUMIFS(_CALC_ALLOC!$AR$1:$AR$420,_CALC_ALLOC!$AS$1:$AS$420,"2027|"&amp;$P$1,_CALC_ALLOC!$B$1:$B$420,$U91,_CALC_ALLOC!$D$1:$D$420,$W91,_CALC_ALLOC!$E$1:$E$420,$X91,_CALC_ALLOC!$F$1:$F$420,$Y91)</f>
        <v>0</v>
      </c>
      <c r="J91" s="31">
        <f>SUMIFS(_CALC_ALLOC!$AM$1:$AM$420,_CALC_ALLOC!$AS$1:$AS$420,"2027|"&amp;$P$1,_CALC_ALLOC!$B$1:$B$420,$U91,_CALC_ALLOC!$D$1:$D$420,$W91,_CALC_ALLOC!$E$1:$E$420,$X91,_CALC_ALLOC!$F$1:$F$420,$Y91)</f>
        <v>0</v>
      </c>
      <c r="K91" s="32">
        <f t="shared" si="2"/>
        <v>0</v>
      </c>
      <c r="L91" s="33">
        <f>SUMIFS(_CALC_ALLOC!$AN$1:$AN$420,_CALC_ALLOC!$AS$1:$AS$420,"2027|"&amp;$P$1,_CALC_ALLOC!$B$1:$B$420,$U91,_CALC_ALLOC!$D$1:$D$420,$W91,_CALC_ALLOC!$E$1:$E$420,$X91,_CALC_ALLOC!$F$1:$F$420,$Y91)</f>
        <v>0</v>
      </c>
      <c r="M91" s="34">
        <f t="shared" si="3"/>
        <v>0</v>
      </c>
      <c r="T91" t="inlineStr">
        <is>
          <t>TUNON_PAR|BAC_TOU|B2|ALT</t>
        </is>
      </c>
      <c r="U91" t="inlineStr">
        <is>
          <t>TUNON_PAR</t>
        </is>
      </c>
      <c r="V91" t="inlineStr">
        <is>
          <t>TUNON</t>
        </is>
      </c>
      <c r="W91" t="inlineStr">
        <is>
          <t>BAC_TOU</t>
        </is>
      </c>
      <c r="X91" t="inlineStr">
        <is>
          <t>B2</t>
        </is>
      </c>
      <c r="Y91" t="inlineStr">
        <is>
          <t>ALT</t>
        </is>
      </c>
      <c r="Z91">
        <v>3</v>
      </c>
      <c r="BF91" t="s">
        <v>122</v>
      </c>
      <c r="BG91" t="s">
        <v>123</v>
      </c>
      <c r="BH91" t="s">
        <v>124</v>
      </c>
      <c r="BI91" t="s">
        <v>161</v>
      </c>
      <c r="BJ91" t="s">
        <v>147</v>
      </c>
      <c r="BK91" t="s">
        <v>144</v>
      </c>
      <c r="BL91" t="s">
        <v>145</v>
      </c>
      <c r="BM91" t="s">
        <v>129</v>
      </c>
      <c r="BN91" t="s">
        <v>137</v>
      </c>
      <c r="BO91">
        <v>62</v>
      </c>
      <c r="BP91">
        <v>3</v>
      </c>
      <c r="BQ91">
        <v>493830</v>
      </c>
      <c r="BR91">
        <v>43210.880878000004</v>
      </c>
      <c r="BS91">
        <v>110109.70600000001</v>
      </c>
      <c r="BT91">
        <v>42460.069449000002</v>
      </c>
      <c r="BU91">
        <v>208376.71546899999</v>
      </c>
      <c r="BV91">
        <v>14330.377514</v>
      </c>
      <c r="BW91">
        <v>66021.133059</v>
      </c>
      <c r="BX91">
        <v>80351.510573000007</v>
      </c>
      <c r="BY91">
        <v>85670.950326999999</v>
      </c>
      <c r="BZ91">
        <v>398837.932042</v>
      </c>
      <c r="CA91">
        <v>484508.882369</v>
      </c>
      <c r="CB91">
        <v>9321.1176309999992</v>
      </c>
      <c r="CC91">
        <v>62</v>
      </c>
      <c r="CD91">
        <v>149798</v>
      </c>
      <c r="CE91">
        <v>381714.36</v>
      </c>
      <c r="CF91">
        <v>115067</v>
      </c>
      <c r="CG91">
        <v>37985</v>
      </c>
      <c r="CH91">
        <v>902966.67</v>
      </c>
      <c r="CI91">
        <v>2760232</v>
      </c>
      <c r="CJ91">
        <v>580167</v>
      </c>
    </row>
    <row r="92" spans="2:88" x14ac:dyDescent="0.45" outlineLevel="2" hidden="1">
      <c r="B92" s="29" t="s">
        <v>116</v>
      </c>
      <c r="C92" s="30">
        <f>SUMIFS(_CALC_ALLOC!$G$1:$G$420,_CALC_ALLOC!$AS$1:$AS$420,"2027|"&amp;$P$1,_CALC_ALLOC!$B$1:$B$420,$U92,_CALC_ALLOC!$D$1:$D$420,$W92,_CALC_ALLOC!$E$1:$E$420,$X92,_CALC_ALLOC!$F$1:$F$420,$Y92)</f>
        <v>0</v>
      </c>
      <c r="D92" s="31">
        <f>SUMIFS(_CALC_ALLOC!$I$1:$I$420,_CALC_ALLOC!$AS$1:$AS$420,"2027|"&amp;$P$1,_CALC_ALLOC!$B$1:$B$420,$U92,_CALC_ALLOC!$D$1:$D$420,$W92,_CALC_ALLOC!$E$1:$E$420,$X92,_CALC_ALLOC!$F$1:$F$420,$Y92)</f>
        <v>0</v>
      </c>
      <c r="E92" s="31">
        <f>SUMIFS(_CALC_ALLOC!$AI$1:$AI$420,_CALC_ALLOC!$AS$1:$AS$420,"2027|"&amp;$P$1,_CALC_ALLOC!$B$1:$B$420,$U92,_CALC_ALLOC!$D$1:$D$420,$W92,_CALC_ALLOC!$E$1:$E$420,$X92,_CALC_ALLOC!$F$1:$F$420,$Y92)</f>
        <v>0</v>
      </c>
      <c r="F92" s="31">
        <f>SUMIFS(_CALC_ALLOC!$AJ$1:$AJ$420,_CALC_ALLOC!$AS$1:$AS$420,"2027|"&amp;$P$1,_CALC_ALLOC!$B$1:$B$420,$U92,_CALC_ALLOC!$D$1:$D$420,$W92,_CALC_ALLOC!$E$1:$E$420,$X92,_CALC_ALLOC!$F$1:$F$420,$Y92)</f>
        <v>0</v>
      </c>
      <c r="G92" s="31">
        <f>SUMIFS(_CALC_ALLOC!$AK$1:$AK$420,_CALC_ALLOC!$AS$1:$AS$420,"2027|"&amp;$P$1,_CALC_ALLOC!$B$1:$B$420,$U92,_CALC_ALLOC!$D$1:$D$420,$W92,_CALC_ALLOC!$E$1:$E$420,$X92,_CALC_ALLOC!$F$1:$F$420,$Y92)</f>
        <v>0</v>
      </c>
      <c r="H92" s="31">
        <f>SUMIFS(_CALC_ALLOC!$AL$1:$AL$420,_CALC_ALLOC!$AS$1:$AS$420,"2027|"&amp;$P$1,_CALC_ALLOC!$B$1:$B$420,$U92,_CALC_ALLOC!$D$1:$D$420,$W92,_CALC_ALLOC!$E$1:$E$420,$X92,_CALC_ALLOC!$F$1:$F$420,$Y92)</f>
        <v>0</v>
      </c>
      <c r="I92" s="31">
        <f>SUMIFS(_CALC_ALLOC!$AR$1:$AR$420,_CALC_ALLOC!$AS$1:$AS$420,"2027|"&amp;$P$1,_CALC_ALLOC!$B$1:$B$420,$U92,_CALC_ALLOC!$D$1:$D$420,$W92,_CALC_ALLOC!$E$1:$E$420,$X92,_CALC_ALLOC!$F$1:$F$420,$Y92)</f>
        <v>0</v>
      </c>
      <c r="J92" s="31">
        <f>SUMIFS(_CALC_ALLOC!$AM$1:$AM$420,_CALC_ALLOC!$AS$1:$AS$420,"2027|"&amp;$P$1,_CALC_ALLOC!$B$1:$B$420,$U92,_CALC_ALLOC!$D$1:$D$420,$W92,_CALC_ALLOC!$E$1:$E$420,$X92,_CALC_ALLOC!$F$1:$F$420,$Y92)</f>
        <v>0</v>
      </c>
      <c r="K92" s="32">
        <f t="shared" si="2"/>
        <v>0</v>
      </c>
      <c r="L92" s="33">
        <f>SUMIFS(_CALC_ALLOC!$AN$1:$AN$420,_CALC_ALLOC!$AS$1:$AS$420,"2027|"&amp;$P$1,_CALC_ALLOC!$B$1:$B$420,$U92,_CALC_ALLOC!$D$1:$D$420,$W92,_CALC_ALLOC!$E$1:$E$420,$X92,_CALC_ALLOC!$F$1:$F$420,$Y92)</f>
        <v>0</v>
      </c>
      <c r="M92" s="34">
        <f t="shared" si="3"/>
        <v>0</v>
      </c>
      <c r="T92" t="inlineStr">
        <is>
          <t>TUNON_PAR|BAC_TOU|B3|ALT</t>
        </is>
      </c>
      <c r="U92" t="inlineStr">
        <is>
          <t>TUNON_PAR</t>
        </is>
      </c>
      <c r="V92" t="inlineStr">
        <is>
          <t>TUNON</t>
        </is>
      </c>
      <c r="W92" t="inlineStr">
        <is>
          <t>BAC_TOU</t>
        </is>
      </c>
      <c r="X92" t="inlineStr">
        <is>
          <t>B3</t>
        </is>
      </c>
      <c r="Y92" t="inlineStr">
        <is>
          <t>ALT</t>
        </is>
      </c>
      <c r="Z92">
        <v>3</v>
      </c>
      <c r="BF92" t="s">
        <v>122</v>
      </c>
      <c r="BG92" t="s">
        <v>123</v>
      </c>
      <c r="BH92" t="s">
        <v>124</v>
      </c>
      <c r="BI92" t="s">
        <v>161</v>
      </c>
      <c r="BJ92" t="s">
        <v>147</v>
      </c>
      <c r="BK92" t="s">
        <v>144</v>
      </c>
      <c r="BL92" t="s">
        <v>145</v>
      </c>
      <c r="BM92" t="s">
        <v>131</v>
      </c>
      <c r="BN92" t="s">
        <v>130</v>
      </c>
      <c r="BO92">
        <v>60</v>
      </c>
      <c r="BP92">
        <v>2</v>
      </c>
      <c r="BQ92">
        <v>441000</v>
      </c>
      <c r="BR92">
        <v>23045.823108000001</v>
      </c>
      <c r="BS92">
        <v>58725.227428999999</v>
      </c>
      <c r="BT92">
        <v>22710.543656000002</v>
      </c>
      <c r="BU92">
        <v>138917.81031299999</v>
      </c>
      <c r="BV92">
        <v>9553.5850100000007</v>
      </c>
      <c r="BW92">
        <v>44014.088706000002</v>
      </c>
      <c r="BX92">
        <v>53567.673715999998</v>
      </c>
      <c r="BY92">
        <v>45756.366763999999</v>
      </c>
      <c r="BZ92">
        <v>251210.71145800001</v>
      </c>
      <c r="CA92">
        <v>296967.07822199998</v>
      </c>
      <c r="CB92">
        <v>144032.92177799999</v>
      </c>
      <c r="CC92">
        <v>0</v>
      </c>
      <c r="CD92">
        <v>149798</v>
      </c>
      <c r="CE92">
        <v>381714.36</v>
      </c>
      <c r="CF92">
        <v>115067</v>
      </c>
      <c r="CG92">
        <v>37985</v>
      </c>
      <c r="CH92">
        <v>902966.67</v>
      </c>
      <c r="CI92">
        <v>2760232</v>
      </c>
      <c r="CJ92">
        <v>580167</v>
      </c>
    </row>
    <row r="93" spans="2:88" x14ac:dyDescent="0.45" outlineLevel="1">
      <c r="B93" s="24" t="s">
        <v>93</v>
      </c>
      <c r="C93" s="25">
        <f>SUMIFS(_CALC_ALLOC!$G$1:$G$420,_CALC_ALLOC!$AS$1:$AS$420,"2027|"&amp;$P$1,_CALC_ALLOC!$B$1:$B$420,$U93)</f>
        <v>0</v>
      </c>
      <c r="D93" s="26">
        <f>SUMIFS(_CALC_ALLOC!$I$1:$I$420,_CALC_ALLOC!$AS$1:$AS$420,"2027|"&amp;$P$1,_CALC_ALLOC!$B$1:$B$420,$U93)</f>
        <v>0</v>
      </c>
      <c r="E93" s="26">
        <f>SUMIFS(_CALC_ALLOC!$AI$1:$AI$420,_CALC_ALLOC!$AS$1:$AS$420,"2027|"&amp;$P$1,_CALC_ALLOC!$B$1:$B$420,$U93)</f>
        <v>0</v>
      </c>
      <c r="F93" s="26">
        <f>SUMIFS(_CALC_ALLOC!$AJ$1:$AJ$420,_CALC_ALLOC!$AS$1:$AS$420,"2027|"&amp;$P$1,_CALC_ALLOC!$B$1:$B$420,$U93)</f>
        <v>0</v>
      </c>
      <c r="G93" s="26">
        <f>SUMIFS(_CALC_ALLOC!$AK$1:$AK$420,_CALC_ALLOC!$AS$1:$AS$420,"2027|"&amp;$P$1,_CALC_ALLOC!$B$1:$B$420,$U93)</f>
        <v>0</v>
      </c>
      <c r="H93" s="26">
        <f>SUMIFS(_CALC_ALLOC!$AL$1:$AL$420,_CALC_ALLOC!$AS$1:$AS$420,"2027|"&amp;$P$1,_CALC_ALLOC!$B$1:$B$420,$U93)</f>
        <v>0</v>
      </c>
      <c r="I93" s="26">
        <f>SUMIFS(_CALC_ALLOC!$AR$1:$AR$420,_CALC_ALLOC!$AS$1:$AS$420,"2027|"&amp;$P$1,_CALC_ALLOC!$B$1:$B$420,$U93)</f>
        <v>0</v>
      </c>
      <c r="J93" s="26">
        <f>SUMIFS(_CALC_ALLOC!$AM$1:$AM$420,_CALC_ALLOC!$AS$1:$AS$420,"2027|"&amp;$P$1,_CALC_ALLOC!$B$1:$B$420,$U93)</f>
        <v>0</v>
      </c>
      <c r="K93" s="26">
        <f t="shared" si="2"/>
        <v>0</v>
      </c>
      <c r="L93" s="27">
        <f>SUMIFS(_CALC_ALLOC!$AN$1:$AN$420,_CALC_ALLOC!$AS$1:$AS$420,"2027|"&amp;$P$1,_CALC_ALLOC!$B$1:$B$420,$U93)</f>
        <v>0</v>
      </c>
      <c r="M93" s="28">
        <f t="shared" si="3"/>
        <v>0</v>
      </c>
      <c r="T93" t="inlineStr">
        <is>
          <t>TUNON_LYO</t>
        </is>
      </c>
      <c r="U93" t="inlineStr">
        <is>
          <t>TUNON_LYO</t>
        </is>
      </c>
      <c r="V93" t="inlineStr">
        <is>
          <t>TUNON</t>
        </is>
      </c>
      <c r="Z93">
        <v>2</v>
      </c>
      <c r="BF93" t="s">
        <v>122</v>
      </c>
      <c r="BG93" t="s">
        <v>123</v>
      </c>
      <c r="BH93" t="s">
        <v>124</v>
      </c>
      <c r="BI93" t="s">
        <v>161</v>
      </c>
      <c r="BJ93" t="s">
        <v>147</v>
      </c>
      <c r="BK93" t="s">
        <v>144</v>
      </c>
      <c r="BL93" t="s">
        <v>145</v>
      </c>
      <c r="BM93" t="s">
        <v>132</v>
      </c>
      <c r="BN93" t="s">
        <v>130</v>
      </c>
      <c r="BO93">
        <v>59</v>
      </c>
      <c r="BP93">
        <v>2</v>
      </c>
      <c r="BQ93">
        <v>433650</v>
      </c>
      <c r="BR93">
        <v>23045.823108000001</v>
      </c>
      <c r="BS93">
        <v>58725.227428999999</v>
      </c>
      <c r="BT93">
        <v>22331.973225999998</v>
      </c>
      <c r="BU93">
        <v>138917.81031299999</v>
      </c>
      <c r="BV93">
        <v>9553.5850100000007</v>
      </c>
      <c r="BW93">
        <v>44014.088706000002</v>
      </c>
      <c r="BX93">
        <v>53567.673715999998</v>
      </c>
      <c r="BY93">
        <v>45377.796333999999</v>
      </c>
      <c r="BZ93">
        <v>251210.71145800001</v>
      </c>
      <c r="CA93">
        <v>296588.50779200002</v>
      </c>
      <c r="CB93">
        <v>137061.49220800001</v>
      </c>
      <c r="CC93">
        <v>0</v>
      </c>
      <c r="CD93">
        <v>149798</v>
      </c>
      <c r="CE93">
        <v>381714.36</v>
      </c>
      <c r="CF93">
        <v>115067</v>
      </c>
      <c r="CG93">
        <v>37985</v>
      </c>
      <c r="CH93">
        <v>902966.67</v>
      </c>
      <c r="CI93">
        <v>2760232</v>
      </c>
      <c r="CJ93">
        <v>580167</v>
      </c>
    </row>
    <row r="94" spans="2:88" x14ac:dyDescent="0.45" outlineLevel="2" hidden="1">
      <c r="B94" s="29" t="s">
        <v>114</v>
      </c>
      <c r="C94" s="30">
        <f>SUMIFS(_CALC_ALLOC!$G$1:$G$420,_CALC_ALLOC!$AS$1:$AS$420,"2027|"&amp;$P$1,_CALC_ALLOC!$B$1:$B$420,$U94,_CALC_ALLOC!$D$1:$D$420,$W94,_CALC_ALLOC!$E$1:$E$420,$X94,_CALC_ALLOC!$F$1:$F$420,$Y94)</f>
        <v>0</v>
      </c>
      <c r="D94" s="31">
        <f>SUMIFS(_CALC_ALLOC!$I$1:$I$420,_CALC_ALLOC!$AS$1:$AS$420,"2027|"&amp;$P$1,_CALC_ALLOC!$B$1:$B$420,$U94,_CALC_ALLOC!$D$1:$D$420,$W94,_CALC_ALLOC!$E$1:$E$420,$X94,_CALC_ALLOC!$F$1:$F$420,$Y94)</f>
        <v>0</v>
      </c>
      <c r="E94" s="31">
        <f>SUMIFS(_CALC_ALLOC!$AI$1:$AI$420,_CALC_ALLOC!$AS$1:$AS$420,"2027|"&amp;$P$1,_CALC_ALLOC!$B$1:$B$420,$U94,_CALC_ALLOC!$D$1:$D$420,$W94,_CALC_ALLOC!$E$1:$E$420,$X94,_CALC_ALLOC!$F$1:$F$420,$Y94)</f>
        <v>0</v>
      </c>
      <c r="F94" s="31">
        <f>SUMIFS(_CALC_ALLOC!$AJ$1:$AJ$420,_CALC_ALLOC!$AS$1:$AS$420,"2027|"&amp;$P$1,_CALC_ALLOC!$B$1:$B$420,$U94,_CALC_ALLOC!$D$1:$D$420,$W94,_CALC_ALLOC!$E$1:$E$420,$X94,_CALC_ALLOC!$F$1:$F$420,$Y94)</f>
        <v>0</v>
      </c>
      <c r="G94" s="31">
        <f>SUMIFS(_CALC_ALLOC!$AK$1:$AK$420,_CALC_ALLOC!$AS$1:$AS$420,"2027|"&amp;$P$1,_CALC_ALLOC!$B$1:$B$420,$U94,_CALC_ALLOC!$D$1:$D$420,$W94,_CALC_ALLOC!$E$1:$E$420,$X94,_CALC_ALLOC!$F$1:$F$420,$Y94)</f>
        <v>0</v>
      </c>
      <c r="H94" s="31">
        <f>SUMIFS(_CALC_ALLOC!$AL$1:$AL$420,_CALC_ALLOC!$AS$1:$AS$420,"2027|"&amp;$P$1,_CALC_ALLOC!$B$1:$B$420,$U94,_CALC_ALLOC!$D$1:$D$420,$W94,_CALC_ALLOC!$E$1:$E$420,$X94,_CALC_ALLOC!$F$1:$F$420,$Y94)</f>
        <v>0</v>
      </c>
      <c r="I94" s="31">
        <f>SUMIFS(_CALC_ALLOC!$AR$1:$AR$420,_CALC_ALLOC!$AS$1:$AS$420,"2027|"&amp;$P$1,_CALC_ALLOC!$B$1:$B$420,$U94,_CALC_ALLOC!$D$1:$D$420,$W94,_CALC_ALLOC!$E$1:$E$420,$X94,_CALC_ALLOC!$F$1:$F$420,$Y94)</f>
        <v>0</v>
      </c>
      <c r="J94" s="31">
        <f>SUMIFS(_CALC_ALLOC!$AM$1:$AM$420,_CALC_ALLOC!$AS$1:$AS$420,"2027|"&amp;$P$1,_CALC_ALLOC!$B$1:$B$420,$U94,_CALC_ALLOC!$D$1:$D$420,$W94,_CALC_ALLOC!$E$1:$E$420,$X94,_CALC_ALLOC!$F$1:$F$420,$Y94)</f>
        <v>0</v>
      </c>
      <c r="K94" s="32">
        <f t="shared" si="2"/>
        <v>0</v>
      </c>
      <c r="L94" s="33">
        <f>SUMIFS(_CALC_ALLOC!$AN$1:$AN$420,_CALC_ALLOC!$AS$1:$AS$420,"2027|"&amp;$P$1,_CALC_ALLOC!$B$1:$B$420,$U94,_CALC_ALLOC!$D$1:$D$420,$W94,_CALC_ALLOC!$E$1:$E$420,$X94,_CALC_ALLOC!$F$1:$F$420,$Y94)</f>
        <v>0</v>
      </c>
      <c r="M94" s="34">
        <f t="shared" si="3"/>
        <v>0</v>
      </c>
      <c r="T94" t="inlineStr">
        <is>
          <t>TUNON_LYO|BAC_TOU|B1|ALT</t>
        </is>
      </c>
      <c r="U94" t="inlineStr">
        <is>
          <t>TUNON_LYO</t>
        </is>
      </c>
      <c r="V94" t="inlineStr">
        <is>
          <t>TUNON</t>
        </is>
      </c>
      <c r="W94" t="inlineStr">
        <is>
          <t>BAC_TOU</t>
        </is>
      </c>
      <c r="X94" t="inlineStr">
        <is>
          <t>B1</t>
        </is>
      </c>
      <c r="Y94" t="inlineStr">
        <is>
          <t>ALT</t>
        </is>
      </c>
      <c r="Z94">
        <v>3</v>
      </c>
      <c r="BF94" t="s">
        <v>122</v>
      </c>
      <c r="BG94" t="s">
        <v>123</v>
      </c>
      <c r="BH94" t="s">
        <v>124</v>
      </c>
      <c r="BI94" t="s">
        <v>161</v>
      </c>
      <c r="BJ94" t="s">
        <v>147</v>
      </c>
      <c r="BK94" t="s">
        <v>144</v>
      </c>
      <c r="BL94" t="s">
        <v>146</v>
      </c>
      <c r="BM94" t="s">
        <v>139</v>
      </c>
      <c r="BN94" t="s">
        <v>130</v>
      </c>
      <c r="BO94">
        <v>62</v>
      </c>
      <c r="BP94">
        <v>3</v>
      </c>
      <c r="BQ94">
        <v>493830</v>
      </c>
      <c r="BR94">
        <v>30247.661553999998</v>
      </c>
      <c r="BS94">
        <v>77076.908714000005</v>
      </c>
      <c r="BT94">
        <v>42460.069449000002</v>
      </c>
      <c r="BU94">
        <v>208376.71546899999</v>
      </c>
      <c r="BV94">
        <v>14330.377514</v>
      </c>
      <c r="BW94">
        <v>66021.133059</v>
      </c>
      <c r="BX94">
        <v>80351.510573000007</v>
      </c>
      <c r="BY94">
        <v>72707.731002999994</v>
      </c>
      <c r="BZ94">
        <v>365805.13475600001</v>
      </c>
      <c r="CA94">
        <v>438512.86575900001</v>
      </c>
      <c r="CB94">
        <v>55317.134241</v>
      </c>
      <c r="CC94">
        <v>62</v>
      </c>
      <c r="CD94">
        <v>149798</v>
      </c>
      <c r="CE94">
        <v>381714.36</v>
      </c>
      <c r="CF94">
        <v>115067</v>
      </c>
      <c r="CG94">
        <v>37985</v>
      </c>
      <c r="CH94">
        <v>902966.67</v>
      </c>
      <c r="CI94">
        <v>2760232</v>
      </c>
      <c r="CJ94">
        <v>580167</v>
      </c>
    </row>
    <row r="95" spans="2:88" collapsed="1" x14ac:dyDescent="0.45" outlineLevel="2" hidden="1">
      <c r="B95" s="29" t="s">
        <v>115</v>
      </c>
      <c r="C95" s="30">
        <f>SUMIFS(_CALC_ALLOC!$G$1:$G$420,_CALC_ALLOC!$AS$1:$AS$420,"2027|"&amp;$P$1,_CALC_ALLOC!$B$1:$B$420,$U95,_CALC_ALLOC!$D$1:$D$420,$W95,_CALC_ALLOC!$E$1:$E$420,$X95,_CALC_ALLOC!$F$1:$F$420,$Y95)</f>
        <v>0</v>
      </c>
      <c r="D95" s="31">
        <f>SUMIFS(_CALC_ALLOC!$I$1:$I$420,_CALC_ALLOC!$AS$1:$AS$420,"2027|"&amp;$P$1,_CALC_ALLOC!$B$1:$B$420,$U95,_CALC_ALLOC!$D$1:$D$420,$W95,_CALC_ALLOC!$E$1:$E$420,$X95,_CALC_ALLOC!$F$1:$F$420,$Y95)</f>
        <v>0</v>
      </c>
      <c r="E95" s="31">
        <f>SUMIFS(_CALC_ALLOC!$AI$1:$AI$420,_CALC_ALLOC!$AS$1:$AS$420,"2027|"&amp;$P$1,_CALC_ALLOC!$B$1:$B$420,$U95,_CALC_ALLOC!$D$1:$D$420,$W95,_CALC_ALLOC!$E$1:$E$420,$X95,_CALC_ALLOC!$F$1:$F$420,$Y95)</f>
        <v>0</v>
      </c>
      <c r="F95" s="31">
        <f>SUMIFS(_CALC_ALLOC!$AJ$1:$AJ$420,_CALC_ALLOC!$AS$1:$AS$420,"2027|"&amp;$P$1,_CALC_ALLOC!$B$1:$B$420,$U95,_CALC_ALLOC!$D$1:$D$420,$W95,_CALC_ALLOC!$E$1:$E$420,$X95,_CALC_ALLOC!$F$1:$F$420,$Y95)</f>
        <v>0</v>
      </c>
      <c r="G95" s="31">
        <f>SUMIFS(_CALC_ALLOC!$AK$1:$AK$420,_CALC_ALLOC!$AS$1:$AS$420,"2027|"&amp;$P$1,_CALC_ALLOC!$B$1:$B$420,$U95,_CALC_ALLOC!$D$1:$D$420,$W95,_CALC_ALLOC!$E$1:$E$420,$X95,_CALC_ALLOC!$F$1:$F$420,$Y95)</f>
        <v>0</v>
      </c>
      <c r="H95" s="31">
        <f>SUMIFS(_CALC_ALLOC!$AL$1:$AL$420,_CALC_ALLOC!$AS$1:$AS$420,"2027|"&amp;$P$1,_CALC_ALLOC!$B$1:$B$420,$U95,_CALC_ALLOC!$D$1:$D$420,$W95,_CALC_ALLOC!$E$1:$E$420,$X95,_CALC_ALLOC!$F$1:$F$420,$Y95)</f>
        <v>0</v>
      </c>
      <c r="I95" s="31">
        <f>SUMIFS(_CALC_ALLOC!$AR$1:$AR$420,_CALC_ALLOC!$AS$1:$AS$420,"2027|"&amp;$P$1,_CALC_ALLOC!$B$1:$B$420,$U95,_CALC_ALLOC!$D$1:$D$420,$W95,_CALC_ALLOC!$E$1:$E$420,$X95,_CALC_ALLOC!$F$1:$F$420,$Y95)</f>
        <v>0</v>
      </c>
      <c r="J95" s="31">
        <f>SUMIFS(_CALC_ALLOC!$AM$1:$AM$420,_CALC_ALLOC!$AS$1:$AS$420,"2027|"&amp;$P$1,_CALC_ALLOC!$B$1:$B$420,$U95,_CALC_ALLOC!$D$1:$D$420,$W95,_CALC_ALLOC!$E$1:$E$420,$X95,_CALC_ALLOC!$F$1:$F$420,$Y95)</f>
        <v>0</v>
      </c>
      <c r="K95" s="32">
        <f t="shared" si="2"/>
        <v>0</v>
      </c>
      <c r="L95" s="33">
        <f>SUMIFS(_CALC_ALLOC!$AN$1:$AN$420,_CALC_ALLOC!$AS$1:$AS$420,"2027|"&amp;$P$1,_CALC_ALLOC!$B$1:$B$420,$U95,_CALC_ALLOC!$D$1:$D$420,$W95,_CALC_ALLOC!$E$1:$E$420,$X95,_CALC_ALLOC!$F$1:$F$420,$Y95)</f>
        <v>0</v>
      </c>
      <c r="M95" s="34">
        <f t="shared" si="3"/>
        <v>0</v>
      </c>
      <c r="T95" t="inlineStr">
        <is>
          <t>TUNON_LYO|BAC_TOU|B2|ALT</t>
        </is>
      </c>
      <c r="U95" t="inlineStr">
        <is>
          <t>TUNON_LYO</t>
        </is>
      </c>
      <c r="V95" t="inlineStr">
        <is>
          <t>TUNON</t>
        </is>
      </c>
      <c r="W95" t="inlineStr">
        <is>
          <t>BAC_TOU</t>
        </is>
      </c>
      <c r="X95" t="inlineStr">
        <is>
          <t>B2</t>
        </is>
      </c>
      <c r="Y95" t="inlineStr">
        <is>
          <t>ALT</t>
        </is>
      </c>
      <c r="Z95">
        <v>3</v>
      </c>
      <c r="BF95" t="s">
        <v>122</v>
      </c>
      <c r="BG95" t="s">
        <v>123</v>
      </c>
      <c r="BH95" t="s">
        <v>124</v>
      </c>
      <c r="BI95" t="s">
        <v>161</v>
      </c>
      <c r="BJ95" t="s">
        <v>147</v>
      </c>
      <c r="BK95" t="s">
        <v>144</v>
      </c>
      <c r="BL95" t="s">
        <v>146</v>
      </c>
      <c r="BM95" t="s">
        <v>140</v>
      </c>
      <c r="BN95" t="s">
        <v>130</v>
      </c>
      <c r="BO95">
        <v>61</v>
      </c>
      <c r="BP95">
        <v>3</v>
      </c>
      <c r="BQ95">
        <v>480375</v>
      </c>
      <c r="BR95">
        <v>30247.661553999998</v>
      </c>
      <c r="BS95">
        <v>77076.908714000005</v>
      </c>
      <c r="BT95">
        <v>23088.999018999999</v>
      </c>
      <c r="BU95">
        <v>208376.71546899999</v>
      </c>
      <c r="BV95">
        <v>14330.377514</v>
      </c>
      <c r="BW95">
        <v>66021.133059</v>
      </c>
      <c r="BX95">
        <v>80351.510573000007</v>
      </c>
      <c r="BY95">
        <v>53336.660573000001</v>
      </c>
      <c r="BZ95">
        <v>365805.13475600001</v>
      </c>
      <c r="CA95">
        <v>419141.79532899999</v>
      </c>
      <c r="CB95">
        <v>61233.204671</v>
      </c>
      <c r="CC95">
        <v>0</v>
      </c>
      <c r="CD95">
        <v>149798</v>
      </c>
      <c r="CE95">
        <v>381714.36</v>
      </c>
      <c r="CF95">
        <v>115067</v>
      </c>
      <c r="CG95">
        <v>37985</v>
      </c>
      <c r="CH95">
        <v>902966.67</v>
      </c>
      <c r="CI95">
        <v>2760232</v>
      </c>
      <c r="CJ95">
        <v>580167</v>
      </c>
    </row>
    <row r="96" spans="2:88" x14ac:dyDescent="0.45" outlineLevel="2" hidden="1">
      <c r="B96" s="29" t="s">
        <v>116</v>
      </c>
      <c r="C96" s="30">
        <f>SUMIFS(_CALC_ALLOC!$G$1:$G$420,_CALC_ALLOC!$AS$1:$AS$420,"2027|"&amp;$P$1,_CALC_ALLOC!$B$1:$B$420,$U96,_CALC_ALLOC!$D$1:$D$420,$W96,_CALC_ALLOC!$E$1:$E$420,$X96,_CALC_ALLOC!$F$1:$F$420,$Y96)</f>
        <v>0</v>
      </c>
      <c r="D96" s="31">
        <f>SUMIFS(_CALC_ALLOC!$I$1:$I$420,_CALC_ALLOC!$AS$1:$AS$420,"2027|"&amp;$P$1,_CALC_ALLOC!$B$1:$B$420,$U96,_CALC_ALLOC!$D$1:$D$420,$W96,_CALC_ALLOC!$E$1:$E$420,$X96,_CALC_ALLOC!$F$1:$F$420,$Y96)</f>
        <v>0</v>
      </c>
      <c r="E96" s="31">
        <f>SUMIFS(_CALC_ALLOC!$AI$1:$AI$420,_CALC_ALLOC!$AS$1:$AS$420,"2027|"&amp;$P$1,_CALC_ALLOC!$B$1:$B$420,$U96,_CALC_ALLOC!$D$1:$D$420,$W96,_CALC_ALLOC!$E$1:$E$420,$X96,_CALC_ALLOC!$F$1:$F$420,$Y96)</f>
        <v>0</v>
      </c>
      <c r="F96" s="31">
        <f>SUMIFS(_CALC_ALLOC!$AJ$1:$AJ$420,_CALC_ALLOC!$AS$1:$AS$420,"2027|"&amp;$P$1,_CALC_ALLOC!$B$1:$B$420,$U96,_CALC_ALLOC!$D$1:$D$420,$W96,_CALC_ALLOC!$E$1:$E$420,$X96,_CALC_ALLOC!$F$1:$F$420,$Y96)</f>
        <v>0</v>
      </c>
      <c r="G96" s="31">
        <f>SUMIFS(_CALC_ALLOC!$AK$1:$AK$420,_CALC_ALLOC!$AS$1:$AS$420,"2027|"&amp;$P$1,_CALC_ALLOC!$B$1:$B$420,$U96,_CALC_ALLOC!$D$1:$D$420,$W96,_CALC_ALLOC!$E$1:$E$420,$X96,_CALC_ALLOC!$F$1:$F$420,$Y96)</f>
        <v>0</v>
      </c>
      <c r="H96" s="31">
        <f>SUMIFS(_CALC_ALLOC!$AL$1:$AL$420,_CALC_ALLOC!$AS$1:$AS$420,"2027|"&amp;$P$1,_CALC_ALLOC!$B$1:$B$420,$U96,_CALC_ALLOC!$D$1:$D$420,$W96,_CALC_ALLOC!$E$1:$E$420,$X96,_CALC_ALLOC!$F$1:$F$420,$Y96)</f>
        <v>0</v>
      </c>
      <c r="I96" s="31">
        <f>SUMIFS(_CALC_ALLOC!$AR$1:$AR$420,_CALC_ALLOC!$AS$1:$AS$420,"2027|"&amp;$P$1,_CALC_ALLOC!$B$1:$B$420,$U96,_CALC_ALLOC!$D$1:$D$420,$W96,_CALC_ALLOC!$E$1:$E$420,$X96,_CALC_ALLOC!$F$1:$F$420,$Y96)</f>
        <v>0</v>
      </c>
      <c r="J96" s="31">
        <f>SUMIFS(_CALC_ALLOC!$AM$1:$AM$420,_CALC_ALLOC!$AS$1:$AS$420,"2027|"&amp;$P$1,_CALC_ALLOC!$B$1:$B$420,$U96,_CALC_ALLOC!$D$1:$D$420,$W96,_CALC_ALLOC!$E$1:$E$420,$X96,_CALC_ALLOC!$F$1:$F$420,$Y96)</f>
        <v>0</v>
      </c>
      <c r="K96" s="32">
        <f t="shared" si="2"/>
        <v>0</v>
      </c>
      <c r="L96" s="33">
        <f>SUMIFS(_CALC_ALLOC!$AN$1:$AN$420,_CALC_ALLOC!$AS$1:$AS$420,"2027|"&amp;$P$1,_CALC_ALLOC!$B$1:$B$420,$U96,_CALC_ALLOC!$D$1:$D$420,$W96,_CALC_ALLOC!$E$1:$E$420,$X96,_CALC_ALLOC!$F$1:$F$420,$Y96)</f>
        <v>0</v>
      </c>
      <c r="M96" s="34">
        <f t="shared" si="3"/>
        <v>0</v>
      </c>
      <c r="T96" t="inlineStr">
        <is>
          <t>TUNON_LYO|BAC_TOU|B3|ALT</t>
        </is>
      </c>
      <c r="U96" t="inlineStr">
        <is>
          <t>TUNON_LYO</t>
        </is>
      </c>
      <c r="V96" t="inlineStr">
        <is>
          <t>TUNON</t>
        </is>
      </c>
      <c r="W96" t="inlineStr">
        <is>
          <t>BAC_TOU</t>
        </is>
      </c>
      <c r="X96" t="inlineStr">
        <is>
          <t>B3</t>
        </is>
      </c>
      <c r="Y96" t="inlineStr">
        <is>
          <t>ALT</t>
        </is>
      </c>
      <c r="Z96">
        <v>3</v>
      </c>
      <c r="BF96" t="s">
        <v>122</v>
      </c>
      <c r="BG96" t="s">
        <v>123</v>
      </c>
      <c r="BH96" t="s">
        <v>124</v>
      </c>
      <c r="BI96" t="s">
        <v>161</v>
      </c>
      <c r="BJ96" t="s">
        <v>148</v>
      </c>
      <c r="BK96" t="s">
        <v>144</v>
      </c>
      <c r="BL96" t="s">
        <v>145</v>
      </c>
      <c r="BM96" t="s">
        <v>129</v>
      </c>
      <c r="BN96" t="s">
        <v>137</v>
      </c>
      <c r="BO96">
        <v>57</v>
      </c>
      <c r="BP96">
        <v>2</v>
      </c>
      <c r="BQ96">
        <v>432630</v>
      </c>
      <c r="BR96">
        <v>29420.080375000001</v>
      </c>
      <c r="BS96">
        <v>70856.808803000007</v>
      </c>
      <c r="BT96">
        <v>35664.476011999999</v>
      </c>
      <c r="BU96">
        <v>129791.15083300001</v>
      </c>
      <c r="BV96">
        <v>9498.5749400000004</v>
      </c>
      <c r="BW96">
        <v>43760.653151999999</v>
      </c>
      <c r="BX96">
        <v>53259.228091999998</v>
      </c>
      <c r="BY96">
        <v>65084.556386999997</v>
      </c>
      <c r="BZ96">
        <v>253907.18772799999</v>
      </c>
      <c r="CA96">
        <v>318991.74411500001</v>
      </c>
      <c r="CB96">
        <v>113638.25588500001</v>
      </c>
      <c r="CC96">
        <v>57</v>
      </c>
      <c r="CD96">
        <v>138275</v>
      </c>
      <c r="CE96">
        <v>333028.5</v>
      </c>
      <c r="CF96">
        <v>104412</v>
      </c>
      <c r="CG96">
        <v>28666</v>
      </c>
      <c r="CH96">
        <v>778750.02</v>
      </c>
      <c r="CI96">
        <v>2760232</v>
      </c>
      <c r="CJ96">
        <v>580167</v>
      </c>
    </row>
    <row r="97" spans="2:88" ht="14.65" thickBot="1" x14ac:dyDescent="0.5">
      <c r="B97" s="35" t="s">
        <v>38</v>
      </c>
      <c r="C97" s="36">
        <f>SUMIFS(_CALC_ALLOC!$G$1:$G$420,_CALC_ALLOC!$AS$1:$AS$420,"2027|"&amp;$P$1)</f>
        <v>3473.6699979999999</v>
      </c>
      <c r="D97" s="37">
        <f>SUMIFS(_CALC_ALLOC!$I$1:$I$420,_CALC_ALLOC!$AS$1:$AS$420,"2027|"&amp;$P$1)</f>
        <v>26814168.474038001</v>
      </c>
      <c r="E97" s="37">
        <f>SUMIFS(_CALC_ALLOC!$AI$1:$AI$420,_CALC_ALLOC!$AS$1:$AS$420,"2027|"&amp;$P$1)</f>
        <v>1780848.6086800008</v>
      </c>
      <c r="F97" s="37">
        <f>SUMIFS(_CALC_ALLOC!$AJ$1:$AJ$420,_CALC_ALLOC!$AS$1:$AS$420,"2027|"&amp;$P$1)</f>
        <v>4035427.9739039973</v>
      </c>
      <c r="G97" s="37">
        <f>SUMIFS(_CALC_ALLOC!$AK$1:$AK$420,_CALC_ALLOC!$AS$1:$AS$420,"2027|"&amp;$P$1)</f>
        <v>1771335.4639179998</v>
      </c>
      <c r="H97" s="37">
        <f>SUMIFS(_CALC_ALLOC!$AL$1:$AL$420,_CALC_ALLOC!$AS$1:$AS$420,"2027|"&amp;$P$1)</f>
        <v>8810446.7356930003</v>
      </c>
      <c r="I97" s="37">
        <f>SUMIFS(_CALC_ALLOC!$AR$1:$AR$420,_CALC_ALLOC!$AS$1:$AS$420,"2027|"&amp;$P$1)</f>
        <v>777795.59999999963</v>
      </c>
      <c r="J97" s="37">
        <f>SUMIFS(_CALC_ALLOC!$AM$1:$AM$420,_CALC_ALLOC!$AS$1:$AS$420,"2027|"&amp;$P$1)</f>
        <v>2894009.9927380029</v>
      </c>
      <c r="K97" s="37">
        <f t="shared" si="2"/>
        <v>20069864.374932997</v>
      </c>
      <c r="L97" s="37">
        <f>SUMIFS(_CALC_ALLOC!$AN$1:$AN$420,_CALC_ALLOC!$AS$1:$AS$420,"2027|"&amp;$P$1)</f>
        <v>6744304.0991050014</v>
      </c>
      <c r="M97" s="38">
        <f t="shared" si="3"/>
        <v>0.25152016575248148</v>
      </c>
      <c r="T97" t="inlineStr">
        <is>
          <t>GROUPE</t>
        </is>
      </c>
      <c r="Z97">
        <v>0</v>
      </c>
      <c r="BF97" t="s">
        <v>122</v>
      </c>
      <c r="BG97" t="s">
        <v>123</v>
      </c>
      <c r="BH97" t="s">
        <v>124</v>
      </c>
      <c r="BI97" t="s">
        <v>161</v>
      </c>
      <c r="BJ97" t="s">
        <v>148</v>
      </c>
      <c r="BK97" t="s">
        <v>144</v>
      </c>
      <c r="BL97" t="s">
        <v>145</v>
      </c>
      <c r="BM97" t="s">
        <v>131</v>
      </c>
      <c r="BN97" t="s">
        <v>130</v>
      </c>
      <c r="BO97">
        <v>55</v>
      </c>
      <c r="BP97">
        <v>2</v>
      </c>
      <c r="BQ97">
        <v>385000</v>
      </c>
      <c r="BR97">
        <v>23536.064299999998</v>
      </c>
      <c r="BS97">
        <v>56685.447042</v>
      </c>
      <c r="BT97">
        <v>20582.946383999999</v>
      </c>
      <c r="BU97">
        <v>129791.15083300001</v>
      </c>
      <c r="BV97">
        <v>9498.5749400000004</v>
      </c>
      <c r="BW97">
        <v>43760.653151999999</v>
      </c>
      <c r="BX97">
        <v>53259.228091999998</v>
      </c>
      <c r="BY97">
        <v>44119.010684000001</v>
      </c>
      <c r="BZ97">
        <v>239735.82596700001</v>
      </c>
      <c r="CA97">
        <v>283854.83665100002</v>
      </c>
      <c r="CB97">
        <v>101145.16334899999</v>
      </c>
      <c r="CC97">
        <v>0</v>
      </c>
      <c r="CD97">
        <v>138275</v>
      </c>
      <c r="CE97">
        <v>333028.5</v>
      </c>
      <c r="CF97">
        <v>104412</v>
      </c>
      <c r="CG97">
        <v>28666</v>
      </c>
      <c r="CH97">
        <v>778750.02</v>
      </c>
      <c r="CI97">
        <v>2760232</v>
      </c>
      <c r="CJ97">
        <v>580167</v>
      </c>
    </row>
    <row r="98" spans="2:88" ht="14.65" thickTop="1" x14ac:dyDescent="0.45">
      <c r="BF98" t="s">
        <v>122</v>
      </c>
      <c r="BG98" t="s">
        <v>123</v>
      </c>
      <c r="BH98" t="s">
        <v>124</v>
      </c>
      <c r="BI98" t="s">
        <v>161</v>
      </c>
      <c r="BJ98" t="s">
        <v>148</v>
      </c>
      <c r="BK98" t="s">
        <v>144</v>
      </c>
      <c r="BL98" t="s">
        <v>145</v>
      </c>
      <c r="BM98" t="s">
        <v>132</v>
      </c>
      <c r="BN98" t="s">
        <v>130</v>
      </c>
      <c r="BO98">
        <v>54</v>
      </c>
      <c r="BP98">
        <v>2</v>
      </c>
      <c r="BQ98">
        <v>378000</v>
      </c>
      <c r="BR98">
        <v>23536.064299999998</v>
      </c>
      <c r="BS98">
        <v>56685.447042</v>
      </c>
      <c r="BT98">
        <v>20208.733776000001</v>
      </c>
      <c r="BU98">
        <v>129791.15083300001</v>
      </c>
      <c r="BV98">
        <v>9498.5749400000004</v>
      </c>
      <c r="BW98">
        <v>43760.653151999999</v>
      </c>
      <c r="BX98">
        <v>53259.228091999998</v>
      </c>
      <c r="BY98">
        <v>43744.798075999999</v>
      </c>
      <c r="BZ98">
        <v>239735.82596700001</v>
      </c>
      <c r="CA98">
        <v>283480.62404299999</v>
      </c>
      <c r="CB98">
        <v>94519.375956999997</v>
      </c>
      <c r="CC98">
        <v>0</v>
      </c>
      <c r="CD98">
        <v>138275</v>
      </c>
      <c r="CE98">
        <v>333028.5</v>
      </c>
      <c r="CF98">
        <v>104412</v>
      </c>
      <c r="CG98">
        <v>28666</v>
      </c>
      <c r="CH98">
        <v>778750.02</v>
      </c>
      <c r="CI98">
        <v>2760232</v>
      </c>
      <c r="CJ98">
        <v>580167</v>
      </c>
    </row>
    <row r="99" spans="2:88" x14ac:dyDescent="0.45">
      <c r="BF99" t="s">
        <v>122</v>
      </c>
      <c r="BG99" t="s">
        <v>123</v>
      </c>
      <c r="BH99" t="s">
        <v>124</v>
      </c>
      <c r="BI99" t="s">
        <v>161</v>
      </c>
      <c r="BJ99" t="s">
        <v>148</v>
      </c>
      <c r="BK99" t="s">
        <v>144</v>
      </c>
      <c r="BL99" t="s">
        <v>146</v>
      </c>
      <c r="BM99" t="s">
        <v>139</v>
      </c>
      <c r="BN99" t="s">
        <v>130</v>
      </c>
      <c r="BO99">
        <v>57</v>
      </c>
      <c r="BP99">
        <v>3</v>
      </c>
      <c r="BQ99">
        <v>432630</v>
      </c>
      <c r="BR99">
        <v>30891.188099999999</v>
      </c>
      <c r="BS99">
        <v>74399.899013999995</v>
      </c>
      <c r="BT99">
        <v>35664.476011999999</v>
      </c>
      <c r="BU99">
        <v>194687.505</v>
      </c>
      <c r="BV99">
        <v>14247.919400999999</v>
      </c>
      <c r="BW99">
        <v>65641.242293000003</v>
      </c>
      <c r="BX99">
        <v>79889.161693999995</v>
      </c>
      <c r="BY99">
        <v>66555.664111999999</v>
      </c>
      <c r="BZ99">
        <v>348976.56570799998</v>
      </c>
      <c r="CA99">
        <v>415532.22982000001</v>
      </c>
      <c r="CB99">
        <v>17097.77018</v>
      </c>
      <c r="CC99">
        <v>57</v>
      </c>
      <c r="CD99">
        <v>138275</v>
      </c>
      <c r="CE99">
        <v>333028.5</v>
      </c>
      <c r="CF99">
        <v>104412</v>
      </c>
      <c r="CG99">
        <v>28666</v>
      </c>
      <c r="CH99">
        <v>778750.02</v>
      </c>
      <c r="CI99">
        <v>2760232</v>
      </c>
      <c r="CJ99">
        <v>580167</v>
      </c>
    </row>
    <row r="100" spans="2:88" x14ac:dyDescent="0.45">
      <c r="BF100" t="s">
        <v>122</v>
      </c>
      <c r="BG100" t="s">
        <v>123</v>
      </c>
      <c r="BH100" t="s">
        <v>124</v>
      </c>
      <c r="BI100" t="s">
        <v>161</v>
      </c>
      <c r="BJ100" t="s">
        <v>148</v>
      </c>
      <c r="BK100" t="s">
        <v>144</v>
      </c>
      <c r="BL100" t="s">
        <v>146</v>
      </c>
      <c r="BM100" t="s">
        <v>140</v>
      </c>
      <c r="BN100" t="s">
        <v>130</v>
      </c>
      <c r="BO100">
        <v>56</v>
      </c>
      <c r="BP100">
        <v>3</v>
      </c>
      <c r="BQ100">
        <v>420000</v>
      </c>
      <c r="BR100">
        <v>30891.188099999999</v>
      </c>
      <c r="BS100">
        <v>74399.899013999995</v>
      </c>
      <c r="BT100">
        <v>20957.158992000001</v>
      </c>
      <c r="BU100">
        <v>194687.505</v>
      </c>
      <c r="BV100">
        <v>14247.919400999999</v>
      </c>
      <c r="BW100">
        <v>65641.242293000003</v>
      </c>
      <c r="BX100">
        <v>79889.161693999995</v>
      </c>
      <c r="BY100">
        <v>51848.347092000004</v>
      </c>
      <c r="BZ100">
        <v>348976.56570799998</v>
      </c>
      <c r="CA100">
        <v>400824.91279999999</v>
      </c>
      <c r="CB100">
        <v>19175.087200000002</v>
      </c>
      <c r="CC100">
        <v>0</v>
      </c>
      <c r="CD100">
        <v>138275</v>
      </c>
      <c r="CE100">
        <v>333028.5</v>
      </c>
      <c r="CF100">
        <v>104412</v>
      </c>
      <c r="CG100">
        <v>28666</v>
      </c>
      <c r="CH100">
        <v>778750.02</v>
      </c>
      <c r="CI100">
        <v>2760232</v>
      </c>
      <c r="CJ100">
        <v>580167</v>
      </c>
    </row>
    <row r="101" spans="2:88" x14ac:dyDescent="0.45">
      <c r="BF101" t="s">
        <v>122</v>
      </c>
      <c r="BG101" t="s">
        <v>123</v>
      </c>
      <c r="BH101" t="s">
        <v>124</v>
      </c>
      <c r="BI101" t="s">
        <v>161</v>
      </c>
      <c r="BJ101" t="s">
        <v>149</v>
      </c>
      <c r="BK101" t="s">
        <v>144</v>
      </c>
      <c r="BL101" t="s">
        <v>145</v>
      </c>
      <c r="BM101" t="s">
        <v>129</v>
      </c>
      <c r="BN101" t="s">
        <v>137</v>
      </c>
      <c r="BO101">
        <v>74</v>
      </c>
      <c r="BP101">
        <v>3</v>
      </c>
      <c r="BQ101">
        <v>628260</v>
      </c>
      <c r="BR101">
        <v>43211</v>
      </c>
      <c r="BS101">
        <v>121216.60249999999</v>
      </c>
      <c r="BT101">
        <v>58773.503635000001</v>
      </c>
      <c r="BU101">
        <v>232782.046</v>
      </c>
      <c r="BV101">
        <v>14789.210407</v>
      </c>
      <c r="BW101">
        <v>68135.010897999993</v>
      </c>
      <c r="BX101">
        <v>82924.221304999999</v>
      </c>
      <c r="BY101">
        <v>101984.503635</v>
      </c>
      <c r="BZ101">
        <v>436922.86980500002</v>
      </c>
      <c r="CA101">
        <v>538907.37344</v>
      </c>
      <c r="CB101">
        <v>89352.626560000004</v>
      </c>
      <c r="CC101">
        <v>74</v>
      </c>
      <c r="CD101">
        <v>172844</v>
      </c>
      <c r="CE101">
        <v>484866.41</v>
      </c>
      <c r="CF101">
        <v>135665</v>
      </c>
      <c r="CG101">
        <v>62082</v>
      </c>
      <c r="CH101">
        <v>1163910.23</v>
      </c>
      <c r="CI101">
        <v>2760232</v>
      </c>
      <c r="CJ101">
        <v>580167</v>
      </c>
    </row>
    <row r="102" spans="2:88" x14ac:dyDescent="0.45">
      <c r="BF102" t="s">
        <v>122</v>
      </c>
      <c r="BG102" t="s">
        <v>123</v>
      </c>
      <c r="BH102" t="s">
        <v>124</v>
      </c>
      <c r="BI102" t="s">
        <v>161</v>
      </c>
      <c r="BJ102" t="s">
        <v>149</v>
      </c>
      <c r="BK102" t="s">
        <v>144</v>
      </c>
      <c r="BL102" t="s">
        <v>145</v>
      </c>
      <c r="BM102" t="s">
        <v>131</v>
      </c>
      <c r="BN102" t="s">
        <v>130</v>
      </c>
      <c r="BO102">
        <v>72</v>
      </c>
      <c r="BP102">
        <v>3</v>
      </c>
      <c r="BQ102">
        <v>564480</v>
      </c>
      <c r="BR102">
        <v>34568.800000000003</v>
      </c>
      <c r="BS102">
        <v>96973.282000000007</v>
      </c>
      <c r="BT102">
        <v>26983.090175000001</v>
      </c>
      <c r="BU102">
        <v>232782.046</v>
      </c>
      <c r="BV102">
        <v>14789.210407</v>
      </c>
      <c r="BW102">
        <v>68135.010897999993</v>
      </c>
      <c r="BX102">
        <v>82924.221304999999</v>
      </c>
      <c r="BY102">
        <v>61551.890175</v>
      </c>
      <c r="BZ102">
        <v>412679.54930499999</v>
      </c>
      <c r="CA102">
        <v>474231.43948</v>
      </c>
      <c r="CB102">
        <v>90248.560519999999</v>
      </c>
      <c r="CC102">
        <v>0</v>
      </c>
      <c r="CD102">
        <v>172844</v>
      </c>
      <c r="CE102">
        <v>484866.41</v>
      </c>
      <c r="CF102">
        <v>135665</v>
      </c>
      <c r="CG102">
        <v>62082</v>
      </c>
      <c r="CH102">
        <v>1163910.23</v>
      </c>
      <c r="CI102">
        <v>2760232</v>
      </c>
      <c r="CJ102">
        <v>580167</v>
      </c>
    </row>
    <row r="103" spans="2:88" x14ac:dyDescent="0.45">
      <c r="BF103" t="s">
        <v>122</v>
      </c>
      <c r="BG103" t="s">
        <v>123</v>
      </c>
      <c r="BH103" t="s">
        <v>124</v>
      </c>
      <c r="BI103" t="s">
        <v>161</v>
      </c>
      <c r="BJ103" t="s">
        <v>149</v>
      </c>
      <c r="BK103" t="s">
        <v>144</v>
      </c>
      <c r="BL103" t="s">
        <v>145</v>
      </c>
      <c r="BM103" t="s">
        <v>132</v>
      </c>
      <c r="BN103" t="s">
        <v>130</v>
      </c>
      <c r="BO103">
        <v>70</v>
      </c>
      <c r="BP103">
        <v>3</v>
      </c>
      <c r="BQ103">
        <v>548800</v>
      </c>
      <c r="BR103">
        <v>34568.800000000003</v>
      </c>
      <c r="BS103">
        <v>96973.282000000007</v>
      </c>
      <c r="BT103">
        <v>26233.54105</v>
      </c>
      <c r="BU103">
        <v>232782.046</v>
      </c>
      <c r="BV103">
        <v>14789.210407</v>
      </c>
      <c r="BW103">
        <v>68135.010897999993</v>
      </c>
      <c r="BX103">
        <v>82924.221304999999</v>
      </c>
      <c r="BY103">
        <v>60802.341050000003</v>
      </c>
      <c r="BZ103">
        <v>412679.54930499999</v>
      </c>
      <c r="CA103">
        <v>473481.89035499998</v>
      </c>
      <c r="CB103">
        <v>75318.109645000004</v>
      </c>
      <c r="CC103">
        <v>0</v>
      </c>
      <c r="CD103">
        <v>172844</v>
      </c>
      <c r="CE103">
        <v>484866.41</v>
      </c>
      <c r="CF103">
        <v>135665</v>
      </c>
      <c r="CG103">
        <v>62082</v>
      </c>
      <c r="CH103">
        <v>1163910.23</v>
      </c>
      <c r="CI103">
        <v>2760232</v>
      </c>
      <c r="CJ103">
        <v>580167</v>
      </c>
    </row>
    <row r="104" spans="2:88" x14ac:dyDescent="0.45">
      <c r="BF104" t="s">
        <v>122</v>
      </c>
      <c r="BG104" t="s">
        <v>123</v>
      </c>
      <c r="BH104" t="s">
        <v>124</v>
      </c>
      <c r="BI104" t="s">
        <v>161</v>
      </c>
      <c r="BJ104" t="s">
        <v>149</v>
      </c>
      <c r="BK104" t="s">
        <v>144</v>
      </c>
      <c r="BL104" t="s">
        <v>146</v>
      </c>
      <c r="BM104" t="s">
        <v>139</v>
      </c>
      <c r="BN104" t="s">
        <v>130</v>
      </c>
      <c r="BO104">
        <v>74</v>
      </c>
      <c r="BP104">
        <v>3</v>
      </c>
      <c r="BQ104">
        <v>628260</v>
      </c>
      <c r="BR104">
        <v>30247.7</v>
      </c>
      <c r="BS104">
        <v>84851.621750000006</v>
      </c>
      <c r="BT104">
        <v>58773.503635000001</v>
      </c>
      <c r="BU104">
        <v>232782.046</v>
      </c>
      <c r="BV104">
        <v>14789.210407</v>
      </c>
      <c r="BW104">
        <v>68135.010897999993</v>
      </c>
      <c r="BX104">
        <v>82924.221304999999</v>
      </c>
      <c r="BY104">
        <v>89021.203634999998</v>
      </c>
      <c r="BZ104">
        <v>400557.88905499998</v>
      </c>
      <c r="CA104">
        <v>489579.09269000002</v>
      </c>
      <c r="CB104">
        <v>138680.90731000001</v>
      </c>
      <c r="CC104">
        <v>74</v>
      </c>
      <c r="CD104">
        <v>172844</v>
      </c>
      <c r="CE104">
        <v>484866.41</v>
      </c>
      <c r="CF104">
        <v>135665</v>
      </c>
      <c r="CG104">
        <v>62082</v>
      </c>
      <c r="CH104">
        <v>1163910.23</v>
      </c>
      <c r="CI104">
        <v>2760232</v>
      </c>
      <c r="CJ104">
        <v>580167</v>
      </c>
    </row>
    <row r="105" spans="2:88" x14ac:dyDescent="0.45">
      <c r="BF105" t="s">
        <v>122</v>
      </c>
      <c r="BG105" t="s">
        <v>123</v>
      </c>
      <c r="BH105" t="s">
        <v>124</v>
      </c>
      <c r="BI105" t="s">
        <v>161</v>
      </c>
      <c r="BJ105" t="s">
        <v>149</v>
      </c>
      <c r="BK105" t="s">
        <v>144</v>
      </c>
      <c r="BL105" t="s">
        <v>146</v>
      </c>
      <c r="BM105" t="s">
        <v>140</v>
      </c>
      <c r="BN105" t="s">
        <v>130</v>
      </c>
      <c r="BO105">
        <v>72</v>
      </c>
      <c r="BP105">
        <v>3</v>
      </c>
      <c r="BQ105">
        <v>604800</v>
      </c>
      <c r="BR105">
        <v>30247.7</v>
      </c>
      <c r="BS105">
        <v>84851.621750000006</v>
      </c>
      <c r="BT105">
        <v>26983.090175000001</v>
      </c>
      <c r="BU105">
        <v>232782.046</v>
      </c>
      <c r="BV105">
        <v>14789.210407</v>
      </c>
      <c r="BW105">
        <v>68135.010897999993</v>
      </c>
      <c r="BX105">
        <v>82924.221304999999</v>
      </c>
      <c r="BY105">
        <v>57230.790175000002</v>
      </c>
      <c r="BZ105">
        <v>400557.88905499998</v>
      </c>
      <c r="CA105">
        <v>457788.67923000001</v>
      </c>
      <c r="CB105">
        <v>147011.32076999999</v>
      </c>
      <c r="CC105">
        <v>0</v>
      </c>
      <c r="CD105">
        <v>172844</v>
      </c>
      <c r="CE105">
        <v>484866.41</v>
      </c>
      <c r="CF105">
        <v>135665</v>
      </c>
      <c r="CG105">
        <v>62082</v>
      </c>
      <c r="CH105">
        <v>1163910.23</v>
      </c>
      <c r="CI105">
        <v>2760232</v>
      </c>
      <c r="CJ105">
        <v>580167</v>
      </c>
    </row>
    <row r="106" spans="2:88" x14ac:dyDescent="0.45">
      <c r="BF106" t="s">
        <v>122</v>
      </c>
      <c r="BG106" t="s">
        <v>123</v>
      </c>
      <c r="BH106" t="s">
        <v>124</v>
      </c>
      <c r="BI106" t="s">
        <v>161</v>
      </c>
      <c r="BJ106" t="s">
        <v>150</v>
      </c>
      <c r="BK106" t="s">
        <v>151</v>
      </c>
      <c r="BL106" t="s">
        <v>155</v>
      </c>
      <c r="BM106" t="s">
        <v>131</v>
      </c>
      <c r="BN106" t="s">
        <v>130</v>
      </c>
      <c r="BO106">
        <v>33</v>
      </c>
      <c r="BP106">
        <v>2</v>
      </c>
      <c r="BQ106">
        <v>224070</v>
      </c>
      <c r="BR106">
        <v>15580.217562</v>
      </c>
      <c r="BS106">
        <v>29598.331679999999</v>
      </c>
      <c r="BT106">
        <v>10025.23185</v>
      </c>
      <c r="BU106">
        <v>66715.604000000007</v>
      </c>
      <c r="BV106">
        <v>5958.5061310000001</v>
      </c>
      <c r="BW106">
        <v>31244.255539000002</v>
      </c>
      <c r="BX106">
        <v>37202.76167</v>
      </c>
      <c r="BY106">
        <v>25605.449412000002</v>
      </c>
      <c r="BZ106">
        <v>133516.69735</v>
      </c>
      <c r="CA106">
        <v>159122.14676199999</v>
      </c>
      <c r="CB106">
        <v>64947.853238000003</v>
      </c>
      <c r="CC106">
        <v>0</v>
      </c>
      <c r="CD106">
        <v>92183</v>
      </c>
      <c r="CE106">
        <v>175123.55</v>
      </c>
      <c r="CF106">
        <v>50430</v>
      </c>
      <c r="CG106">
        <v>19971</v>
      </c>
      <c r="CH106">
        <v>333578.02</v>
      </c>
      <c r="CI106">
        <v>2760232</v>
      </c>
      <c r="CJ106">
        <v>580167</v>
      </c>
    </row>
    <row r="107" spans="2:88" x14ac:dyDescent="0.45">
      <c r="BF107" t="s">
        <v>122</v>
      </c>
      <c r="BG107" t="s">
        <v>123</v>
      </c>
      <c r="BH107" t="s">
        <v>124</v>
      </c>
      <c r="BI107" t="s">
        <v>161</v>
      </c>
      <c r="BJ107" t="s">
        <v>150</v>
      </c>
      <c r="BK107" t="s">
        <v>151</v>
      </c>
      <c r="BL107" t="s">
        <v>152</v>
      </c>
      <c r="BM107" t="s">
        <v>153</v>
      </c>
      <c r="BN107" t="s">
        <v>130</v>
      </c>
      <c r="BO107">
        <v>34</v>
      </c>
      <c r="BP107">
        <v>2</v>
      </c>
      <c r="BQ107">
        <v>200940</v>
      </c>
      <c r="BR107">
        <v>22721.081473999999</v>
      </c>
      <c r="BS107">
        <v>43164.102357000003</v>
      </c>
      <c r="BT107">
        <v>20314.52217</v>
      </c>
      <c r="BU107">
        <v>66715.604000000007</v>
      </c>
      <c r="BV107">
        <v>5958.5061310000001</v>
      </c>
      <c r="BW107">
        <v>31244.255539000002</v>
      </c>
      <c r="BX107">
        <v>37202.76167</v>
      </c>
      <c r="BY107">
        <v>43035.603644000003</v>
      </c>
      <c r="BZ107">
        <v>147082.468027</v>
      </c>
      <c r="CA107">
        <v>190118.07167100001</v>
      </c>
      <c r="CB107">
        <v>10821.928329</v>
      </c>
      <c r="CC107">
        <v>34</v>
      </c>
      <c r="CD107">
        <v>92183</v>
      </c>
      <c r="CE107">
        <v>175123.55</v>
      </c>
      <c r="CF107">
        <v>50430</v>
      </c>
      <c r="CG107">
        <v>19971</v>
      </c>
      <c r="CH107">
        <v>333578.02</v>
      </c>
      <c r="CI107">
        <v>2760232</v>
      </c>
      <c r="CJ107">
        <v>580167</v>
      </c>
    </row>
    <row r="108" spans="2:88" x14ac:dyDescent="0.45">
      <c r="BF108" t="s">
        <v>122</v>
      </c>
      <c r="BG108" t="s">
        <v>123</v>
      </c>
      <c r="BH108" t="s">
        <v>124</v>
      </c>
      <c r="BI108" t="s">
        <v>161</v>
      </c>
      <c r="BJ108" t="s">
        <v>150</v>
      </c>
      <c r="BK108" t="s">
        <v>151</v>
      </c>
      <c r="BL108" t="s">
        <v>152</v>
      </c>
      <c r="BM108" t="s">
        <v>154</v>
      </c>
      <c r="BN108" t="s">
        <v>130</v>
      </c>
      <c r="BO108">
        <v>33</v>
      </c>
      <c r="BP108">
        <v>2</v>
      </c>
      <c r="BQ108">
        <v>192060</v>
      </c>
      <c r="BR108">
        <v>22721.081473999999</v>
      </c>
      <c r="BS108">
        <v>43164.102357000003</v>
      </c>
      <c r="BT108">
        <v>10025.23185</v>
      </c>
      <c r="BU108">
        <v>66715.604000000007</v>
      </c>
      <c r="BV108">
        <v>5958.5061310000001</v>
      </c>
      <c r="BW108">
        <v>31244.255539000002</v>
      </c>
      <c r="BX108">
        <v>37202.76167</v>
      </c>
      <c r="BY108">
        <v>32746.313323999999</v>
      </c>
      <c r="BZ108">
        <v>147082.468027</v>
      </c>
      <c r="CA108">
        <v>179828.78135100001</v>
      </c>
      <c r="CB108">
        <v>12231.218649</v>
      </c>
      <c r="CC108">
        <v>0</v>
      </c>
      <c r="CD108">
        <v>92183</v>
      </c>
      <c r="CE108">
        <v>175123.55</v>
      </c>
      <c r="CF108">
        <v>50430</v>
      </c>
      <c r="CG108">
        <v>19971</v>
      </c>
      <c r="CH108">
        <v>333578.02</v>
      </c>
      <c r="CI108">
        <v>2760232</v>
      </c>
      <c r="CJ108">
        <v>580167</v>
      </c>
    </row>
    <row r="109" spans="2:88" x14ac:dyDescent="0.45">
      <c r="BF109" t="s">
        <v>122</v>
      </c>
      <c r="BG109" t="s">
        <v>123</v>
      </c>
      <c r="BH109" t="s">
        <v>124</v>
      </c>
      <c r="BI109" t="s">
        <v>161</v>
      </c>
      <c r="BJ109" t="s">
        <v>150</v>
      </c>
      <c r="BK109" t="s">
        <v>151</v>
      </c>
      <c r="BL109" t="s">
        <v>155</v>
      </c>
      <c r="BM109" t="s">
        <v>129</v>
      </c>
      <c r="BN109" t="s">
        <v>130</v>
      </c>
      <c r="BO109">
        <v>34</v>
      </c>
      <c r="BP109">
        <v>2</v>
      </c>
      <c r="BQ109">
        <v>233920</v>
      </c>
      <c r="BR109">
        <v>15580.217562</v>
      </c>
      <c r="BS109">
        <v>29598.331679999999</v>
      </c>
      <c r="BT109">
        <v>20314.52217</v>
      </c>
      <c r="BU109">
        <v>66715.604000000007</v>
      </c>
      <c r="BV109">
        <v>5958.5061310000001</v>
      </c>
      <c r="BW109">
        <v>31244.255539000002</v>
      </c>
      <c r="BX109">
        <v>37202.76167</v>
      </c>
      <c r="BY109">
        <v>35894.739732000002</v>
      </c>
      <c r="BZ109">
        <v>133516.69735</v>
      </c>
      <c r="CA109">
        <v>169411.43708199999</v>
      </c>
      <c r="CB109">
        <v>64508.562918000003</v>
      </c>
      <c r="CC109">
        <v>34</v>
      </c>
      <c r="CD109">
        <v>92183</v>
      </c>
      <c r="CE109">
        <v>175123.55</v>
      </c>
      <c r="CF109">
        <v>50430</v>
      </c>
      <c r="CG109">
        <v>19971</v>
      </c>
      <c r="CH109">
        <v>333578.02</v>
      </c>
      <c r="CI109">
        <v>2760232</v>
      </c>
      <c r="CJ109">
        <v>580167</v>
      </c>
    </row>
    <row r="110" spans="2:88" x14ac:dyDescent="0.45">
      <c r="BF110" t="s">
        <v>122</v>
      </c>
      <c r="BG110" t="s">
        <v>123</v>
      </c>
      <c r="BH110" t="s">
        <v>124</v>
      </c>
      <c r="BI110" t="s">
        <v>161</v>
      </c>
      <c r="BJ110" t="s">
        <v>150</v>
      </c>
      <c r="BK110" t="s">
        <v>151</v>
      </c>
      <c r="BL110" t="s">
        <v>155</v>
      </c>
      <c r="BM110" t="s">
        <v>132</v>
      </c>
      <c r="BN110" t="s">
        <v>130</v>
      </c>
      <c r="BO110">
        <v>32</v>
      </c>
      <c r="BP110">
        <v>2</v>
      </c>
      <c r="BQ110">
        <v>217280</v>
      </c>
      <c r="BR110">
        <v>15580.217562</v>
      </c>
      <c r="BS110">
        <v>29598.331679999999</v>
      </c>
      <c r="BT110">
        <v>9721.4415300000001</v>
      </c>
      <c r="BU110">
        <v>66715.604000000007</v>
      </c>
      <c r="BV110">
        <v>5958.5061310000001</v>
      </c>
      <c r="BW110">
        <v>31244.255539000002</v>
      </c>
      <c r="BX110">
        <v>37202.76167</v>
      </c>
      <c r="BY110">
        <v>25301.659092000002</v>
      </c>
      <c r="BZ110">
        <v>133516.69735</v>
      </c>
      <c r="CA110">
        <v>158818.35644199999</v>
      </c>
      <c r="CB110">
        <v>58461.643558000003</v>
      </c>
      <c r="CC110">
        <v>0</v>
      </c>
      <c r="CD110">
        <v>92183</v>
      </c>
      <c r="CE110">
        <v>175123.55</v>
      </c>
      <c r="CF110">
        <v>50430</v>
      </c>
      <c r="CG110">
        <v>19971</v>
      </c>
      <c r="CH110">
        <v>333578.02</v>
      </c>
      <c r="CI110">
        <v>2760232</v>
      </c>
      <c r="CJ110">
        <v>580167</v>
      </c>
    </row>
    <row r="111" spans="2:88" x14ac:dyDescent="0.45">
      <c r="BF111" t="s">
        <v>122</v>
      </c>
      <c r="BG111" t="s">
        <v>123</v>
      </c>
      <c r="BH111" t="s">
        <v>124</v>
      </c>
      <c r="BI111" t="s">
        <v>161</v>
      </c>
      <c r="BJ111" t="s">
        <v>156</v>
      </c>
      <c r="BK111" t="s">
        <v>151</v>
      </c>
      <c r="BL111" t="s">
        <v>155</v>
      </c>
      <c r="BM111" t="s">
        <v>132</v>
      </c>
      <c r="BN111" t="s">
        <v>130</v>
      </c>
      <c r="BO111">
        <v>41</v>
      </c>
      <c r="BP111">
        <v>2</v>
      </c>
      <c r="BQ111">
        <v>301350</v>
      </c>
      <c r="BR111">
        <v>15580.217562</v>
      </c>
      <c r="BS111">
        <v>38579.497329999998</v>
      </c>
      <c r="BT111">
        <v>12559.550432</v>
      </c>
      <c r="BU111">
        <v>101621.484</v>
      </c>
      <c r="BV111">
        <v>7573.7595780000001</v>
      </c>
      <c r="BW111">
        <v>39714.06162</v>
      </c>
      <c r="BX111">
        <v>47287.821197999998</v>
      </c>
      <c r="BY111">
        <v>28139.767994000002</v>
      </c>
      <c r="BZ111">
        <v>187488.802528</v>
      </c>
      <c r="CA111">
        <v>215628.57052199999</v>
      </c>
      <c r="CB111">
        <v>85721.429478000005</v>
      </c>
      <c r="CC111">
        <v>0</v>
      </c>
      <c r="CD111">
        <v>92183</v>
      </c>
      <c r="CE111">
        <v>228262.14</v>
      </c>
      <c r="CF111">
        <v>64636</v>
      </c>
      <c r="CG111">
        <v>33284</v>
      </c>
      <c r="CH111">
        <v>508107.42</v>
      </c>
      <c r="CI111">
        <v>2760232</v>
      </c>
      <c r="CJ111">
        <v>580167</v>
      </c>
    </row>
    <row r="112" spans="2:88" x14ac:dyDescent="0.45">
      <c r="BF112" t="s">
        <v>122</v>
      </c>
      <c r="BG112" t="s">
        <v>123</v>
      </c>
      <c r="BH112" t="s">
        <v>124</v>
      </c>
      <c r="BI112" t="s">
        <v>161</v>
      </c>
      <c r="BJ112" t="s">
        <v>156</v>
      </c>
      <c r="BK112" t="s">
        <v>151</v>
      </c>
      <c r="BL112" t="s">
        <v>152</v>
      </c>
      <c r="BM112" t="s">
        <v>153</v>
      </c>
      <c r="BN112" t="s">
        <v>130</v>
      </c>
      <c r="BO112">
        <v>43</v>
      </c>
      <c r="BP112">
        <v>2</v>
      </c>
      <c r="BQ112">
        <v>274770</v>
      </c>
      <c r="BR112">
        <v>22721.081473999999</v>
      </c>
      <c r="BS112">
        <v>56261.595742999998</v>
      </c>
      <c r="BT112">
        <v>29814.235076000001</v>
      </c>
      <c r="BU112">
        <v>101621.484</v>
      </c>
      <c r="BV112">
        <v>7573.7595780000001</v>
      </c>
      <c r="BW112">
        <v>39714.06162</v>
      </c>
      <c r="BX112">
        <v>47287.821197999998</v>
      </c>
      <c r="BY112">
        <v>52535.316550000003</v>
      </c>
      <c r="BZ112">
        <v>205170.900941</v>
      </c>
      <c r="CA112">
        <v>257706.21749099999</v>
      </c>
      <c r="CB112">
        <v>17063.782509000001</v>
      </c>
      <c r="CC112">
        <v>43</v>
      </c>
      <c r="CD112">
        <v>92183</v>
      </c>
      <c r="CE112">
        <v>228262.14</v>
      </c>
      <c r="CF112">
        <v>64636</v>
      </c>
      <c r="CG112">
        <v>33284</v>
      </c>
      <c r="CH112">
        <v>508107.42</v>
      </c>
      <c r="CI112">
        <v>2760232</v>
      </c>
      <c r="CJ112">
        <v>580167</v>
      </c>
    </row>
    <row r="113" spans="58:88" x14ac:dyDescent="0.45">
      <c r="BF113" t="s">
        <v>122</v>
      </c>
      <c r="BG113" t="s">
        <v>123</v>
      </c>
      <c r="BH113" t="s">
        <v>124</v>
      </c>
      <c r="BI113" t="s">
        <v>161</v>
      </c>
      <c r="BJ113" t="s">
        <v>156</v>
      </c>
      <c r="BK113" t="s">
        <v>151</v>
      </c>
      <c r="BL113" t="s">
        <v>152</v>
      </c>
      <c r="BM113" t="s">
        <v>154</v>
      </c>
      <c r="BN113" t="s">
        <v>130</v>
      </c>
      <c r="BO113">
        <v>42</v>
      </c>
      <c r="BP113">
        <v>2</v>
      </c>
      <c r="BQ113">
        <v>264600</v>
      </c>
      <c r="BR113">
        <v>22721.081473999999</v>
      </c>
      <c r="BS113">
        <v>56261.595742999998</v>
      </c>
      <c r="BT113">
        <v>12865.925072</v>
      </c>
      <c r="BU113">
        <v>101621.484</v>
      </c>
      <c r="BV113">
        <v>7573.7595780000001</v>
      </c>
      <c r="BW113">
        <v>39714.06162</v>
      </c>
      <c r="BX113">
        <v>47287.821197999998</v>
      </c>
      <c r="BY113">
        <v>35587.006545999997</v>
      </c>
      <c r="BZ113">
        <v>205170.900941</v>
      </c>
      <c r="CA113">
        <v>240757.90748699999</v>
      </c>
      <c r="CB113">
        <v>23842.092513</v>
      </c>
      <c r="CC113">
        <v>0</v>
      </c>
      <c r="CD113">
        <v>92183</v>
      </c>
      <c r="CE113">
        <v>228262.14</v>
      </c>
      <c r="CF113">
        <v>64636</v>
      </c>
      <c r="CG113">
        <v>33284</v>
      </c>
      <c r="CH113">
        <v>508107.42</v>
      </c>
      <c r="CI113">
        <v>2760232</v>
      </c>
      <c r="CJ113">
        <v>580167</v>
      </c>
    </row>
    <row r="114" spans="58:88" x14ac:dyDescent="0.45">
      <c r="BF114" t="s">
        <v>122</v>
      </c>
      <c r="BG114" t="s">
        <v>123</v>
      </c>
      <c r="BH114" t="s">
        <v>124</v>
      </c>
      <c r="BI114" t="s">
        <v>161</v>
      </c>
      <c r="BJ114" t="s">
        <v>156</v>
      </c>
      <c r="BK114" t="s">
        <v>151</v>
      </c>
      <c r="BL114" t="s">
        <v>155</v>
      </c>
      <c r="BM114" t="s">
        <v>129</v>
      </c>
      <c r="BN114" t="s">
        <v>130</v>
      </c>
      <c r="BO114">
        <v>43</v>
      </c>
      <c r="BP114">
        <v>2</v>
      </c>
      <c r="BQ114">
        <v>319920</v>
      </c>
      <c r="BR114">
        <v>15580.217562</v>
      </c>
      <c r="BS114">
        <v>38579.497329999998</v>
      </c>
      <c r="BT114">
        <v>29814.235076000001</v>
      </c>
      <c r="BU114">
        <v>101621.484</v>
      </c>
      <c r="BV114">
        <v>7573.7595780000001</v>
      </c>
      <c r="BW114">
        <v>39714.06162</v>
      </c>
      <c r="BX114">
        <v>47287.821197999998</v>
      </c>
      <c r="BY114">
        <v>45394.452638000002</v>
      </c>
      <c r="BZ114">
        <v>187488.802528</v>
      </c>
      <c r="CA114">
        <v>232883.25516599999</v>
      </c>
      <c r="CB114">
        <v>87036.744833999997</v>
      </c>
      <c r="CC114">
        <v>43</v>
      </c>
      <c r="CD114">
        <v>92183</v>
      </c>
      <c r="CE114">
        <v>228262.14</v>
      </c>
      <c r="CF114">
        <v>64636</v>
      </c>
      <c r="CG114">
        <v>33284</v>
      </c>
      <c r="CH114">
        <v>508107.42</v>
      </c>
      <c r="CI114">
        <v>2760232</v>
      </c>
      <c r="CJ114">
        <v>580167</v>
      </c>
    </row>
    <row r="115" spans="58:88" x14ac:dyDescent="0.45">
      <c r="BF115" t="s">
        <v>122</v>
      </c>
      <c r="BG115" t="s">
        <v>123</v>
      </c>
      <c r="BH115" t="s">
        <v>124</v>
      </c>
      <c r="BI115" t="s">
        <v>161</v>
      </c>
      <c r="BJ115" t="s">
        <v>156</v>
      </c>
      <c r="BK115" t="s">
        <v>151</v>
      </c>
      <c r="BL115" t="s">
        <v>155</v>
      </c>
      <c r="BM115" t="s">
        <v>131</v>
      </c>
      <c r="BN115" t="s">
        <v>130</v>
      </c>
      <c r="BO115">
        <v>42</v>
      </c>
      <c r="BP115">
        <v>2</v>
      </c>
      <c r="BQ115">
        <v>308700</v>
      </c>
      <c r="BR115">
        <v>15580.217562</v>
      </c>
      <c r="BS115">
        <v>38579.497329999998</v>
      </c>
      <c r="BT115">
        <v>12865.925072</v>
      </c>
      <c r="BU115">
        <v>101621.484</v>
      </c>
      <c r="BV115">
        <v>7573.7595780000001</v>
      </c>
      <c r="BW115">
        <v>39714.06162</v>
      </c>
      <c r="BX115">
        <v>47287.821197999998</v>
      </c>
      <c r="BY115">
        <v>28446.142634</v>
      </c>
      <c r="BZ115">
        <v>187488.802528</v>
      </c>
      <c r="CA115">
        <v>215934.94516199999</v>
      </c>
      <c r="CB115">
        <v>92765.054837999996</v>
      </c>
      <c r="CC115">
        <v>0</v>
      </c>
      <c r="CD115">
        <v>92183</v>
      </c>
      <c r="CE115">
        <v>228262.14</v>
      </c>
      <c r="CF115">
        <v>64636</v>
      </c>
      <c r="CG115">
        <v>33284</v>
      </c>
      <c r="CH115">
        <v>508107.42</v>
      </c>
      <c r="CI115">
        <v>2760232</v>
      </c>
      <c r="CJ115">
        <v>580167</v>
      </c>
    </row>
    <row r="116" spans="58:88" x14ac:dyDescent="0.45">
      <c r="BF116" t="s">
        <v>122</v>
      </c>
      <c r="BG116" t="s">
        <v>123</v>
      </c>
      <c r="BH116" t="s">
        <v>124</v>
      </c>
      <c r="BI116" t="s">
        <v>161</v>
      </c>
      <c r="BJ116" t="s">
        <v>157</v>
      </c>
      <c r="BK116" t="s">
        <v>158</v>
      </c>
      <c r="BL116" t="s">
        <v>159</v>
      </c>
      <c r="BM116" t="s">
        <v>129</v>
      </c>
      <c r="BN116" t="s">
        <v>130</v>
      </c>
      <c r="BO116">
        <v>38</v>
      </c>
      <c r="BP116">
        <v>2</v>
      </c>
      <c r="BQ116">
        <v>282720</v>
      </c>
      <c r="BR116">
        <v>23045.643620999999</v>
      </c>
      <c r="BS116">
        <v>57888.768777999998</v>
      </c>
      <c r="BT116">
        <v>31360.994783999999</v>
      </c>
      <c r="BU116">
        <v>116774.116559</v>
      </c>
      <c r="BV116">
        <v>7541.2400260000004</v>
      </c>
      <c r="BW116">
        <v>34820.280358999997</v>
      </c>
      <c r="BX116">
        <v>42361.520385000003</v>
      </c>
      <c r="BY116">
        <v>54406.638404999998</v>
      </c>
      <c r="BZ116">
        <v>217024.405722</v>
      </c>
      <c r="CA116">
        <v>271431.04412699997</v>
      </c>
      <c r="CB116">
        <v>11288.955873000001</v>
      </c>
      <c r="CC116">
        <v>38</v>
      </c>
      <c r="CD116">
        <v>69137</v>
      </c>
      <c r="CE116">
        <v>173666.48</v>
      </c>
      <c r="CF116">
        <v>41552</v>
      </c>
      <c r="CG116">
        <v>17136</v>
      </c>
      <c r="CH116">
        <v>350322.7</v>
      </c>
      <c r="CI116">
        <v>2760232</v>
      </c>
      <c r="CJ116">
        <v>580167</v>
      </c>
    </row>
    <row r="117" spans="58:88" x14ac:dyDescent="0.45">
      <c r="BF117" t="s">
        <v>122</v>
      </c>
      <c r="BG117" t="s">
        <v>123</v>
      </c>
      <c r="BH117" t="s">
        <v>124</v>
      </c>
      <c r="BI117" t="s">
        <v>161</v>
      </c>
      <c r="BJ117" t="s">
        <v>157</v>
      </c>
      <c r="BK117" t="s">
        <v>158</v>
      </c>
      <c r="BL117" t="s">
        <v>159</v>
      </c>
      <c r="BM117" t="s">
        <v>131</v>
      </c>
      <c r="BN117" t="s">
        <v>130</v>
      </c>
      <c r="BO117">
        <v>37</v>
      </c>
      <c r="BP117">
        <v>2</v>
      </c>
      <c r="BQ117">
        <v>271950</v>
      </c>
      <c r="BR117">
        <v>23045.643620999999</v>
      </c>
      <c r="BS117">
        <v>57888.768777999998</v>
      </c>
      <c r="BT117">
        <v>13850.652816</v>
      </c>
      <c r="BU117">
        <v>116774.116559</v>
      </c>
      <c r="BV117">
        <v>7541.2400260000004</v>
      </c>
      <c r="BW117">
        <v>34820.280358999997</v>
      </c>
      <c r="BX117">
        <v>42361.520385000003</v>
      </c>
      <c r="BY117">
        <v>36896.296436999997</v>
      </c>
      <c r="BZ117">
        <v>217024.405722</v>
      </c>
      <c r="CA117">
        <v>253920.70215900001</v>
      </c>
      <c r="CB117">
        <v>18029.297841</v>
      </c>
      <c r="CC117">
        <v>0</v>
      </c>
      <c r="CD117">
        <v>69137</v>
      </c>
      <c r="CE117">
        <v>173666.48</v>
      </c>
      <c r="CF117">
        <v>41552</v>
      </c>
      <c r="CG117">
        <v>17136</v>
      </c>
      <c r="CH117">
        <v>350322.7</v>
      </c>
      <c r="CI117">
        <v>2760232</v>
      </c>
      <c r="CJ117">
        <v>580167</v>
      </c>
    </row>
    <row r="118" spans="58:88" x14ac:dyDescent="0.45">
      <c r="BF118" t="s">
        <v>122</v>
      </c>
      <c r="BG118" t="s">
        <v>123</v>
      </c>
      <c r="BH118" t="s">
        <v>124</v>
      </c>
      <c r="BI118" t="s">
        <v>161</v>
      </c>
      <c r="BJ118" t="s">
        <v>157</v>
      </c>
      <c r="BK118" t="s">
        <v>158</v>
      </c>
      <c r="BL118" t="s">
        <v>159</v>
      </c>
      <c r="BM118" t="s">
        <v>132</v>
      </c>
      <c r="BN118" t="s">
        <v>130</v>
      </c>
      <c r="BO118">
        <v>36</v>
      </c>
      <c r="BP118">
        <v>2</v>
      </c>
      <c r="BQ118">
        <v>264600</v>
      </c>
      <c r="BR118">
        <v>23045.643620999999</v>
      </c>
      <c r="BS118">
        <v>57888.768777999998</v>
      </c>
      <c r="BT118">
        <v>13476.310847999999</v>
      </c>
      <c r="BU118">
        <v>116774.116559</v>
      </c>
      <c r="BV118">
        <v>7541.2400260000004</v>
      </c>
      <c r="BW118">
        <v>34820.280358999997</v>
      </c>
      <c r="BX118">
        <v>42361.520385000003</v>
      </c>
      <c r="BY118">
        <v>36521.954468999997</v>
      </c>
      <c r="BZ118">
        <v>217024.405722</v>
      </c>
      <c r="CA118">
        <v>253546.36019100001</v>
      </c>
      <c r="CB118">
        <v>11053.639809</v>
      </c>
      <c r="CC118">
        <v>0</v>
      </c>
      <c r="CD118">
        <v>69137</v>
      </c>
      <c r="CE118">
        <v>173666.48</v>
      </c>
      <c r="CF118">
        <v>41552</v>
      </c>
      <c r="CG118">
        <v>17136</v>
      </c>
      <c r="CH118">
        <v>350322.7</v>
      </c>
      <c r="CI118">
        <v>2760232</v>
      </c>
      <c r="CJ118">
        <v>580167</v>
      </c>
    </row>
    <row r="119" spans="58:88" x14ac:dyDescent="0.45">
      <c r="BF119" t="s">
        <v>122</v>
      </c>
      <c r="BG119" t="s">
        <v>123</v>
      </c>
      <c r="BH119" t="s">
        <v>124</v>
      </c>
      <c r="BI119" t="s">
        <v>161</v>
      </c>
      <c r="BJ119" t="s">
        <v>160</v>
      </c>
      <c r="BK119" t="s">
        <v>158</v>
      </c>
      <c r="BL119" t="s">
        <v>159</v>
      </c>
      <c r="BM119" t="s">
        <v>129</v>
      </c>
      <c r="BN119" t="s">
        <v>130</v>
      </c>
      <c r="BO119">
        <v>44</v>
      </c>
      <c r="BP119">
        <v>2</v>
      </c>
      <c r="BQ119">
        <v>348920</v>
      </c>
      <c r="BR119">
        <v>23045.643620999999</v>
      </c>
      <c r="BS119">
        <v>68355.031644999995</v>
      </c>
      <c r="BT119">
        <v>44207.575850000001</v>
      </c>
      <c r="BU119">
        <v>153254.46674500001</v>
      </c>
      <c r="BV119">
        <v>8764.1438139999991</v>
      </c>
      <c r="BW119">
        <v>40466.812309000001</v>
      </c>
      <c r="BX119">
        <v>49230.956123000004</v>
      </c>
      <c r="BY119">
        <v>67253.219471000004</v>
      </c>
      <c r="BZ119">
        <v>270840.45451299998</v>
      </c>
      <c r="CA119">
        <v>338093.67398399999</v>
      </c>
      <c r="CB119">
        <v>10826.326016000001</v>
      </c>
      <c r="CC119">
        <v>44</v>
      </c>
      <c r="CD119">
        <v>69137</v>
      </c>
      <c r="CE119">
        <v>205065.3</v>
      </c>
      <c r="CF119">
        <v>49010</v>
      </c>
      <c r="CG119">
        <v>27491</v>
      </c>
      <c r="CH119">
        <v>459763.86</v>
      </c>
      <c r="CI119">
        <v>2760232</v>
      </c>
      <c r="CJ119">
        <v>580167</v>
      </c>
    </row>
    <row r="120" spans="58:88" x14ac:dyDescent="0.45">
      <c r="BF120" t="s">
        <v>122</v>
      </c>
      <c r="BG120" t="s">
        <v>123</v>
      </c>
      <c r="BH120" t="s">
        <v>124</v>
      </c>
      <c r="BI120" t="s">
        <v>161</v>
      </c>
      <c r="BJ120" t="s">
        <v>160</v>
      </c>
      <c r="BK120" t="s">
        <v>158</v>
      </c>
      <c r="BL120" t="s">
        <v>159</v>
      </c>
      <c r="BM120" t="s">
        <v>131</v>
      </c>
      <c r="BN120" t="s">
        <v>130</v>
      </c>
      <c r="BO120">
        <v>43</v>
      </c>
      <c r="BP120">
        <v>2</v>
      </c>
      <c r="BQ120">
        <v>337120</v>
      </c>
      <c r="BR120">
        <v>23045.643620999999</v>
      </c>
      <c r="BS120">
        <v>68355.031644999995</v>
      </c>
      <c r="BT120">
        <v>16336.65033</v>
      </c>
      <c r="BU120">
        <v>153254.46674500001</v>
      </c>
      <c r="BV120">
        <v>8764.1438139999991</v>
      </c>
      <c r="BW120">
        <v>40466.812309000001</v>
      </c>
      <c r="BX120">
        <v>49230.956123000004</v>
      </c>
      <c r="BY120">
        <v>39382.293951</v>
      </c>
      <c r="BZ120">
        <v>270840.45451299998</v>
      </c>
      <c r="CA120">
        <v>310222.748464</v>
      </c>
      <c r="CB120">
        <v>26897.251536</v>
      </c>
      <c r="CC120">
        <v>0</v>
      </c>
      <c r="CD120">
        <v>69137</v>
      </c>
      <c r="CE120">
        <v>205065.3</v>
      </c>
      <c r="CF120">
        <v>49010</v>
      </c>
      <c r="CG120">
        <v>27491</v>
      </c>
      <c r="CH120">
        <v>459763.86</v>
      </c>
      <c r="CI120">
        <v>2760232</v>
      </c>
      <c r="CJ120">
        <v>580167</v>
      </c>
    </row>
    <row r="121" spans="58:88" x14ac:dyDescent="0.45">
      <c r="BF121" t="s">
        <v>122</v>
      </c>
      <c r="BG121" t="s">
        <v>123</v>
      </c>
      <c r="BH121" t="s">
        <v>124</v>
      </c>
      <c r="BI121" t="s">
        <v>161</v>
      </c>
      <c r="BJ121" t="s">
        <v>160</v>
      </c>
      <c r="BK121" t="s">
        <v>158</v>
      </c>
      <c r="BL121" t="s">
        <v>159</v>
      </c>
      <c r="BM121" t="s">
        <v>132</v>
      </c>
      <c r="BN121" t="s">
        <v>130</v>
      </c>
      <c r="BO121">
        <v>42</v>
      </c>
      <c r="BP121">
        <v>2</v>
      </c>
      <c r="BQ121">
        <v>329280</v>
      </c>
      <c r="BR121">
        <v>23045.643620999999</v>
      </c>
      <c r="BS121">
        <v>68355.031644999995</v>
      </c>
      <c r="BT121">
        <v>15956.72481</v>
      </c>
      <c r="BU121">
        <v>153254.46674500001</v>
      </c>
      <c r="BV121">
        <v>8764.1438139999991</v>
      </c>
      <c r="BW121">
        <v>40466.812309000001</v>
      </c>
      <c r="BX121">
        <v>49230.956123000004</v>
      </c>
      <c r="BY121">
        <v>39002.368431000003</v>
      </c>
      <c r="BZ121">
        <v>270840.45451299998</v>
      </c>
      <c r="CA121">
        <v>309842.82294400001</v>
      </c>
      <c r="CB121">
        <v>19437.177056</v>
      </c>
      <c r="CC121">
        <v>0</v>
      </c>
      <c r="CD121">
        <v>69137</v>
      </c>
      <c r="CE121">
        <v>205065.3</v>
      </c>
      <c r="CF121">
        <v>49010</v>
      </c>
      <c r="CG121">
        <v>27491</v>
      </c>
      <c r="CH121">
        <v>459763.86</v>
      </c>
      <c r="CI121">
        <v>2760232</v>
      </c>
      <c r="CJ121">
        <v>580167</v>
      </c>
    </row>
    <row r="122" spans="58:88" x14ac:dyDescent="0.45">
      <c r="BF122" t="s">
        <v>122</v>
      </c>
      <c r="BG122" t="s">
        <v>123</v>
      </c>
      <c r="BH122" t="s">
        <v>124</v>
      </c>
      <c r="BI122" t="s">
        <v>162</v>
      </c>
      <c r="BJ122" t="s">
        <v>126</v>
      </c>
      <c r="BK122" t="s">
        <v>127</v>
      </c>
      <c r="BL122" t="s">
        <v>128</v>
      </c>
      <c r="BM122" t="s">
        <v>129</v>
      </c>
      <c r="BN122" t="s">
        <v>130</v>
      </c>
      <c r="BO122">
        <v>40</v>
      </c>
      <c r="BP122">
        <v>2</v>
      </c>
      <c r="BQ122">
        <v>269600</v>
      </c>
      <c r="BR122">
        <v>24145.975854</v>
      </c>
      <c r="BS122">
        <v>45362.431303999998</v>
      </c>
      <c r="BT122">
        <v>30061.745800000001</v>
      </c>
      <c r="BU122">
        <v>91505.848494000005</v>
      </c>
      <c r="BV122">
        <v>7781.9531889999998</v>
      </c>
      <c r="BW122">
        <v>36219.266411999997</v>
      </c>
      <c r="BX122">
        <v>44001.219600999997</v>
      </c>
      <c r="BY122">
        <v>54207.721654000001</v>
      </c>
      <c r="BZ122">
        <v>180869.49939899999</v>
      </c>
      <c r="CA122">
        <v>235077.22105299999</v>
      </c>
      <c r="CB122">
        <v>34522.778946999999</v>
      </c>
      <c r="CC122">
        <v>40</v>
      </c>
      <c r="CD122">
        <v>72438</v>
      </c>
      <c r="CE122">
        <v>136087.43</v>
      </c>
      <c r="CF122">
        <v>43535</v>
      </c>
      <c r="CG122">
        <v>15178</v>
      </c>
      <c r="CH122">
        <v>274517.82</v>
      </c>
      <c r="CI122">
        <v>2891983</v>
      </c>
      <c r="CJ122">
        <v>676344</v>
      </c>
    </row>
    <row r="123" spans="58:88" x14ac:dyDescent="0.45">
      <c r="BF123" t="s">
        <v>122</v>
      </c>
      <c r="BG123" t="s">
        <v>123</v>
      </c>
      <c r="BH123" t="s">
        <v>124</v>
      </c>
      <c r="BI123" t="s">
        <v>162</v>
      </c>
      <c r="BJ123" t="s">
        <v>126</v>
      </c>
      <c r="BK123" t="s">
        <v>127</v>
      </c>
      <c r="BL123" t="s">
        <v>128</v>
      </c>
      <c r="BM123" t="s">
        <v>131</v>
      </c>
      <c r="BN123" t="s">
        <v>130</v>
      </c>
      <c r="BO123">
        <v>39</v>
      </c>
      <c r="BP123">
        <v>2</v>
      </c>
      <c r="BQ123">
        <v>259350</v>
      </c>
      <c r="BR123">
        <v>24145.975854</v>
      </c>
      <c r="BS123">
        <v>45362.431303999998</v>
      </c>
      <c r="BT123">
        <v>14511.652155</v>
      </c>
      <c r="BU123">
        <v>91505.848494000005</v>
      </c>
      <c r="BV123">
        <v>7781.9531889999998</v>
      </c>
      <c r="BW123">
        <v>36219.266411999997</v>
      </c>
      <c r="BX123">
        <v>44001.219600999997</v>
      </c>
      <c r="BY123">
        <v>38657.628009</v>
      </c>
      <c r="BZ123">
        <v>180869.49939899999</v>
      </c>
      <c r="CA123">
        <v>219527.127408</v>
      </c>
      <c r="CB123">
        <v>39822.872592</v>
      </c>
      <c r="CC123">
        <v>0</v>
      </c>
      <c r="CD123">
        <v>72438</v>
      </c>
      <c r="CE123">
        <v>136087.43</v>
      </c>
      <c r="CF123">
        <v>43535</v>
      </c>
      <c r="CG123">
        <v>15178</v>
      </c>
      <c r="CH123">
        <v>274517.82</v>
      </c>
      <c r="CI123">
        <v>2891983</v>
      </c>
      <c r="CJ123">
        <v>676344</v>
      </c>
    </row>
    <row r="124" spans="58:88" x14ac:dyDescent="0.45">
      <c r="BF124" t="s">
        <v>122</v>
      </c>
      <c r="BG124" t="s">
        <v>123</v>
      </c>
      <c r="BH124" t="s">
        <v>124</v>
      </c>
      <c r="BI124" t="s">
        <v>162</v>
      </c>
      <c r="BJ124" t="s">
        <v>126</v>
      </c>
      <c r="BK124" t="s">
        <v>127</v>
      </c>
      <c r="BL124" t="s">
        <v>128</v>
      </c>
      <c r="BM124" t="s">
        <v>132</v>
      </c>
      <c r="BN124" t="s">
        <v>130</v>
      </c>
      <c r="BO124">
        <v>38</v>
      </c>
      <c r="BP124">
        <v>2</v>
      </c>
      <c r="BQ124">
        <v>252700</v>
      </c>
      <c r="BR124">
        <v>24145.975854</v>
      </c>
      <c r="BS124">
        <v>45362.431303999998</v>
      </c>
      <c r="BT124">
        <v>14139.558510000001</v>
      </c>
      <c r="BU124">
        <v>91505.848494000005</v>
      </c>
      <c r="BV124">
        <v>7781.9531889999998</v>
      </c>
      <c r="BW124">
        <v>36219.266411999997</v>
      </c>
      <c r="BX124">
        <v>44001.219600999997</v>
      </c>
      <c r="BY124">
        <v>38285.534363999999</v>
      </c>
      <c r="BZ124">
        <v>180869.49939899999</v>
      </c>
      <c r="CA124">
        <v>219155.03376300001</v>
      </c>
      <c r="CB124">
        <v>33544.966237000001</v>
      </c>
      <c r="CC124">
        <v>0</v>
      </c>
      <c r="CD124">
        <v>72438</v>
      </c>
      <c r="CE124">
        <v>136087.43</v>
      </c>
      <c r="CF124">
        <v>43535</v>
      </c>
      <c r="CG124">
        <v>15178</v>
      </c>
      <c r="CH124">
        <v>274517.82</v>
      </c>
      <c r="CI124">
        <v>2891983</v>
      </c>
      <c r="CJ124">
        <v>676344</v>
      </c>
    </row>
    <row r="125" spans="58:88" x14ac:dyDescent="0.45">
      <c r="BF125" t="s">
        <v>122</v>
      </c>
      <c r="BG125" t="s">
        <v>123</v>
      </c>
      <c r="BH125" t="s">
        <v>124</v>
      </c>
      <c r="BI125" t="s">
        <v>162</v>
      </c>
      <c r="BJ125" t="s">
        <v>133</v>
      </c>
      <c r="BK125" t="s">
        <v>127</v>
      </c>
      <c r="BL125" t="s">
        <v>128</v>
      </c>
      <c r="BM125" t="s">
        <v>129</v>
      </c>
      <c r="BN125" t="s">
        <v>130</v>
      </c>
      <c r="BO125">
        <v>50</v>
      </c>
      <c r="BP125">
        <v>2</v>
      </c>
      <c r="BQ125">
        <v>354500</v>
      </c>
      <c r="BR125">
        <v>24145.975854</v>
      </c>
      <c r="BS125">
        <v>56060.853939000001</v>
      </c>
      <c r="BT125">
        <v>40364.795958000002</v>
      </c>
      <c r="BU125">
        <v>129891.026776</v>
      </c>
      <c r="BV125">
        <v>9644.2858780000006</v>
      </c>
      <c r="BW125">
        <v>44887.054845999999</v>
      </c>
      <c r="BX125">
        <v>54531.340724000002</v>
      </c>
      <c r="BY125">
        <v>64510.771811999999</v>
      </c>
      <c r="BZ125">
        <v>240483.22143899999</v>
      </c>
      <c r="CA125">
        <v>304993.99325100001</v>
      </c>
      <c r="CB125">
        <v>49506.006749</v>
      </c>
      <c r="CC125">
        <v>50</v>
      </c>
      <c r="CD125">
        <v>72438</v>
      </c>
      <c r="CE125">
        <v>168182.73</v>
      </c>
      <c r="CF125">
        <v>53954</v>
      </c>
      <c r="CG125">
        <v>21760</v>
      </c>
      <c r="CH125">
        <v>389673.47</v>
      </c>
      <c r="CI125">
        <v>2891983</v>
      </c>
      <c r="CJ125">
        <v>676344</v>
      </c>
    </row>
    <row r="126" spans="58:88" x14ac:dyDescent="0.45">
      <c r="BF126" t="s">
        <v>122</v>
      </c>
      <c r="BG126" t="s">
        <v>123</v>
      </c>
      <c r="BH126" t="s">
        <v>124</v>
      </c>
      <c r="BI126" t="s">
        <v>162</v>
      </c>
      <c r="BJ126" t="s">
        <v>133</v>
      </c>
      <c r="BK126" t="s">
        <v>127</v>
      </c>
      <c r="BL126" t="s">
        <v>128</v>
      </c>
      <c r="BM126" t="s">
        <v>131</v>
      </c>
      <c r="BN126" t="s">
        <v>130</v>
      </c>
      <c r="BO126">
        <v>48</v>
      </c>
      <c r="BP126">
        <v>2</v>
      </c>
      <c r="BQ126">
        <v>336000</v>
      </c>
      <c r="BR126">
        <v>24145.975854</v>
      </c>
      <c r="BS126">
        <v>56060.853939000001</v>
      </c>
      <c r="BT126">
        <v>17860.608435999999</v>
      </c>
      <c r="BU126">
        <v>129891.026776</v>
      </c>
      <c r="BV126">
        <v>9644.2858780000006</v>
      </c>
      <c r="BW126">
        <v>44887.054845999999</v>
      </c>
      <c r="BX126">
        <v>54531.340724000002</v>
      </c>
      <c r="BY126">
        <v>42006.584289999999</v>
      </c>
      <c r="BZ126">
        <v>240483.22143899999</v>
      </c>
      <c r="CA126">
        <v>282489.80572900001</v>
      </c>
      <c r="CB126">
        <v>53510.194271</v>
      </c>
      <c r="CC126">
        <v>0</v>
      </c>
      <c r="CD126">
        <v>72438</v>
      </c>
      <c r="CE126">
        <v>168182.73</v>
      </c>
      <c r="CF126">
        <v>53954</v>
      </c>
      <c r="CG126">
        <v>21760</v>
      </c>
      <c r="CH126">
        <v>389673.47</v>
      </c>
      <c r="CI126">
        <v>2891983</v>
      </c>
      <c r="CJ126">
        <v>676344</v>
      </c>
    </row>
    <row r="127" spans="58:88" x14ac:dyDescent="0.45">
      <c r="BF127" t="s">
        <v>122</v>
      </c>
      <c r="BG127" t="s">
        <v>123</v>
      </c>
      <c r="BH127" t="s">
        <v>124</v>
      </c>
      <c r="BI127" t="s">
        <v>162</v>
      </c>
      <c r="BJ127" t="s">
        <v>133</v>
      </c>
      <c r="BK127" t="s">
        <v>127</v>
      </c>
      <c r="BL127" t="s">
        <v>128</v>
      </c>
      <c r="BM127" t="s">
        <v>132</v>
      </c>
      <c r="BN127" t="s">
        <v>130</v>
      </c>
      <c r="BO127">
        <v>47</v>
      </c>
      <c r="BP127">
        <v>2</v>
      </c>
      <c r="BQ127">
        <v>329000</v>
      </c>
      <c r="BR127">
        <v>24145.975854</v>
      </c>
      <c r="BS127">
        <v>56060.853939000001</v>
      </c>
      <c r="BT127">
        <v>17488.487698000001</v>
      </c>
      <c r="BU127">
        <v>129891.026776</v>
      </c>
      <c r="BV127">
        <v>9644.2858780000006</v>
      </c>
      <c r="BW127">
        <v>44887.054845999999</v>
      </c>
      <c r="BX127">
        <v>54531.340724000002</v>
      </c>
      <c r="BY127">
        <v>41634.463552000001</v>
      </c>
      <c r="BZ127">
        <v>240483.22143899999</v>
      </c>
      <c r="CA127">
        <v>282117.68499099999</v>
      </c>
      <c r="CB127">
        <v>46882.315008999998</v>
      </c>
      <c r="CC127">
        <v>0</v>
      </c>
      <c r="CD127">
        <v>72438</v>
      </c>
      <c r="CE127">
        <v>168182.73</v>
      </c>
      <c r="CF127">
        <v>53954</v>
      </c>
      <c r="CG127">
        <v>21760</v>
      </c>
      <c r="CH127">
        <v>389673.47</v>
      </c>
      <c r="CI127">
        <v>2891983</v>
      </c>
      <c r="CJ127">
        <v>676344</v>
      </c>
    </row>
    <row r="128" spans="58:88" x14ac:dyDescent="0.45">
      <c r="BF128" t="s">
        <v>122</v>
      </c>
      <c r="BG128" t="s">
        <v>123</v>
      </c>
      <c r="BH128" t="s">
        <v>124</v>
      </c>
      <c r="BI128" t="s">
        <v>162</v>
      </c>
      <c r="BJ128" t="s">
        <v>134</v>
      </c>
      <c r="BK128" t="s">
        <v>127</v>
      </c>
      <c r="BL128" t="s">
        <v>128</v>
      </c>
      <c r="BM128" t="s">
        <v>129</v>
      </c>
      <c r="BN128" t="s">
        <v>130</v>
      </c>
      <c r="BO128">
        <v>40</v>
      </c>
      <c r="BP128">
        <v>2</v>
      </c>
      <c r="BQ128">
        <v>269600</v>
      </c>
      <c r="BR128">
        <v>24145.975854</v>
      </c>
      <c r="BS128">
        <v>45389.497944000002</v>
      </c>
      <c r="BT128">
        <v>29816.745800000001</v>
      </c>
      <c r="BU128">
        <v>91560.448439</v>
      </c>
      <c r="BV128">
        <v>7781.9531889999998</v>
      </c>
      <c r="BW128">
        <v>36219.266411999997</v>
      </c>
      <c r="BX128">
        <v>44001.219600999997</v>
      </c>
      <c r="BY128">
        <v>53962.721654000001</v>
      </c>
      <c r="BZ128">
        <v>180951.16598399999</v>
      </c>
      <c r="CA128">
        <v>234913.88763799999</v>
      </c>
      <c r="CB128">
        <v>34686.112362</v>
      </c>
      <c r="CC128">
        <v>40</v>
      </c>
      <c r="CD128">
        <v>72438</v>
      </c>
      <c r="CE128">
        <v>136168.63</v>
      </c>
      <c r="CF128">
        <v>43535</v>
      </c>
      <c r="CG128">
        <v>14933</v>
      </c>
      <c r="CH128">
        <v>274681.62</v>
      </c>
      <c r="CI128">
        <v>2891983</v>
      </c>
      <c r="CJ128">
        <v>676344</v>
      </c>
    </row>
    <row r="129" spans="58:88" x14ac:dyDescent="0.45">
      <c r="BF129" t="s">
        <v>122</v>
      </c>
      <c r="BG129" t="s">
        <v>123</v>
      </c>
      <c r="BH129" t="s">
        <v>124</v>
      </c>
      <c r="BI129" t="s">
        <v>162</v>
      </c>
      <c r="BJ129" t="s">
        <v>134</v>
      </c>
      <c r="BK129" t="s">
        <v>127</v>
      </c>
      <c r="BL129" t="s">
        <v>128</v>
      </c>
      <c r="BM129" t="s">
        <v>131</v>
      </c>
      <c r="BN129" t="s">
        <v>130</v>
      </c>
      <c r="BO129">
        <v>39</v>
      </c>
      <c r="BP129">
        <v>2</v>
      </c>
      <c r="BQ129">
        <v>259350</v>
      </c>
      <c r="BR129">
        <v>24145.975854</v>
      </c>
      <c r="BS129">
        <v>45389.497944000002</v>
      </c>
      <c r="BT129">
        <v>14511.652155</v>
      </c>
      <c r="BU129">
        <v>91560.448439</v>
      </c>
      <c r="BV129">
        <v>7781.9531889999998</v>
      </c>
      <c r="BW129">
        <v>36219.266411999997</v>
      </c>
      <c r="BX129">
        <v>44001.219600999997</v>
      </c>
      <c r="BY129">
        <v>38657.628009</v>
      </c>
      <c r="BZ129">
        <v>180951.16598399999</v>
      </c>
      <c r="CA129">
        <v>219608.793993</v>
      </c>
      <c r="CB129">
        <v>39741.206007000001</v>
      </c>
      <c r="CC129">
        <v>0</v>
      </c>
      <c r="CD129">
        <v>72438</v>
      </c>
      <c r="CE129">
        <v>136168.63</v>
      </c>
      <c r="CF129">
        <v>43535</v>
      </c>
      <c r="CG129">
        <v>14933</v>
      </c>
      <c r="CH129">
        <v>274681.62</v>
      </c>
      <c r="CI129">
        <v>2891983</v>
      </c>
      <c r="CJ129">
        <v>676344</v>
      </c>
    </row>
    <row r="130" spans="58:88" x14ac:dyDescent="0.45">
      <c r="BF130" t="s">
        <v>122</v>
      </c>
      <c r="BG130" t="s">
        <v>123</v>
      </c>
      <c r="BH130" t="s">
        <v>124</v>
      </c>
      <c r="BI130" t="s">
        <v>162</v>
      </c>
      <c r="BJ130" t="s">
        <v>134</v>
      </c>
      <c r="BK130" t="s">
        <v>127</v>
      </c>
      <c r="BL130" t="s">
        <v>128</v>
      </c>
      <c r="BM130" t="s">
        <v>132</v>
      </c>
      <c r="BN130" t="s">
        <v>130</v>
      </c>
      <c r="BO130">
        <v>38</v>
      </c>
      <c r="BP130">
        <v>2</v>
      </c>
      <c r="BQ130">
        <v>252700</v>
      </c>
      <c r="BR130">
        <v>24145.975854</v>
      </c>
      <c r="BS130">
        <v>45389.497944000002</v>
      </c>
      <c r="BT130">
        <v>14139.558510000001</v>
      </c>
      <c r="BU130">
        <v>91560.448439</v>
      </c>
      <c r="BV130">
        <v>7781.9531889999998</v>
      </c>
      <c r="BW130">
        <v>36219.266411999997</v>
      </c>
      <c r="BX130">
        <v>44001.219600999997</v>
      </c>
      <c r="BY130">
        <v>38285.534363999999</v>
      </c>
      <c r="BZ130">
        <v>180951.16598399999</v>
      </c>
      <c r="CA130">
        <v>219236.70034800001</v>
      </c>
      <c r="CB130">
        <v>33463.299652000002</v>
      </c>
      <c r="CC130">
        <v>0</v>
      </c>
      <c r="CD130">
        <v>72438</v>
      </c>
      <c r="CE130">
        <v>136168.63</v>
      </c>
      <c r="CF130">
        <v>43535</v>
      </c>
      <c r="CG130">
        <v>14933</v>
      </c>
      <c r="CH130">
        <v>274681.62</v>
      </c>
      <c r="CI130">
        <v>2891983</v>
      </c>
      <c r="CJ130">
        <v>676344</v>
      </c>
    </row>
    <row r="131" spans="58:88" x14ac:dyDescent="0.45">
      <c r="BF131" t="s">
        <v>122</v>
      </c>
      <c r="BG131" t="s">
        <v>123</v>
      </c>
      <c r="BH131" t="s">
        <v>124</v>
      </c>
      <c r="BI131" t="s">
        <v>162</v>
      </c>
      <c r="BJ131" t="s">
        <v>135</v>
      </c>
      <c r="BK131" t="s">
        <v>0</v>
      </c>
      <c r="BL131" t="s">
        <v>136</v>
      </c>
      <c r="BM131" t="s">
        <v>129</v>
      </c>
      <c r="BN131" t="s">
        <v>137</v>
      </c>
      <c r="BO131">
        <v>50</v>
      </c>
      <c r="BP131">
        <v>2</v>
      </c>
      <c r="BQ131">
        <v>372000</v>
      </c>
      <c r="BR131">
        <v>30182.25</v>
      </c>
      <c r="BS131">
        <v>71167.292499999996</v>
      </c>
      <c r="BT131">
        <v>31214.710137999999</v>
      </c>
      <c r="BU131">
        <v>132767.424</v>
      </c>
      <c r="BV131">
        <v>10845.879611</v>
      </c>
      <c r="BW131">
        <v>45320.641324999997</v>
      </c>
      <c r="BX131">
        <v>56166.520936000001</v>
      </c>
      <c r="BY131">
        <v>61396.960138000002</v>
      </c>
      <c r="BZ131">
        <v>260101.237436</v>
      </c>
      <c r="CA131">
        <v>321498.19757399999</v>
      </c>
      <c r="CB131">
        <v>50501.802426000002</v>
      </c>
      <c r="CC131">
        <v>50</v>
      </c>
      <c r="CD131">
        <v>120729</v>
      </c>
      <c r="CE131">
        <v>284669.17</v>
      </c>
      <c r="CF131">
        <v>90791</v>
      </c>
      <c r="CG131">
        <v>25220</v>
      </c>
      <c r="CH131">
        <v>663837.12</v>
      </c>
      <c r="CI131">
        <v>2891983</v>
      </c>
      <c r="CJ131">
        <v>676344</v>
      </c>
    </row>
    <row r="132" spans="58:88" x14ac:dyDescent="0.45">
      <c r="BF132" t="s">
        <v>122</v>
      </c>
      <c r="BG132" t="s">
        <v>123</v>
      </c>
      <c r="BH132" t="s">
        <v>124</v>
      </c>
      <c r="BI132" t="s">
        <v>162</v>
      </c>
      <c r="BJ132" t="s">
        <v>135</v>
      </c>
      <c r="BK132" t="s">
        <v>0</v>
      </c>
      <c r="BL132" t="s">
        <v>136</v>
      </c>
      <c r="BM132" t="s">
        <v>131</v>
      </c>
      <c r="BN132" t="s">
        <v>130</v>
      </c>
      <c r="BO132">
        <v>48</v>
      </c>
      <c r="BP132">
        <v>2</v>
      </c>
      <c r="BQ132">
        <v>329280</v>
      </c>
      <c r="BR132">
        <v>24145.8</v>
      </c>
      <c r="BS132">
        <v>56933.834000000003</v>
      </c>
      <c r="BT132">
        <v>17860.496310999999</v>
      </c>
      <c r="BU132">
        <v>132767.424</v>
      </c>
      <c r="BV132">
        <v>10845.879611</v>
      </c>
      <c r="BW132">
        <v>45320.641324999997</v>
      </c>
      <c r="BX132">
        <v>56166.520936000001</v>
      </c>
      <c r="BY132">
        <v>42006.296310999998</v>
      </c>
      <c r="BZ132">
        <v>245867.77893599999</v>
      </c>
      <c r="CA132">
        <v>287874.07524699997</v>
      </c>
      <c r="CB132">
        <v>41405.924752999999</v>
      </c>
      <c r="CC132">
        <v>0</v>
      </c>
      <c r="CD132">
        <v>120729</v>
      </c>
      <c r="CE132">
        <v>284669.17</v>
      </c>
      <c r="CF132">
        <v>90791</v>
      </c>
      <c r="CG132">
        <v>25220</v>
      </c>
      <c r="CH132">
        <v>663837.12</v>
      </c>
      <c r="CI132">
        <v>2891983</v>
      </c>
      <c r="CJ132">
        <v>676344</v>
      </c>
    </row>
    <row r="133" spans="58:88" x14ac:dyDescent="0.45">
      <c r="BF133" t="s">
        <v>122</v>
      </c>
      <c r="BG133" t="s">
        <v>123</v>
      </c>
      <c r="BH133" t="s">
        <v>124</v>
      </c>
      <c r="BI133" t="s">
        <v>162</v>
      </c>
      <c r="BJ133" t="s">
        <v>135</v>
      </c>
      <c r="BK133" t="s">
        <v>0</v>
      </c>
      <c r="BL133" t="s">
        <v>136</v>
      </c>
      <c r="BM133" t="s">
        <v>132</v>
      </c>
      <c r="BN133" t="s">
        <v>130</v>
      </c>
      <c r="BO133">
        <v>47</v>
      </c>
      <c r="BP133">
        <v>2</v>
      </c>
      <c r="BQ133">
        <v>322420</v>
      </c>
      <c r="BR133">
        <v>24145.8</v>
      </c>
      <c r="BS133">
        <v>56933.834000000003</v>
      </c>
      <c r="BT133">
        <v>17488.344002000002</v>
      </c>
      <c r="BU133">
        <v>132767.424</v>
      </c>
      <c r="BV133">
        <v>10845.879611</v>
      </c>
      <c r="BW133">
        <v>45320.641324999997</v>
      </c>
      <c r="BX133">
        <v>56166.520936000001</v>
      </c>
      <c r="BY133">
        <v>41634.144002000001</v>
      </c>
      <c r="BZ133">
        <v>245867.77893599999</v>
      </c>
      <c r="CA133">
        <v>287501.922938</v>
      </c>
      <c r="CB133">
        <v>34918.077061999997</v>
      </c>
      <c r="CC133">
        <v>0</v>
      </c>
      <c r="CD133">
        <v>120729</v>
      </c>
      <c r="CE133">
        <v>284669.17</v>
      </c>
      <c r="CF133">
        <v>90791</v>
      </c>
      <c r="CG133">
        <v>25220</v>
      </c>
      <c r="CH133">
        <v>663837.12</v>
      </c>
      <c r="CI133">
        <v>2891983</v>
      </c>
      <c r="CJ133">
        <v>676344</v>
      </c>
    </row>
    <row r="134" spans="58:88" x14ac:dyDescent="0.45">
      <c r="BF134" t="s">
        <v>122</v>
      </c>
      <c r="BG134" t="s">
        <v>123</v>
      </c>
      <c r="BH134" t="s">
        <v>124</v>
      </c>
      <c r="BI134" t="s">
        <v>162</v>
      </c>
      <c r="BJ134" t="s">
        <v>135</v>
      </c>
      <c r="BK134" t="s">
        <v>0</v>
      </c>
      <c r="BL134" t="s">
        <v>138</v>
      </c>
      <c r="BM134" t="s">
        <v>139</v>
      </c>
      <c r="BN134" t="s">
        <v>130</v>
      </c>
      <c r="BO134">
        <v>50</v>
      </c>
      <c r="BP134">
        <v>2</v>
      </c>
      <c r="BQ134">
        <v>372000</v>
      </c>
      <c r="BR134">
        <v>21127.575000000001</v>
      </c>
      <c r="BS134">
        <v>49817.104749999999</v>
      </c>
      <c r="BT134">
        <v>31214.710137999999</v>
      </c>
      <c r="BU134">
        <v>132767.424</v>
      </c>
      <c r="BV134">
        <v>10845.879611</v>
      </c>
      <c r="BW134">
        <v>45320.641324999997</v>
      </c>
      <c r="BX134">
        <v>56166.520936000001</v>
      </c>
      <c r="BY134">
        <v>52342.285137999999</v>
      </c>
      <c r="BZ134">
        <v>238751.04968600001</v>
      </c>
      <c r="CA134">
        <v>291093.33482400002</v>
      </c>
      <c r="CB134">
        <v>80906.665175999995</v>
      </c>
      <c r="CC134">
        <v>50</v>
      </c>
      <c r="CD134">
        <v>120729</v>
      </c>
      <c r="CE134">
        <v>284669.17</v>
      </c>
      <c r="CF134">
        <v>90791</v>
      </c>
      <c r="CG134">
        <v>25220</v>
      </c>
      <c r="CH134">
        <v>663837.12</v>
      </c>
      <c r="CI134">
        <v>2891983</v>
      </c>
      <c r="CJ134">
        <v>676344</v>
      </c>
    </row>
    <row r="135" spans="58:88" x14ac:dyDescent="0.45">
      <c r="BF135" t="s">
        <v>122</v>
      </c>
      <c r="BG135" t="s">
        <v>123</v>
      </c>
      <c r="BH135" t="s">
        <v>124</v>
      </c>
      <c r="BI135" t="s">
        <v>162</v>
      </c>
      <c r="BJ135" t="s">
        <v>135</v>
      </c>
      <c r="BK135" t="s">
        <v>0</v>
      </c>
      <c r="BL135" t="s">
        <v>138</v>
      </c>
      <c r="BM135" t="s">
        <v>140</v>
      </c>
      <c r="BN135" t="s">
        <v>130</v>
      </c>
      <c r="BO135">
        <v>49</v>
      </c>
      <c r="BP135">
        <v>2</v>
      </c>
      <c r="BQ135">
        <v>360150</v>
      </c>
      <c r="BR135">
        <v>21127.575000000001</v>
      </c>
      <c r="BS135">
        <v>49817.104749999999</v>
      </c>
      <c r="BT135">
        <v>18232.557829000001</v>
      </c>
      <c r="BU135">
        <v>132767.424</v>
      </c>
      <c r="BV135">
        <v>10845.879611</v>
      </c>
      <c r="BW135">
        <v>45320.641324999997</v>
      </c>
      <c r="BX135">
        <v>56166.520936000001</v>
      </c>
      <c r="BY135">
        <v>39360.132829000002</v>
      </c>
      <c r="BZ135">
        <v>238751.04968600001</v>
      </c>
      <c r="CA135">
        <v>278111.18251499999</v>
      </c>
      <c r="CB135">
        <v>82038.817485000007</v>
      </c>
      <c r="CC135">
        <v>0</v>
      </c>
      <c r="CD135">
        <v>120729</v>
      </c>
      <c r="CE135">
        <v>284669.17</v>
      </c>
      <c r="CF135">
        <v>90791</v>
      </c>
      <c r="CG135">
        <v>25220</v>
      </c>
      <c r="CH135">
        <v>663837.12</v>
      </c>
      <c r="CI135">
        <v>2891983</v>
      </c>
      <c r="CJ135">
        <v>676344</v>
      </c>
    </row>
    <row r="136" spans="58:88" x14ac:dyDescent="0.45">
      <c r="BF136" t="s">
        <v>122</v>
      </c>
      <c r="BG136" t="s">
        <v>123</v>
      </c>
      <c r="BH136" t="s">
        <v>124</v>
      </c>
      <c r="BI136" t="s">
        <v>162</v>
      </c>
      <c r="BJ136" t="s">
        <v>141</v>
      </c>
      <c r="BK136" t="s">
        <v>0</v>
      </c>
      <c r="BL136" t="s">
        <v>136</v>
      </c>
      <c r="BM136" t="s">
        <v>129</v>
      </c>
      <c r="BN136" t="s">
        <v>137</v>
      </c>
      <c r="BO136">
        <v>72</v>
      </c>
      <c r="BP136">
        <v>3</v>
      </c>
      <c r="BQ136">
        <v>611280</v>
      </c>
      <c r="BR136">
        <v>45273.5</v>
      </c>
      <c r="BS136">
        <v>122012.62</v>
      </c>
      <c r="BT136">
        <v>57190.805858</v>
      </c>
      <c r="BU136">
        <v>222607.06</v>
      </c>
      <c r="BV136">
        <v>15735.424562</v>
      </c>
      <c r="BW136">
        <v>65752.115852000003</v>
      </c>
      <c r="BX136">
        <v>81487.540414000003</v>
      </c>
      <c r="BY136">
        <v>102464.30585800001</v>
      </c>
      <c r="BZ136">
        <v>426107.22041399998</v>
      </c>
      <c r="CA136">
        <v>528571.52627200005</v>
      </c>
      <c r="CB136">
        <v>82708.473727999997</v>
      </c>
      <c r="CC136">
        <v>72</v>
      </c>
      <c r="CD136">
        <v>181094</v>
      </c>
      <c r="CE136">
        <v>488050.48</v>
      </c>
      <c r="CF136">
        <v>131722</v>
      </c>
      <c r="CG136">
        <v>60800</v>
      </c>
      <c r="CH136">
        <v>1113035.3</v>
      </c>
      <c r="CI136">
        <v>2891983</v>
      </c>
      <c r="CJ136">
        <v>676344</v>
      </c>
    </row>
    <row r="137" spans="58:88" x14ac:dyDescent="0.45">
      <c r="BF137" t="s">
        <v>122</v>
      </c>
      <c r="BG137" t="s">
        <v>123</v>
      </c>
      <c r="BH137" t="s">
        <v>124</v>
      </c>
      <c r="BI137" t="s">
        <v>162</v>
      </c>
      <c r="BJ137" t="s">
        <v>141</v>
      </c>
      <c r="BK137" t="s">
        <v>0</v>
      </c>
      <c r="BL137" t="s">
        <v>136</v>
      </c>
      <c r="BM137" t="s">
        <v>131</v>
      </c>
      <c r="BN137" t="s">
        <v>130</v>
      </c>
      <c r="BO137">
        <v>70</v>
      </c>
      <c r="BP137">
        <v>3</v>
      </c>
      <c r="BQ137">
        <v>548800</v>
      </c>
      <c r="BR137">
        <v>36218.800000000003</v>
      </c>
      <c r="BS137">
        <v>97610.096000000005</v>
      </c>
      <c r="BT137">
        <v>26046.708279999999</v>
      </c>
      <c r="BU137">
        <v>222607.06</v>
      </c>
      <c r="BV137">
        <v>15735.424562</v>
      </c>
      <c r="BW137">
        <v>65752.115852000003</v>
      </c>
      <c r="BX137">
        <v>81487.540414000003</v>
      </c>
      <c r="BY137">
        <v>62265.508280000002</v>
      </c>
      <c r="BZ137">
        <v>401704.69641400001</v>
      </c>
      <c r="CA137">
        <v>463970.20469400001</v>
      </c>
      <c r="CB137">
        <v>84829.795306</v>
      </c>
      <c r="CC137">
        <v>0</v>
      </c>
      <c r="CD137">
        <v>181094</v>
      </c>
      <c r="CE137">
        <v>488050.48</v>
      </c>
      <c r="CF137">
        <v>131722</v>
      </c>
      <c r="CG137">
        <v>60800</v>
      </c>
      <c r="CH137">
        <v>1113035.3</v>
      </c>
      <c r="CI137">
        <v>2891983</v>
      </c>
      <c r="CJ137">
        <v>676344</v>
      </c>
    </row>
    <row r="138" spans="58:88" x14ac:dyDescent="0.45">
      <c r="BF138" t="s">
        <v>122</v>
      </c>
      <c r="BG138" t="s">
        <v>123</v>
      </c>
      <c r="BH138" t="s">
        <v>124</v>
      </c>
      <c r="BI138" t="s">
        <v>162</v>
      </c>
      <c r="BJ138" t="s">
        <v>141</v>
      </c>
      <c r="BK138" t="s">
        <v>0</v>
      </c>
      <c r="BL138" t="s">
        <v>136</v>
      </c>
      <c r="BM138" t="s">
        <v>132</v>
      </c>
      <c r="BN138" t="s">
        <v>130</v>
      </c>
      <c r="BO138">
        <v>69</v>
      </c>
      <c r="BP138">
        <v>3</v>
      </c>
      <c r="BQ138">
        <v>540960</v>
      </c>
      <c r="BR138">
        <v>36218.800000000003</v>
      </c>
      <c r="BS138">
        <v>97610.096000000005</v>
      </c>
      <c r="BT138">
        <v>25674.593629999999</v>
      </c>
      <c r="BU138">
        <v>222607.06</v>
      </c>
      <c r="BV138">
        <v>15735.424562</v>
      </c>
      <c r="BW138">
        <v>65752.115852000003</v>
      </c>
      <c r="BX138">
        <v>81487.540414000003</v>
      </c>
      <c r="BY138">
        <v>61893.393629999999</v>
      </c>
      <c r="BZ138">
        <v>401704.69641400001</v>
      </c>
      <c r="CA138">
        <v>463598.09004400001</v>
      </c>
      <c r="CB138">
        <v>77361.909956000003</v>
      </c>
      <c r="CC138">
        <v>0</v>
      </c>
      <c r="CD138">
        <v>181094</v>
      </c>
      <c r="CE138">
        <v>488050.48</v>
      </c>
      <c r="CF138">
        <v>131722</v>
      </c>
      <c r="CG138">
        <v>60800</v>
      </c>
      <c r="CH138">
        <v>1113035.3</v>
      </c>
      <c r="CI138">
        <v>2891983</v>
      </c>
      <c r="CJ138">
        <v>676344</v>
      </c>
    </row>
    <row r="139" spans="58:88" x14ac:dyDescent="0.45">
      <c r="BF139" t="s">
        <v>122</v>
      </c>
      <c r="BG139" t="s">
        <v>123</v>
      </c>
      <c r="BH139" t="s">
        <v>124</v>
      </c>
      <c r="BI139" t="s">
        <v>162</v>
      </c>
      <c r="BJ139" t="s">
        <v>141</v>
      </c>
      <c r="BK139" t="s">
        <v>0</v>
      </c>
      <c r="BL139" t="s">
        <v>138</v>
      </c>
      <c r="BM139" t="s">
        <v>139</v>
      </c>
      <c r="BN139" t="s">
        <v>130</v>
      </c>
      <c r="BO139">
        <v>72</v>
      </c>
      <c r="BP139">
        <v>3</v>
      </c>
      <c r="BQ139">
        <v>611280</v>
      </c>
      <c r="BR139">
        <v>31691.45</v>
      </c>
      <c r="BS139">
        <v>85408.834000000003</v>
      </c>
      <c r="BT139">
        <v>57190.805858</v>
      </c>
      <c r="BU139">
        <v>222607.06</v>
      </c>
      <c r="BV139">
        <v>15735.424562</v>
      </c>
      <c r="BW139">
        <v>65752.115852000003</v>
      </c>
      <c r="BX139">
        <v>81487.540414000003</v>
      </c>
      <c r="BY139">
        <v>88882.255858000004</v>
      </c>
      <c r="BZ139">
        <v>389503.43441400002</v>
      </c>
      <c r="CA139">
        <v>478385.69027199998</v>
      </c>
      <c r="CB139">
        <v>132894.30972799999</v>
      </c>
      <c r="CC139">
        <v>72</v>
      </c>
      <c r="CD139">
        <v>181094</v>
      </c>
      <c r="CE139">
        <v>488050.48</v>
      </c>
      <c r="CF139">
        <v>131722</v>
      </c>
      <c r="CG139">
        <v>60800</v>
      </c>
      <c r="CH139">
        <v>1113035.3</v>
      </c>
      <c r="CI139">
        <v>2891983</v>
      </c>
      <c r="CJ139">
        <v>676344</v>
      </c>
    </row>
    <row r="140" spans="58:88" x14ac:dyDescent="0.45">
      <c r="BF140" t="s">
        <v>122</v>
      </c>
      <c r="BG140" t="s">
        <v>123</v>
      </c>
      <c r="BH140" t="s">
        <v>124</v>
      </c>
      <c r="BI140" t="s">
        <v>162</v>
      </c>
      <c r="BJ140" t="s">
        <v>141</v>
      </c>
      <c r="BK140" t="s">
        <v>0</v>
      </c>
      <c r="BL140" t="s">
        <v>138</v>
      </c>
      <c r="BM140" t="s">
        <v>140</v>
      </c>
      <c r="BN140" t="s">
        <v>130</v>
      </c>
      <c r="BO140">
        <v>71</v>
      </c>
      <c r="BP140">
        <v>3</v>
      </c>
      <c r="BQ140">
        <v>596400</v>
      </c>
      <c r="BR140">
        <v>31691.45</v>
      </c>
      <c r="BS140">
        <v>85408.834000000003</v>
      </c>
      <c r="BT140">
        <v>26418.691208</v>
      </c>
      <c r="BU140">
        <v>222607.06</v>
      </c>
      <c r="BV140">
        <v>15735.424562</v>
      </c>
      <c r="BW140">
        <v>65752.115852000003</v>
      </c>
      <c r="BX140">
        <v>81487.540414000003</v>
      </c>
      <c r="BY140">
        <v>58110.141208000001</v>
      </c>
      <c r="BZ140">
        <v>389503.43441400002</v>
      </c>
      <c r="CA140">
        <v>447613.57562199997</v>
      </c>
      <c r="CB140">
        <v>148786.424378</v>
      </c>
      <c r="CC140">
        <v>0</v>
      </c>
      <c r="CD140">
        <v>181094</v>
      </c>
      <c r="CE140">
        <v>488050.48</v>
      </c>
      <c r="CF140">
        <v>131722</v>
      </c>
      <c r="CG140">
        <v>60800</v>
      </c>
      <c r="CH140">
        <v>1113035.3</v>
      </c>
      <c r="CI140">
        <v>2891983</v>
      </c>
      <c r="CJ140">
        <v>676344</v>
      </c>
    </row>
    <row r="141" spans="58:88" x14ac:dyDescent="0.45">
      <c r="BF141" t="s">
        <v>122</v>
      </c>
      <c r="BG141" t="s">
        <v>123</v>
      </c>
      <c r="BH141" t="s">
        <v>124</v>
      </c>
      <c r="BI141" t="s">
        <v>162</v>
      </c>
      <c r="BJ141" t="s">
        <v>142</v>
      </c>
      <c r="BK141" t="s">
        <v>0</v>
      </c>
      <c r="BL141" t="s">
        <v>136</v>
      </c>
      <c r="BM141" t="s">
        <v>129</v>
      </c>
      <c r="BN141" t="s">
        <v>137</v>
      </c>
      <c r="BO141">
        <v>47</v>
      </c>
      <c r="BP141">
        <v>2</v>
      </c>
      <c r="BQ141">
        <v>342630</v>
      </c>
      <c r="BR141">
        <v>30182.25</v>
      </c>
      <c r="BS141">
        <v>66920.967499999999</v>
      </c>
      <c r="BT141">
        <v>28529.958702</v>
      </c>
      <c r="BU141">
        <v>120375.28200000001</v>
      </c>
      <c r="BV141">
        <v>10268.007549</v>
      </c>
      <c r="BW141">
        <v>42905.942526999999</v>
      </c>
      <c r="BX141">
        <v>53173.950076000001</v>
      </c>
      <c r="BY141">
        <v>58712.208702000004</v>
      </c>
      <c r="BZ141">
        <v>240470.19957600001</v>
      </c>
      <c r="CA141">
        <v>299182.40827800002</v>
      </c>
      <c r="CB141">
        <v>43447.591721999997</v>
      </c>
      <c r="CC141">
        <v>47</v>
      </c>
      <c r="CD141">
        <v>120729</v>
      </c>
      <c r="CE141">
        <v>267683.87</v>
      </c>
      <c r="CF141">
        <v>85954</v>
      </c>
      <c r="CG141">
        <v>22083</v>
      </c>
      <c r="CH141">
        <v>601876.41</v>
      </c>
      <c r="CI141">
        <v>2891983</v>
      </c>
      <c r="CJ141">
        <v>676344</v>
      </c>
    </row>
    <row r="142" spans="58:88" x14ac:dyDescent="0.45">
      <c r="BF142" t="s">
        <v>122</v>
      </c>
      <c r="BG142" t="s">
        <v>123</v>
      </c>
      <c r="BH142" t="s">
        <v>124</v>
      </c>
      <c r="BI142" t="s">
        <v>162</v>
      </c>
      <c r="BJ142" t="s">
        <v>142</v>
      </c>
      <c r="BK142" t="s">
        <v>0</v>
      </c>
      <c r="BL142" t="s">
        <v>136</v>
      </c>
      <c r="BM142" t="s">
        <v>131</v>
      </c>
      <c r="BN142" t="s">
        <v>130</v>
      </c>
      <c r="BO142">
        <v>46</v>
      </c>
      <c r="BP142">
        <v>2</v>
      </c>
      <c r="BQ142">
        <v>309120</v>
      </c>
      <c r="BR142">
        <v>24145.8</v>
      </c>
      <c r="BS142">
        <v>53536.773999999998</v>
      </c>
      <c r="BT142">
        <v>17116.363836</v>
      </c>
      <c r="BU142">
        <v>120375.28200000001</v>
      </c>
      <c r="BV142">
        <v>10268.007549</v>
      </c>
      <c r="BW142">
        <v>42905.942526999999</v>
      </c>
      <c r="BX142">
        <v>53173.950076000001</v>
      </c>
      <c r="BY142">
        <v>41262.163836</v>
      </c>
      <c r="BZ142">
        <v>227086.00607599999</v>
      </c>
      <c r="CA142">
        <v>268348.16991200001</v>
      </c>
      <c r="CB142">
        <v>40771.830088000002</v>
      </c>
      <c r="CC142">
        <v>0</v>
      </c>
      <c r="CD142">
        <v>120729</v>
      </c>
      <c r="CE142">
        <v>267683.87</v>
      </c>
      <c r="CF142">
        <v>85954</v>
      </c>
      <c r="CG142">
        <v>22083</v>
      </c>
      <c r="CH142">
        <v>601876.41</v>
      </c>
      <c r="CI142">
        <v>2891983</v>
      </c>
      <c r="CJ142">
        <v>676344</v>
      </c>
    </row>
    <row r="143" spans="58:88" x14ac:dyDescent="0.45">
      <c r="BF143" t="s">
        <v>122</v>
      </c>
      <c r="BG143" t="s">
        <v>123</v>
      </c>
      <c r="BH143" t="s">
        <v>124</v>
      </c>
      <c r="BI143" t="s">
        <v>162</v>
      </c>
      <c r="BJ143" t="s">
        <v>142</v>
      </c>
      <c r="BK143" t="s">
        <v>0</v>
      </c>
      <c r="BL143" t="s">
        <v>136</v>
      </c>
      <c r="BM143" t="s">
        <v>132</v>
      </c>
      <c r="BN143" t="s">
        <v>130</v>
      </c>
      <c r="BO143">
        <v>45</v>
      </c>
      <c r="BP143">
        <v>2</v>
      </c>
      <c r="BQ143">
        <v>302400</v>
      </c>
      <c r="BR143">
        <v>24145.8</v>
      </c>
      <c r="BS143">
        <v>53536.773999999998</v>
      </c>
      <c r="BT143">
        <v>16744.268970000001</v>
      </c>
      <c r="BU143">
        <v>120375.28200000001</v>
      </c>
      <c r="BV143">
        <v>10268.007549</v>
      </c>
      <c r="BW143">
        <v>42905.942526999999</v>
      </c>
      <c r="BX143">
        <v>53173.950076000001</v>
      </c>
      <c r="BY143">
        <v>40890.06897</v>
      </c>
      <c r="BZ143">
        <v>227086.00607599999</v>
      </c>
      <c r="CA143">
        <v>267976.07504600001</v>
      </c>
      <c r="CB143">
        <v>34423.924954000002</v>
      </c>
      <c r="CC143">
        <v>0</v>
      </c>
      <c r="CD143">
        <v>120729</v>
      </c>
      <c r="CE143">
        <v>267683.87</v>
      </c>
      <c r="CF143">
        <v>85954</v>
      </c>
      <c r="CG143">
        <v>22083</v>
      </c>
      <c r="CH143">
        <v>601876.41</v>
      </c>
      <c r="CI143">
        <v>2891983</v>
      </c>
      <c r="CJ143">
        <v>676344</v>
      </c>
    </row>
    <row r="144" spans="58:88" x14ac:dyDescent="0.45">
      <c r="BF144" t="s">
        <v>122</v>
      </c>
      <c r="BG144" t="s">
        <v>123</v>
      </c>
      <c r="BH144" t="s">
        <v>124</v>
      </c>
      <c r="BI144" t="s">
        <v>162</v>
      </c>
      <c r="BJ144" t="s">
        <v>142</v>
      </c>
      <c r="BK144" t="s">
        <v>0</v>
      </c>
      <c r="BL144" t="s">
        <v>138</v>
      </c>
      <c r="BM144" t="s">
        <v>139</v>
      </c>
      <c r="BN144" t="s">
        <v>130</v>
      </c>
      <c r="BO144">
        <v>47</v>
      </c>
      <c r="BP144">
        <v>2</v>
      </c>
      <c r="BQ144">
        <v>342630</v>
      </c>
      <c r="BR144">
        <v>21127.575000000001</v>
      </c>
      <c r="BS144">
        <v>46844.677250000001</v>
      </c>
      <c r="BT144">
        <v>28529.958702</v>
      </c>
      <c r="BU144">
        <v>120375.28200000001</v>
      </c>
      <c r="BV144">
        <v>10268.007549</v>
      </c>
      <c r="BW144">
        <v>42905.942526999999</v>
      </c>
      <c r="BX144">
        <v>53173.950076000001</v>
      </c>
      <c r="BY144">
        <v>49657.533702000001</v>
      </c>
      <c r="BZ144">
        <v>220393.90932599999</v>
      </c>
      <c r="CA144">
        <v>270051.44302800001</v>
      </c>
      <c r="CB144">
        <v>72578.556972000006</v>
      </c>
      <c r="CC144">
        <v>47</v>
      </c>
      <c r="CD144">
        <v>120729</v>
      </c>
      <c r="CE144">
        <v>267683.87</v>
      </c>
      <c r="CF144">
        <v>85954</v>
      </c>
      <c r="CG144">
        <v>22083</v>
      </c>
      <c r="CH144">
        <v>601876.41</v>
      </c>
      <c r="CI144">
        <v>2891983</v>
      </c>
      <c r="CJ144">
        <v>676344</v>
      </c>
    </row>
    <row r="145" spans="58:88" x14ac:dyDescent="0.45">
      <c r="BF145" t="s">
        <v>122</v>
      </c>
      <c r="BG145" t="s">
        <v>123</v>
      </c>
      <c r="BH145" t="s">
        <v>124</v>
      </c>
      <c r="BI145" t="s">
        <v>162</v>
      </c>
      <c r="BJ145" t="s">
        <v>142</v>
      </c>
      <c r="BK145" t="s">
        <v>0</v>
      </c>
      <c r="BL145" t="s">
        <v>138</v>
      </c>
      <c r="BM145" t="s">
        <v>140</v>
      </c>
      <c r="BN145" t="s">
        <v>130</v>
      </c>
      <c r="BO145">
        <v>46</v>
      </c>
      <c r="BP145">
        <v>2</v>
      </c>
      <c r="BQ145">
        <v>331200</v>
      </c>
      <c r="BR145">
        <v>21127.575000000001</v>
      </c>
      <c r="BS145">
        <v>46844.677250000001</v>
      </c>
      <c r="BT145">
        <v>17116.363836</v>
      </c>
      <c r="BU145">
        <v>120375.28200000001</v>
      </c>
      <c r="BV145">
        <v>10268.007549</v>
      </c>
      <c r="BW145">
        <v>42905.942526999999</v>
      </c>
      <c r="BX145">
        <v>53173.950076000001</v>
      </c>
      <c r="BY145">
        <v>38243.938836000001</v>
      </c>
      <c r="BZ145">
        <v>220393.90932599999</v>
      </c>
      <c r="CA145">
        <v>258637.84816200001</v>
      </c>
      <c r="CB145">
        <v>72562.151838000005</v>
      </c>
      <c r="CC145">
        <v>0</v>
      </c>
      <c r="CD145">
        <v>120729</v>
      </c>
      <c r="CE145">
        <v>267683.87</v>
      </c>
      <c r="CF145">
        <v>85954</v>
      </c>
      <c r="CG145">
        <v>22083</v>
      </c>
      <c r="CH145">
        <v>601876.41</v>
      </c>
      <c r="CI145">
        <v>2891983</v>
      </c>
      <c r="CJ145">
        <v>676344</v>
      </c>
    </row>
    <row r="146" spans="58:88" x14ac:dyDescent="0.45">
      <c r="BF146" t="s">
        <v>122</v>
      </c>
      <c r="BG146" t="s">
        <v>123</v>
      </c>
      <c r="BH146" t="s">
        <v>124</v>
      </c>
      <c r="BI146" t="s">
        <v>162</v>
      </c>
      <c r="BJ146" t="s">
        <v>143</v>
      </c>
      <c r="BK146" t="s">
        <v>144</v>
      </c>
      <c r="BL146" t="s">
        <v>145</v>
      </c>
      <c r="BM146" t="s">
        <v>129</v>
      </c>
      <c r="BN146" t="s">
        <v>137</v>
      </c>
      <c r="BO146">
        <v>51</v>
      </c>
      <c r="BP146">
        <v>2</v>
      </c>
      <c r="BQ146">
        <v>375615</v>
      </c>
      <c r="BR146">
        <v>30182.25</v>
      </c>
      <c r="BS146">
        <v>70084.272500000006</v>
      </c>
      <c r="BT146">
        <v>31438.389987999999</v>
      </c>
      <c r="BU146">
        <v>132547.764</v>
      </c>
      <c r="BV146">
        <v>11169.564458999999</v>
      </c>
      <c r="BW146">
        <v>46249.228758999998</v>
      </c>
      <c r="BX146">
        <v>57418.793217999999</v>
      </c>
      <c r="BY146">
        <v>61620.639988000003</v>
      </c>
      <c r="BZ146">
        <v>260050.82971799999</v>
      </c>
      <c r="CA146">
        <v>321671.469706</v>
      </c>
      <c r="CB146">
        <v>53943.530293999997</v>
      </c>
      <c r="CC146">
        <v>51</v>
      </c>
      <c r="CD146">
        <v>120729</v>
      </c>
      <c r="CE146">
        <v>280337.09000000003</v>
      </c>
      <c r="CF146">
        <v>92652</v>
      </c>
      <c r="CG146">
        <v>24923</v>
      </c>
      <c r="CH146">
        <v>662738.81999999995</v>
      </c>
      <c r="CI146">
        <v>2891983</v>
      </c>
      <c r="CJ146">
        <v>676344</v>
      </c>
    </row>
    <row r="147" spans="58:88" x14ac:dyDescent="0.45">
      <c r="BF147" t="s">
        <v>122</v>
      </c>
      <c r="BG147" t="s">
        <v>123</v>
      </c>
      <c r="BH147" t="s">
        <v>124</v>
      </c>
      <c r="BI147" t="s">
        <v>162</v>
      </c>
      <c r="BJ147" t="s">
        <v>143</v>
      </c>
      <c r="BK147" t="s">
        <v>144</v>
      </c>
      <c r="BL147" t="s">
        <v>145</v>
      </c>
      <c r="BM147" t="s">
        <v>131</v>
      </c>
      <c r="BN147" t="s">
        <v>130</v>
      </c>
      <c r="BO147">
        <v>49</v>
      </c>
      <c r="BP147">
        <v>2</v>
      </c>
      <c r="BQ147">
        <v>332710</v>
      </c>
      <c r="BR147">
        <v>24145.8</v>
      </c>
      <c r="BS147">
        <v>56067.417999999998</v>
      </c>
      <c r="BT147">
        <v>18232.709124000001</v>
      </c>
      <c r="BU147">
        <v>132547.764</v>
      </c>
      <c r="BV147">
        <v>11169.564458999999</v>
      </c>
      <c r="BW147">
        <v>46249.228758999998</v>
      </c>
      <c r="BX147">
        <v>57418.793217999999</v>
      </c>
      <c r="BY147">
        <v>42378.509123999997</v>
      </c>
      <c r="BZ147">
        <v>246033.97521800001</v>
      </c>
      <c r="CA147">
        <v>288412.48434199998</v>
      </c>
      <c r="CB147">
        <v>44297.515657999997</v>
      </c>
      <c r="CC147">
        <v>0</v>
      </c>
      <c r="CD147">
        <v>120729</v>
      </c>
      <c r="CE147">
        <v>280337.09000000003</v>
      </c>
      <c r="CF147">
        <v>92652</v>
      </c>
      <c r="CG147">
        <v>24923</v>
      </c>
      <c r="CH147">
        <v>662738.81999999995</v>
      </c>
      <c r="CI147">
        <v>2891983</v>
      </c>
      <c r="CJ147">
        <v>676344</v>
      </c>
    </row>
    <row r="148" spans="58:88" x14ac:dyDescent="0.45">
      <c r="BF148" t="s">
        <v>122</v>
      </c>
      <c r="BG148" t="s">
        <v>123</v>
      </c>
      <c r="BH148" t="s">
        <v>124</v>
      </c>
      <c r="BI148" t="s">
        <v>162</v>
      </c>
      <c r="BJ148" t="s">
        <v>143</v>
      </c>
      <c r="BK148" t="s">
        <v>144</v>
      </c>
      <c r="BL148" t="s">
        <v>145</v>
      </c>
      <c r="BM148" t="s">
        <v>132</v>
      </c>
      <c r="BN148" t="s">
        <v>130</v>
      </c>
      <c r="BO148">
        <v>48</v>
      </c>
      <c r="BP148">
        <v>2</v>
      </c>
      <c r="BQ148">
        <v>325920</v>
      </c>
      <c r="BR148">
        <v>24145.8</v>
      </c>
      <c r="BS148">
        <v>56067.417999999998</v>
      </c>
      <c r="BT148">
        <v>17860.618692</v>
      </c>
      <c r="BU148">
        <v>132547.764</v>
      </c>
      <c r="BV148">
        <v>11169.564458999999</v>
      </c>
      <c r="BW148">
        <v>46249.228758999998</v>
      </c>
      <c r="BX148">
        <v>57418.793217999999</v>
      </c>
      <c r="BY148">
        <v>42006.418691999999</v>
      </c>
      <c r="BZ148">
        <v>246033.97521800001</v>
      </c>
      <c r="CA148">
        <v>288040.39390999998</v>
      </c>
      <c r="CB148">
        <v>37879.606090000001</v>
      </c>
      <c r="CC148">
        <v>0</v>
      </c>
      <c r="CD148">
        <v>120729</v>
      </c>
      <c r="CE148">
        <v>280337.09000000003</v>
      </c>
      <c r="CF148">
        <v>92652</v>
      </c>
      <c r="CG148">
        <v>24923</v>
      </c>
      <c r="CH148">
        <v>662738.81999999995</v>
      </c>
      <c r="CI148">
        <v>2891983</v>
      </c>
      <c r="CJ148">
        <v>676344</v>
      </c>
    </row>
    <row r="149" spans="58:88" x14ac:dyDescent="0.45">
      <c r="BF149" t="s">
        <v>122</v>
      </c>
      <c r="BG149" t="s">
        <v>123</v>
      </c>
      <c r="BH149" t="s">
        <v>124</v>
      </c>
      <c r="BI149" t="s">
        <v>162</v>
      </c>
      <c r="BJ149" t="s">
        <v>143</v>
      </c>
      <c r="BK149" t="s">
        <v>144</v>
      </c>
      <c r="BL149" t="s">
        <v>146</v>
      </c>
      <c r="BM149" t="s">
        <v>139</v>
      </c>
      <c r="BN149" t="s">
        <v>130</v>
      </c>
      <c r="BO149">
        <v>51</v>
      </c>
      <c r="BP149">
        <v>2</v>
      </c>
      <c r="BQ149">
        <v>375615</v>
      </c>
      <c r="BR149">
        <v>21127.575000000001</v>
      </c>
      <c r="BS149">
        <v>49058.990749999997</v>
      </c>
      <c r="BT149">
        <v>31438.389987999999</v>
      </c>
      <c r="BU149">
        <v>132547.764</v>
      </c>
      <c r="BV149">
        <v>11169.564458999999</v>
      </c>
      <c r="BW149">
        <v>46249.228758999998</v>
      </c>
      <c r="BX149">
        <v>57418.793217999999</v>
      </c>
      <c r="BY149">
        <v>52565.964988</v>
      </c>
      <c r="BZ149">
        <v>239025.547968</v>
      </c>
      <c r="CA149">
        <v>291591.51295599999</v>
      </c>
      <c r="CB149">
        <v>84023.487043999994</v>
      </c>
      <c r="CC149">
        <v>51</v>
      </c>
      <c r="CD149">
        <v>120729</v>
      </c>
      <c r="CE149">
        <v>280337.09000000003</v>
      </c>
      <c r="CF149">
        <v>92652</v>
      </c>
      <c r="CG149">
        <v>24923</v>
      </c>
      <c r="CH149">
        <v>662738.81999999995</v>
      </c>
      <c r="CI149">
        <v>2891983</v>
      </c>
      <c r="CJ149">
        <v>676344</v>
      </c>
    </row>
    <row r="150" spans="58:88" x14ac:dyDescent="0.45">
      <c r="BF150" t="s">
        <v>122</v>
      </c>
      <c r="BG150" t="s">
        <v>123</v>
      </c>
      <c r="BH150" t="s">
        <v>124</v>
      </c>
      <c r="BI150" t="s">
        <v>162</v>
      </c>
      <c r="BJ150" t="s">
        <v>143</v>
      </c>
      <c r="BK150" t="s">
        <v>144</v>
      </c>
      <c r="BL150" t="s">
        <v>146</v>
      </c>
      <c r="BM150" t="s">
        <v>140</v>
      </c>
      <c r="BN150" t="s">
        <v>130</v>
      </c>
      <c r="BO150">
        <v>50</v>
      </c>
      <c r="BP150">
        <v>2</v>
      </c>
      <c r="BQ150">
        <v>363750</v>
      </c>
      <c r="BR150">
        <v>21127.575000000001</v>
      </c>
      <c r="BS150">
        <v>49058.990749999997</v>
      </c>
      <c r="BT150">
        <v>18604.799556000002</v>
      </c>
      <c r="BU150">
        <v>132547.764</v>
      </c>
      <c r="BV150">
        <v>11169.564458999999</v>
      </c>
      <c r="BW150">
        <v>46249.228758999998</v>
      </c>
      <c r="BX150">
        <v>57418.793217999999</v>
      </c>
      <c r="BY150">
        <v>39732.374556000002</v>
      </c>
      <c r="BZ150">
        <v>239025.547968</v>
      </c>
      <c r="CA150">
        <v>278757.92252399999</v>
      </c>
      <c r="CB150">
        <v>84992.077476000006</v>
      </c>
      <c r="CC150">
        <v>0</v>
      </c>
      <c r="CD150">
        <v>120729</v>
      </c>
      <c r="CE150">
        <v>280337.09000000003</v>
      </c>
      <c r="CF150">
        <v>92652</v>
      </c>
      <c r="CG150">
        <v>24923</v>
      </c>
      <c r="CH150">
        <v>662738.81999999995</v>
      </c>
      <c r="CI150">
        <v>2891983</v>
      </c>
      <c r="CJ150">
        <v>676344</v>
      </c>
    </row>
    <row r="151" spans="58:88" x14ac:dyDescent="0.45">
      <c r="BF151" t="s">
        <v>122</v>
      </c>
      <c r="BG151" t="s">
        <v>123</v>
      </c>
      <c r="BH151" t="s">
        <v>124</v>
      </c>
      <c r="BI151" t="s">
        <v>162</v>
      </c>
      <c r="BJ151" t="s">
        <v>147</v>
      </c>
      <c r="BK151" t="s">
        <v>144</v>
      </c>
      <c r="BL151" t="s">
        <v>145</v>
      </c>
      <c r="BM151" t="s">
        <v>129</v>
      </c>
      <c r="BN151" t="s">
        <v>137</v>
      </c>
      <c r="BO151">
        <v>66</v>
      </c>
      <c r="BP151">
        <v>3</v>
      </c>
      <c r="BQ151">
        <v>525690</v>
      </c>
      <c r="BR151">
        <v>45273.377028000003</v>
      </c>
      <c r="BS151">
        <v>115440.015281</v>
      </c>
      <c r="BT151">
        <v>45449.729977000003</v>
      </c>
      <c r="BU151">
        <v>218464.29538200001</v>
      </c>
      <c r="BV151">
        <v>16769.864589000001</v>
      </c>
      <c r="BW151">
        <v>69438.097297999993</v>
      </c>
      <c r="BX151">
        <v>86207.961886999998</v>
      </c>
      <c r="BY151">
        <v>90723.107004999998</v>
      </c>
      <c r="BZ151">
        <v>420112.27254999999</v>
      </c>
      <c r="CA151">
        <v>510835.37955499999</v>
      </c>
      <c r="CB151">
        <v>14854.620445</v>
      </c>
      <c r="CC151">
        <v>66</v>
      </c>
      <c r="CD151">
        <v>156948</v>
      </c>
      <c r="CE151">
        <v>400192.8</v>
      </c>
      <c r="CF151">
        <v>120559</v>
      </c>
      <c r="CG151">
        <v>41783</v>
      </c>
      <c r="CH151">
        <v>946679.56</v>
      </c>
      <c r="CI151">
        <v>2891983</v>
      </c>
      <c r="CJ151">
        <v>676344</v>
      </c>
    </row>
    <row r="152" spans="58:88" x14ac:dyDescent="0.45">
      <c r="BF152" t="s">
        <v>122</v>
      </c>
      <c r="BG152" t="s">
        <v>123</v>
      </c>
      <c r="BH152" t="s">
        <v>124</v>
      </c>
      <c r="BI152" t="s">
        <v>162</v>
      </c>
      <c r="BJ152" t="s">
        <v>147</v>
      </c>
      <c r="BK152" t="s">
        <v>144</v>
      </c>
      <c r="BL152" t="s">
        <v>145</v>
      </c>
      <c r="BM152" t="s">
        <v>131</v>
      </c>
      <c r="BN152" t="s">
        <v>130</v>
      </c>
      <c r="BO152">
        <v>64</v>
      </c>
      <c r="BP152">
        <v>2</v>
      </c>
      <c r="BQ152">
        <v>470400</v>
      </c>
      <c r="BR152">
        <v>24145.822007999999</v>
      </c>
      <c r="BS152">
        <v>61568.061508999999</v>
      </c>
      <c r="BT152">
        <v>23814.019270000001</v>
      </c>
      <c r="BU152">
        <v>145642.86358800001</v>
      </c>
      <c r="BV152">
        <v>11179.909726</v>
      </c>
      <c r="BW152">
        <v>46292.064865</v>
      </c>
      <c r="BX152">
        <v>57471.974590999998</v>
      </c>
      <c r="BY152">
        <v>47959.841278</v>
      </c>
      <c r="BZ152">
        <v>264682.89968799998</v>
      </c>
      <c r="CA152">
        <v>312642.74096600001</v>
      </c>
      <c r="CB152">
        <v>157757.25903399999</v>
      </c>
      <c r="CC152">
        <v>0</v>
      </c>
      <c r="CD152">
        <v>156948</v>
      </c>
      <c r="CE152">
        <v>400192.8</v>
      </c>
      <c r="CF152">
        <v>120559</v>
      </c>
      <c r="CG152">
        <v>41783</v>
      </c>
      <c r="CH152">
        <v>946679.56</v>
      </c>
      <c r="CI152">
        <v>2891983</v>
      </c>
      <c r="CJ152">
        <v>676344</v>
      </c>
    </row>
    <row r="153" spans="58:88" x14ac:dyDescent="0.45">
      <c r="BF153" t="s">
        <v>122</v>
      </c>
      <c r="BG153" t="s">
        <v>123</v>
      </c>
      <c r="BH153" t="s">
        <v>124</v>
      </c>
      <c r="BI153" t="s">
        <v>162</v>
      </c>
      <c r="BJ153" t="s">
        <v>147</v>
      </c>
      <c r="BK153" t="s">
        <v>144</v>
      </c>
      <c r="BL153" t="s">
        <v>145</v>
      </c>
      <c r="BM153" t="s">
        <v>132</v>
      </c>
      <c r="BN153" t="s">
        <v>130</v>
      </c>
      <c r="BO153">
        <v>63</v>
      </c>
      <c r="BP153">
        <v>2</v>
      </c>
      <c r="BQ153">
        <v>463050</v>
      </c>
      <c r="BR153">
        <v>24145.822007999999</v>
      </c>
      <c r="BS153">
        <v>61568.061508999999</v>
      </c>
      <c r="BT153">
        <v>23441.974195999999</v>
      </c>
      <c r="BU153">
        <v>145642.86358800001</v>
      </c>
      <c r="BV153">
        <v>11179.909726</v>
      </c>
      <c r="BW153">
        <v>46292.064865</v>
      </c>
      <c r="BX153">
        <v>57471.974590999998</v>
      </c>
      <c r="BY153">
        <v>47587.796203999998</v>
      </c>
      <c r="BZ153">
        <v>264682.89968799998</v>
      </c>
      <c r="CA153">
        <v>312270.69589199999</v>
      </c>
      <c r="CB153">
        <v>150779.30410800001</v>
      </c>
      <c r="CC153">
        <v>0</v>
      </c>
      <c r="CD153">
        <v>156948</v>
      </c>
      <c r="CE153">
        <v>400192.8</v>
      </c>
      <c r="CF153">
        <v>120559</v>
      </c>
      <c r="CG153">
        <v>41783</v>
      </c>
      <c r="CH153">
        <v>946679.56</v>
      </c>
      <c r="CI153">
        <v>2891983</v>
      </c>
      <c r="CJ153">
        <v>676344</v>
      </c>
    </row>
    <row r="154" spans="58:88" x14ac:dyDescent="0.45">
      <c r="BF154" t="s">
        <v>122</v>
      </c>
      <c r="BG154" t="s">
        <v>123</v>
      </c>
      <c r="BH154" t="s">
        <v>124</v>
      </c>
      <c r="BI154" t="s">
        <v>162</v>
      </c>
      <c r="BJ154" t="s">
        <v>147</v>
      </c>
      <c r="BK154" t="s">
        <v>144</v>
      </c>
      <c r="BL154" t="s">
        <v>146</v>
      </c>
      <c r="BM154" t="s">
        <v>139</v>
      </c>
      <c r="BN154" t="s">
        <v>130</v>
      </c>
      <c r="BO154">
        <v>66</v>
      </c>
      <c r="BP154">
        <v>3</v>
      </c>
      <c r="BQ154">
        <v>525690</v>
      </c>
      <c r="BR154">
        <v>31691.411004000001</v>
      </c>
      <c r="BS154">
        <v>80808.130753999998</v>
      </c>
      <c r="BT154">
        <v>45449.729977000003</v>
      </c>
      <c r="BU154">
        <v>218464.29538200001</v>
      </c>
      <c r="BV154">
        <v>16769.864589000001</v>
      </c>
      <c r="BW154">
        <v>69438.097297999993</v>
      </c>
      <c r="BX154">
        <v>86207.961886999998</v>
      </c>
      <c r="BY154">
        <v>77141.140981000004</v>
      </c>
      <c r="BZ154">
        <v>385480.38802299998</v>
      </c>
      <c r="CA154">
        <v>462621.52900400001</v>
      </c>
      <c r="CB154">
        <v>63068.470995999996</v>
      </c>
      <c r="CC154">
        <v>66</v>
      </c>
      <c r="CD154">
        <v>156948</v>
      </c>
      <c r="CE154">
        <v>400192.8</v>
      </c>
      <c r="CF154">
        <v>120559</v>
      </c>
      <c r="CG154">
        <v>41783</v>
      </c>
      <c r="CH154">
        <v>946679.56</v>
      </c>
      <c r="CI154">
        <v>2891983</v>
      </c>
      <c r="CJ154">
        <v>676344</v>
      </c>
    </row>
    <row r="155" spans="58:88" x14ac:dyDescent="0.45">
      <c r="BF155" t="s">
        <v>122</v>
      </c>
      <c r="BG155" t="s">
        <v>123</v>
      </c>
      <c r="BH155" t="s">
        <v>124</v>
      </c>
      <c r="BI155" t="s">
        <v>162</v>
      </c>
      <c r="BJ155" t="s">
        <v>147</v>
      </c>
      <c r="BK155" t="s">
        <v>144</v>
      </c>
      <c r="BL155" t="s">
        <v>146</v>
      </c>
      <c r="BM155" t="s">
        <v>140</v>
      </c>
      <c r="BN155" t="s">
        <v>130</v>
      </c>
      <c r="BO155">
        <v>65</v>
      </c>
      <c r="BP155">
        <v>3</v>
      </c>
      <c r="BQ155">
        <v>511875</v>
      </c>
      <c r="BR155">
        <v>31691.411004000001</v>
      </c>
      <c r="BS155">
        <v>80808.130753999998</v>
      </c>
      <c r="BT155">
        <v>24186.184903000001</v>
      </c>
      <c r="BU155">
        <v>218464.29538200001</v>
      </c>
      <c r="BV155">
        <v>16769.864589000001</v>
      </c>
      <c r="BW155">
        <v>69438.097297999993</v>
      </c>
      <c r="BX155">
        <v>86207.961886999998</v>
      </c>
      <c r="BY155">
        <v>55877.595907000003</v>
      </c>
      <c r="BZ155">
        <v>385480.38802299998</v>
      </c>
      <c r="CA155">
        <v>441357.98392999999</v>
      </c>
      <c r="CB155">
        <v>70517.016069999998</v>
      </c>
      <c r="CC155">
        <v>0</v>
      </c>
      <c r="CD155">
        <v>156948</v>
      </c>
      <c r="CE155">
        <v>400192.8</v>
      </c>
      <c r="CF155">
        <v>120559</v>
      </c>
      <c r="CG155">
        <v>41783</v>
      </c>
      <c r="CH155">
        <v>946679.56</v>
      </c>
      <c r="CI155">
        <v>2891983</v>
      </c>
      <c r="CJ155">
        <v>676344</v>
      </c>
    </row>
    <row r="156" spans="58:88" x14ac:dyDescent="0.45">
      <c r="BF156" t="s">
        <v>122</v>
      </c>
      <c r="BG156" t="s">
        <v>123</v>
      </c>
      <c r="BH156" t="s">
        <v>124</v>
      </c>
      <c r="BI156" t="s">
        <v>162</v>
      </c>
      <c r="BJ156" t="s">
        <v>148</v>
      </c>
      <c r="BK156" t="s">
        <v>144</v>
      </c>
      <c r="BL156" t="s">
        <v>145</v>
      </c>
      <c r="BM156" t="s">
        <v>129</v>
      </c>
      <c r="BN156" t="s">
        <v>137</v>
      </c>
      <c r="BO156">
        <v>60</v>
      </c>
      <c r="BP156">
        <v>2</v>
      </c>
      <c r="BQ156">
        <v>455400</v>
      </c>
      <c r="BR156">
        <v>30824.329375000001</v>
      </c>
      <c r="BS156">
        <v>73244.861885999999</v>
      </c>
      <c r="BT156">
        <v>38092.145076000001</v>
      </c>
      <c r="BU156">
        <v>134165.151671</v>
      </c>
      <c r="BV156">
        <v>10990.102118999999</v>
      </c>
      <c r="BW156">
        <v>45506.138479000001</v>
      </c>
      <c r="BX156">
        <v>56496.240597999997</v>
      </c>
      <c r="BY156">
        <v>68916.474451000002</v>
      </c>
      <c r="BZ156">
        <v>263906.25415499997</v>
      </c>
      <c r="CA156">
        <v>332822.72860600002</v>
      </c>
      <c r="CB156">
        <v>122577.271394</v>
      </c>
      <c r="CC156">
        <v>60</v>
      </c>
      <c r="CD156">
        <v>144875</v>
      </c>
      <c r="CE156">
        <v>344252.4</v>
      </c>
      <c r="CF156">
        <v>109396</v>
      </c>
      <c r="CG156">
        <v>31533</v>
      </c>
      <c r="CH156">
        <v>804994.13</v>
      </c>
      <c r="CI156">
        <v>2891983</v>
      </c>
      <c r="CJ156">
        <v>676344</v>
      </c>
    </row>
    <row r="157" spans="58:88" x14ac:dyDescent="0.45">
      <c r="BF157" t="s">
        <v>122</v>
      </c>
      <c r="BG157" t="s">
        <v>123</v>
      </c>
      <c r="BH157" t="s">
        <v>124</v>
      </c>
      <c r="BI157" t="s">
        <v>162</v>
      </c>
      <c r="BJ157" t="s">
        <v>148</v>
      </c>
      <c r="BK157" t="s">
        <v>144</v>
      </c>
      <c r="BL157" t="s">
        <v>145</v>
      </c>
      <c r="BM157" t="s">
        <v>131</v>
      </c>
      <c r="BN157" t="s">
        <v>130</v>
      </c>
      <c r="BO157">
        <v>58</v>
      </c>
      <c r="BP157">
        <v>2</v>
      </c>
      <c r="BQ157">
        <v>406000</v>
      </c>
      <c r="BR157">
        <v>24659.463500000002</v>
      </c>
      <c r="BS157">
        <v>58595.889509000001</v>
      </c>
      <c r="BT157">
        <v>21581.424088</v>
      </c>
      <c r="BU157">
        <v>134165.151671</v>
      </c>
      <c r="BV157">
        <v>10990.102118999999</v>
      </c>
      <c r="BW157">
        <v>45506.138479000001</v>
      </c>
      <c r="BX157">
        <v>56496.240597999997</v>
      </c>
      <c r="BY157">
        <v>46240.887587999998</v>
      </c>
      <c r="BZ157">
        <v>249257.281778</v>
      </c>
      <c r="CA157">
        <v>295498.16936599999</v>
      </c>
      <c r="CB157">
        <v>110501.830634</v>
      </c>
      <c r="CC157">
        <v>0</v>
      </c>
      <c r="CD157">
        <v>144875</v>
      </c>
      <c r="CE157">
        <v>344252.4</v>
      </c>
      <c r="CF157">
        <v>109396</v>
      </c>
      <c r="CG157">
        <v>31533</v>
      </c>
      <c r="CH157">
        <v>804994.13</v>
      </c>
      <c r="CI157">
        <v>2891983</v>
      </c>
      <c r="CJ157">
        <v>676344</v>
      </c>
    </row>
    <row r="158" spans="58:88" x14ac:dyDescent="0.45">
      <c r="BF158" t="s">
        <v>122</v>
      </c>
      <c r="BG158" t="s">
        <v>123</v>
      </c>
      <c r="BH158" t="s">
        <v>124</v>
      </c>
      <c r="BI158" t="s">
        <v>162</v>
      </c>
      <c r="BJ158" t="s">
        <v>148</v>
      </c>
      <c r="BK158" t="s">
        <v>144</v>
      </c>
      <c r="BL158" t="s">
        <v>145</v>
      </c>
      <c r="BM158" t="s">
        <v>132</v>
      </c>
      <c r="BN158" t="s">
        <v>130</v>
      </c>
      <c r="BO158">
        <v>57</v>
      </c>
      <c r="BP158">
        <v>2</v>
      </c>
      <c r="BQ158">
        <v>399000</v>
      </c>
      <c r="BR158">
        <v>24659.463500000002</v>
      </c>
      <c r="BS158">
        <v>58595.889509000001</v>
      </c>
      <c r="BT158">
        <v>21209.368291999999</v>
      </c>
      <c r="BU158">
        <v>134165.151671</v>
      </c>
      <c r="BV158">
        <v>10990.102118999999</v>
      </c>
      <c r="BW158">
        <v>45506.138479000001</v>
      </c>
      <c r="BX158">
        <v>56496.240597999997</v>
      </c>
      <c r="BY158">
        <v>45868.831791999997</v>
      </c>
      <c r="BZ158">
        <v>249257.281778</v>
      </c>
      <c r="CA158">
        <v>295126.11356999999</v>
      </c>
      <c r="CB158">
        <v>103873.88643</v>
      </c>
      <c r="CC158">
        <v>0</v>
      </c>
      <c r="CD158">
        <v>144875</v>
      </c>
      <c r="CE158">
        <v>344252.4</v>
      </c>
      <c r="CF158">
        <v>109396</v>
      </c>
      <c r="CG158">
        <v>31533</v>
      </c>
      <c r="CH158">
        <v>804994.13</v>
      </c>
      <c r="CI158">
        <v>2891983</v>
      </c>
      <c r="CJ158">
        <v>676344</v>
      </c>
    </row>
    <row r="159" spans="58:88" x14ac:dyDescent="0.45">
      <c r="BF159" t="s">
        <v>122</v>
      </c>
      <c r="BG159" t="s">
        <v>123</v>
      </c>
      <c r="BH159" t="s">
        <v>124</v>
      </c>
      <c r="BI159" t="s">
        <v>162</v>
      </c>
      <c r="BJ159" t="s">
        <v>148</v>
      </c>
      <c r="BK159" t="s">
        <v>144</v>
      </c>
      <c r="BL159" t="s">
        <v>146</v>
      </c>
      <c r="BM159" t="s">
        <v>139</v>
      </c>
      <c r="BN159" t="s">
        <v>130</v>
      </c>
      <c r="BO159">
        <v>60</v>
      </c>
      <c r="BP159">
        <v>3</v>
      </c>
      <c r="BQ159">
        <v>455400</v>
      </c>
      <c r="BR159">
        <v>32365.654500000001</v>
      </c>
      <c r="BS159">
        <v>76907.363169999997</v>
      </c>
      <c r="BT159">
        <v>38092.145076000001</v>
      </c>
      <c r="BU159">
        <v>201248.5325</v>
      </c>
      <c r="BV159">
        <v>16485.219120000002</v>
      </c>
      <c r="BW159">
        <v>68259.480756000004</v>
      </c>
      <c r="BX159">
        <v>84744.699875999999</v>
      </c>
      <c r="BY159">
        <v>70457.799576000005</v>
      </c>
      <c r="BZ159">
        <v>362900.595546</v>
      </c>
      <c r="CA159">
        <v>433358.39512200002</v>
      </c>
      <c r="CB159">
        <v>22041.604877999998</v>
      </c>
      <c r="CC159">
        <v>60</v>
      </c>
      <c r="CD159">
        <v>144875</v>
      </c>
      <c r="CE159">
        <v>344252.4</v>
      </c>
      <c r="CF159">
        <v>109396</v>
      </c>
      <c r="CG159">
        <v>31533</v>
      </c>
      <c r="CH159">
        <v>804994.13</v>
      </c>
      <c r="CI159">
        <v>2891983</v>
      </c>
      <c r="CJ159">
        <v>676344</v>
      </c>
    </row>
    <row r="160" spans="58:88" x14ac:dyDescent="0.45">
      <c r="BF160" t="s">
        <v>122</v>
      </c>
      <c r="BG160" t="s">
        <v>123</v>
      </c>
      <c r="BH160" t="s">
        <v>124</v>
      </c>
      <c r="BI160" t="s">
        <v>162</v>
      </c>
      <c r="BJ160" t="s">
        <v>148</v>
      </c>
      <c r="BK160" t="s">
        <v>144</v>
      </c>
      <c r="BL160" t="s">
        <v>146</v>
      </c>
      <c r="BM160" t="s">
        <v>140</v>
      </c>
      <c r="BN160" t="s">
        <v>130</v>
      </c>
      <c r="BO160">
        <v>59</v>
      </c>
      <c r="BP160">
        <v>3</v>
      </c>
      <c r="BQ160">
        <v>442500</v>
      </c>
      <c r="BR160">
        <v>32365.654500000001</v>
      </c>
      <c r="BS160">
        <v>76907.363169999997</v>
      </c>
      <c r="BT160">
        <v>21953.58928</v>
      </c>
      <c r="BU160">
        <v>201248.5325</v>
      </c>
      <c r="BV160">
        <v>16485.219120000002</v>
      </c>
      <c r="BW160">
        <v>68259.480756000004</v>
      </c>
      <c r="BX160">
        <v>84744.699875999999</v>
      </c>
      <c r="BY160">
        <v>54319.243779999997</v>
      </c>
      <c r="BZ160">
        <v>362900.595546</v>
      </c>
      <c r="CA160">
        <v>417219.83932600002</v>
      </c>
      <c r="CB160">
        <v>25280.160673999999</v>
      </c>
      <c r="CC160">
        <v>0</v>
      </c>
      <c r="CD160">
        <v>144875</v>
      </c>
      <c r="CE160">
        <v>344252.4</v>
      </c>
      <c r="CF160">
        <v>109396</v>
      </c>
      <c r="CG160">
        <v>31533</v>
      </c>
      <c r="CH160">
        <v>804994.13</v>
      </c>
      <c r="CI160">
        <v>2891983</v>
      </c>
      <c r="CJ160">
        <v>676344</v>
      </c>
    </row>
    <row r="161" spans="58:88" x14ac:dyDescent="0.45">
      <c r="BF161" t="s">
        <v>122</v>
      </c>
      <c r="BG161" t="s">
        <v>123</v>
      </c>
      <c r="BH161" t="s">
        <v>124</v>
      </c>
      <c r="BI161" t="s">
        <v>162</v>
      </c>
      <c r="BJ161" t="s">
        <v>149</v>
      </c>
      <c r="BK161" t="s">
        <v>144</v>
      </c>
      <c r="BL161" t="s">
        <v>145</v>
      </c>
      <c r="BM161" t="s">
        <v>129</v>
      </c>
      <c r="BN161" t="s">
        <v>137</v>
      </c>
      <c r="BO161">
        <v>78</v>
      </c>
      <c r="BP161">
        <v>3</v>
      </c>
      <c r="BQ161">
        <v>662220</v>
      </c>
      <c r="BR161">
        <v>45273.5</v>
      </c>
      <c r="BS161">
        <v>125515.74</v>
      </c>
      <c r="BT161">
        <v>63168.782319999998</v>
      </c>
      <c r="BU161">
        <v>241037.70600000001</v>
      </c>
      <c r="BV161">
        <v>17135.641091000001</v>
      </c>
      <c r="BW161">
        <v>70952.648843000003</v>
      </c>
      <c r="BX161">
        <v>88088.289934</v>
      </c>
      <c r="BY161">
        <v>108442.28232</v>
      </c>
      <c r="BZ161">
        <v>454641.735934</v>
      </c>
      <c r="CA161">
        <v>563084.018254</v>
      </c>
      <c r="CB161">
        <v>99135.981746000005</v>
      </c>
      <c r="CC161">
        <v>78</v>
      </c>
      <c r="CD161">
        <v>181094</v>
      </c>
      <c r="CE161">
        <v>502062.96</v>
      </c>
      <c r="CF161">
        <v>142140</v>
      </c>
      <c r="CG161">
        <v>68291</v>
      </c>
      <c r="CH161">
        <v>1205188.53</v>
      </c>
      <c r="CI161">
        <v>2891983</v>
      </c>
      <c r="CJ161">
        <v>676344</v>
      </c>
    </row>
    <row r="162" spans="58:88" x14ac:dyDescent="0.45">
      <c r="BF162" t="s">
        <v>122</v>
      </c>
      <c r="BG162" t="s">
        <v>123</v>
      </c>
      <c r="BH162" t="s">
        <v>124</v>
      </c>
      <c r="BI162" t="s">
        <v>162</v>
      </c>
      <c r="BJ162" t="s">
        <v>149</v>
      </c>
      <c r="BK162" t="s">
        <v>144</v>
      </c>
      <c r="BL162" t="s">
        <v>145</v>
      </c>
      <c r="BM162" t="s">
        <v>131</v>
      </c>
      <c r="BN162" t="s">
        <v>130</v>
      </c>
      <c r="BO162">
        <v>76</v>
      </c>
      <c r="BP162">
        <v>3</v>
      </c>
      <c r="BQ162">
        <v>595840</v>
      </c>
      <c r="BR162">
        <v>36218.800000000003</v>
      </c>
      <c r="BS162">
        <v>100412.592</v>
      </c>
      <c r="BT162">
        <v>28279.03728</v>
      </c>
      <c r="BU162">
        <v>241037.70600000001</v>
      </c>
      <c r="BV162">
        <v>17135.641091000001</v>
      </c>
      <c r="BW162">
        <v>70952.648843000003</v>
      </c>
      <c r="BX162">
        <v>88088.289934</v>
      </c>
      <c r="BY162">
        <v>64497.83728</v>
      </c>
      <c r="BZ162">
        <v>429538.58793400001</v>
      </c>
      <c r="CA162">
        <v>494036.42521399999</v>
      </c>
      <c r="CB162">
        <v>101803.574786</v>
      </c>
      <c r="CC162">
        <v>0</v>
      </c>
      <c r="CD162">
        <v>181094</v>
      </c>
      <c r="CE162">
        <v>502062.96</v>
      </c>
      <c r="CF162">
        <v>142140</v>
      </c>
      <c r="CG162">
        <v>68291</v>
      </c>
      <c r="CH162">
        <v>1205188.53</v>
      </c>
      <c r="CI162">
        <v>2891983</v>
      </c>
      <c r="CJ162">
        <v>676344</v>
      </c>
    </row>
    <row r="163" spans="58:88" x14ac:dyDescent="0.45">
      <c r="BF163" t="s">
        <v>122</v>
      </c>
      <c r="BG163" t="s">
        <v>123</v>
      </c>
      <c r="BH163" t="s">
        <v>124</v>
      </c>
      <c r="BI163" t="s">
        <v>162</v>
      </c>
      <c r="BJ163" t="s">
        <v>149</v>
      </c>
      <c r="BK163" t="s">
        <v>144</v>
      </c>
      <c r="BL163" t="s">
        <v>145</v>
      </c>
      <c r="BM163" t="s">
        <v>132</v>
      </c>
      <c r="BN163" t="s">
        <v>130</v>
      </c>
      <c r="BO163">
        <v>74</v>
      </c>
      <c r="BP163">
        <v>3</v>
      </c>
      <c r="BQ163">
        <v>580160</v>
      </c>
      <c r="BR163">
        <v>36218.800000000003</v>
      </c>
      <c r="BS163">
        <v>100412.592</v>
      </c>
      <c r="BT163">
        <v>27534.934379999999</v>
      </c>
      <c r="BU163">
        <v>241037.70600000001</v>
      </c>
      <c r="BV163">
        <v>17135.641091000001</v>
      </c>
      <c r="BW163">
        <v>70952.648843000003</v>
      </c>
      <c r="BX163">
        <v>88088.289934</v>
      </c>
      <c r="BY163">
        <v>63753.734380000002</v>
      </c>
      <c r="BZ163">
        <v>429538.58793400001</v>
      </c>
      <c r="CA163">
        <v>493292.32231399999</v>
      </c>
      <c r="CB163">
        <v>86867.677685999995</v>
      </c>
      <c r="CC163">
        <v>0</v>
      </c>
      <c r="CD163">
        <v>181094</v>
      </c>
      <c r="CE163">
        <v>502062.96</v>
      </c>
      <c r="CF163">
        <v>142140</v>
      </c>
      <c r="CG163">
        <v>68291</v>
      </c>
      <c r="CH163">
        <v>1205188.53</v>
      </c>
      <c r="CI163">
        <v>2891983</v>
      </c>
      <c r="CJ163">
        <v>676344</v>
      </c>
    </row>
    <row r="164" spans="58:88" x14ac:dyDescent="0.45">
      <c r="BF164" t="s">
        <v>122</v>
      </c>
      <c r="BG164" t="s">
        <v>123</v>
      </c>
      <c r="BH164" t="s">
        <v>124</v>
      </c>
      <c r="BI164" t="s">
        <v>162</v>
      </c>
      <c r="BJ164" t="s">
        <v>149</v>
      </c>
      <c r="BK164" t="s">
        <v>144</v>
      </c>
      <c r="BL164" t="s">
        <v>146</v>
      </c>
      <c r="BM164" t="s">
        <v>139</v>
      </c>
      <c r="BN164" t="s">
        <v>130</v>
      </c>
      <c r="BO164">
        <v>78</v>
      </c>
      <c r="BP164">
        <v>3</v>
      </c>
      <c r="BQ164">
        <v>662220</v>
      </c>
      <c r="BR164">
        <v>31691.45</v>
      </c>
      <c r="BS164">
        <v>87861.017999999996</v>
      </c>
      <c r="BT164">
        <v>63168.782319999998</v>
      </c>
      <c r="BU164">
        <v>241037.70600000001</v>
      </c>
      <c r="BV164">
        <v>17135.641091000001</v>
      </c>
      <c r="BW164">
        <v>70952.648843000003</v>
      </c>
      <c r="BX164">
        <v>88088.289934</v>
      </c>
      <c r="BY164">
        <v>94860.232319999996</v>
      </c>
      <c r="BZ164">
        <v>416987.01393399999</v>
      </c>
      <c r="CA164">
        <v>511847.246254</v>
      </c>
      <c r="CB164">
        <v>150372.753746</v>
      </c>
      <c r="CC164">
        <v>78</v>
      </c>
      <c r="CD164">
        <v>181094</v>
      </c>
      <c r="CE164">
        <v>502062.96</v>
      </c>
      <c r="CF164">
        <v>142140</v>
      </c>
      <c r="CG164">
        <v>68291</v>
      </c>
      <c r="CH164">
        <v>1205188.53</v>
      </c>
      <c r="CI164">
        <v>2891983</v>
      </c>
      <c r="CJ164">
        <v>676344</v>
      </c>
    </row>
    <row r="165" spans="58:88" x14ac:dyDescent="0.45">
      <c r="BF165" t="s">
        <v>122</v>
      </c>
      <c r="BG165" t="s">
        <v>123</v>
      </c>
      <c r="BH165" t="s">
        <v>124</v>
      </c>
      <c r="BI165" t="s">
        <v>162</v>
      </c>
      <c r="BJ165" t="s">
        <v>149</v>
      </c>
      <c r="BK165" t="s">
        <v>144</v>
      </c>
      <c r="BL165" t="s">
        <v>146</v>
      </c>
      <c r="BM165" t="s">
        <v>140</v>
      </c>
      <c r="BN165" t="s">
        <v>130</v>
      </c>
      <c r="BO165">
        <v>76</v>
      </c>
      <c r="BP165">
        <v>3</v>
      </c>
      <c r="BQ165">
        <v>638400</v>
      </c>
      <c r="BR165">
        <v>31691.45</v>
      </c>
      <c r="BS165">
        <v>87861.017999999996</v>
      </c>
      <c r="BT165">
        <v>28279.03728</v>
      </c>
      <c r="BU165">
        <v>241037.70600000001</v>
      </c>
      <c r="BV165">
        <v>17135.641091000001</v>
      </c>
      <c r="BW165">
        <v>70952.648843000003</v>
      </c>
      <c r="BX165">
        <v>88088.289934</v>
      </c>
      <c r="BY165">
        <v>59970.487280000001</v>
      </c>
      <c r="BZ165">
        <v>416987.01393399999</v>
      </c>
      <c r="CA165">
        <v>476957.50121399999</v>
      </c>
      <c r="CB165">
        <v>161442.49878600001</v>
      </c>
      <c r="CC165">
        <v>0</v>
      </c>
      <c r="CD165">
        <v>181094</v>
      </c>
      <c r="CE165">
        <v>502062.96</v>
      </c>
      <c r="CF165">
        <v>142140</v>
      </c>
      <c r="CG165">
        <v>68291</v>
      </c>
      <c r="CH165">
        <v>1205188.53</v>
      </c>
      <c r="CI165">
        <v>2891983</v>
      </c>
      <c r="CJ165">
        <v>676344</v>
      </c>
    </row>
    <row r="166" spans="58:88" x14ac:dyDescent="0.45">
      <c r="BF166" t="s">
        <v>122</v>
      </c>
      <c r="BG166" t="s">
        <v>123</v>
      </c>
      <c r="BH166" t="s">
        <v>124</v>
      </c>
      <c r="BI166" t="s">
        <v>162</v>
      </c>
      <c r="BJ166" t="s">
        <v>150</v>
      </c>
      <c r="BK166" t="s">
        <v>151</v>
      </c>
      <c r="BL166" t="s">
        <v>152</v>
      </c>
      <c r="BM166" t="s">
        <v>153</v>
      </c>
      <c r="BN166" t="s">
        <v>130</v>
      </c>
      <c r="BO166">
        <v>36</v>
      </c>
      <c r="BP166">
        <v>2</v>
      </c>
      <c r="BQ166">
        <v>212760</v>
      </c>
      <c r="BR166">
        <v>23805.584674000002</v>
      </c>
      <c r="BS166">
        <v>45045.419634999998</v>
      </c>
      <c r="BT166">
        <v>21791.74871</v>
      </c>
      <c r="BU166">
        <v>69623.282000000007</v>
      </c>
      <c r="BV166">
        <v>6938.9272010000004</v>
      </c>
      <c r="BW166">
        <v>32690.191607000001</v>
      </c>
      <c r="BX166">
        <v>39629.118807999999</v>
      </c>
      <c r="BY166">
        <v>45597.333383999998</v>
      </c>
      <c r="BZ166">
        <v>154297.820443</v>
      </c>
      <c r="CA166">
        <v>199895.153827</v>
      </c>
      <c r="CB166">
        <v>12864.846173</v>
      </c>
      <c r="CC166">
        <v>36</v>
      </c>
      <c r="CD166">
        <v>96583</v>
      </c>
      <c r="CE166">
        <v>182756.35</v>
      </c>
      <c r="CF166">
        <v>52838</v>
      </c>
      <c r="CG166">
        <v>21968</v>
      </c>
      <c r="CH166">
        <v>348116.41</v>
      </c>
      <c r="CI166">
        <v>2891983</v>
      </c>
      <c r="CJ166">
        <v>676344</v>
      </c>
    </row>
    <row r="167" spans="58:88" x14ac:dyDescent="0.45">
      <c r="BF167" t="s">
        <v>122</v>
      </c>
      <c r="BG167" t="s">
        <v>123</v>
      </c>
      <c r="BH167" t="s">
        <v>124</v>
      </c>
      <c r="BI167" t="s">
        <v>162</v>
      </c>
      <c r="BJ167" t="s">
        <v>150</v>
      </c>
      <c r="BK167" t="s">
        <v>151</v>
      </c>
      <c r="BL167" t="s">
        <v>152</v>
      </c>
      <c r="BM167" t="s">
        <v>154</v>
      </c>
      <c r="BN167" t="s">
        <v>130</v>
      </c>
      <c r="BO167">
        <v>35</v>
      </c>
      <c r="BP167">
        <v>2</v>
      </c>
      <c r="BQ167">
        <v>203700</v>
      </c>
      <c r="BR167">
        <v>23805.584674000002</v>
      </c>
      <c r="BS167">
        <v>45045.419634999998</v>
      </c>
      <c r="BT167">
        <v>10507.523193999999</v>
      </c>
      <c r="BU167">
        <v>69623.282000000007</v>
      </c>
      <c r="BV167">
        <v>6938.9272010000004</v>
      </c>
      <c r="BW167">
        <v>32690.191607000001</v>
      </c>
      <c r="BX167">
        <v>39629.118807999999</v>
      </c>
      <c r="BY167">
        <v>34313.107867999999</v>
      </c>
      <c r="BZ167">
        <v>154297.820443</v>
      </c>
      <c r="CA167">
        <v>188610.928311</v>
      </c>
      <c r="CB167">
        <v>15089.071689</v>
      </c>
      <c r="CC167">
        <v>0</v>
      </c>
      <c r="CD167">
        <v>96583</v>
      </c>
      <c r="CE167">
        <v>182756.35</v>
      </c>
      <c r="CF167">
        <v>52838</v>
      </c>
      <c r="CG167">
        <v>21968</v>
      </c>
      <c r="CH167">
        <v>348116.41</v>
      </c>
      <c r="CI167">
        <v>2891983</v>
      </c>
      <c r="CJ167">
        <v>676344</v>
      </c>
    </row>
    <row r="168" spans="58:88" x14ac:dyDescent="0.45">
      <c r="BF168" t="s">
        <v>122</v>
      </c>
      <c r="BG168" t="s">
        <v>123</v>
      </c>
      <c r="BH168" t="s">
        <v>124</v>
      </c>
      <c r="BI168" t="s">
        <v>162</v>
      </c>
      <c r="BJ168" t="s">
        <v>150</v>
      </c>
      <c r="BK168" t="s">
        <v>151</v>
      </c>
      <c r="BL168" t="s">
        <v>155</v>
      </c>
      <c r="BM168" t="s">
        <v>129</v>
      </c>
      <c r="BN168" t="s">
        <v>130</v>
      </c>
      <c r="BO168">
        <v>36</v>
      </c>
      <c r="BP168">
        <v>2</v>
      </c>
      <c r="BQ168">
        <v>247680</v>
      </c>
      <c r="BR168">
        <v>16323.879161999999</v>
      </c>
      <c r="BS168">
        <v>30888.381739</v>
      </c>
      <c r="BT168">
        <v>21791.74871</v>
      </c>
      <c r="BU168">
        <v>69623.282000000007</v>
      </c>
      <c r="BV168">
        <v>6938.9272010000004</v>
      </c>
      <c r="BW168">
        <v>32690.191607000001</v>
      </c>
      <c r="BX168">
        <v>39629.118807999999</v>
      </c>
      <c r="BY168">
        <v>38115.627871999997</v>
      </c>
      <c r="BZ168">
        <v>140140.78254700001</v>
      </c>
      <c r="CA168">
        <v>178256.41041899999</v>
      </c>
      <c r="CB168">
        <v>69423.589580999993</v>
      </c>
      <c r="CC168">
        <v>36</v>
      </c>
      <c r="CD168">
        <v>96583</v>
      </c>
      <c r="CE168">
        <v>182756.35</v>
      </c>
      <c r="CF168">
        <v>52838</v>
      </c>
      <c r="CG168">
        <v>21968</v>
      </c>
      <c r="CH168">
        <v>348116.41</v>
      </c>
      <c r="CI168">
        <v>2891983</v>
      </c>
      <c r="CJ168">
        <v>676344</v>
      </c>
    </row>
    <row r="169" spans="58:88" x14ac:dyDescent="0.45">
      <c r="BF169" t="s">
        <v>122</v>
      </c>
      <c r="BG169" t="s">
        <v>123</v>
      </c>
      <c r="BH169" t="s">
        <v>124</v>
      </c>
      <c r="BI169" t="s">
        <v>162</v>
      </c>
      <c r="BJ169" t="s">
        <v>150</v>
      </c>
      <c r="BK169" t="s">
        <v>151</v>
      </c>
      <c r="BL169" t="s">
        <v>155</v>
      </c>
      <c r="BM169" t="s">
        <v>131</v>
      </c>
      <c r="BN169" t="s">
        <v>130</v>
      </c>
      <c r="BO169">
        <v>35</v>
      </c>
      <c r="BP169">
        <v>2</v>
      </c>
      <c r="BQ169">
        <v>237650</v>
      </c>
      <c r="BR169">
        <v>16323.879161999999</v>
      </c>
      <c r="BS169">
        <v>30888.381739</v>
      </c>
      <c r="BT169">
        <v>10507.523193999999</v>
      </c>
      <c r="BU169">
        <v>69623.282000000007</v>
      </c>
      <c r="BV169">
        <v>6938.9272010000004</v>
      </c>
      <c r="BW169">
        <v>32690.191607000001</v>
      </c>
      <c r="BX169">
        <v>39629.118807999999</v>
      </c>
      <c r="BY169">
        <v>26831.402355999999</v>
      </c>
      <c r="BZ169">
        <v>140140.78254700001</v>
      </c>
      <c r="CA169">
        <v>166972.18490299999</v>
      </c>
      <c r="CB169">
        <v>70677.815096999999</v>
      </c>
      <c r="CC169">
        <v>0</v>
      </c>
      <c r="CD169">
        <v>96583</v>
      </c>
      <c r="CE169">
        <v>182756.35</v>
      </c>
      <c r="CF169">
        <v>52838</v>
      </c>
      <c r="CG169">
        <v>21968</v>
      </c>
      <c r="CH169">
        <v>348116.41</v>
      </c>
      <c r="CI169">
        <v>2891983</v>
      </c>
      <c r="CJ169">
        <v>676344</v>
      </c>
    </row>
    <row r="170" spans="58:88" x14ac:dyDescent="0.45">
      <c r="BF170" t="s">
        <v>122</v>
      </c>
      <c r="BG170" t="s">
        <v>123</v>
      </c>
      <c r="BH170" t="s">
        <v>124</v>
      </c>
      <c r="BI170" t="s">
        <v>162</v>
      </c>
      <c r="BJ170" t="s">
        <v>150</v>
      </c>
      <c r="BK170" t="s">
        <v>151</v>
      </c>
      <c r="BL170" t="s">
        <v>155</v>
      </c>
      <c r="BM170" t="s">
        <v>132</v>
      </c>
      <c r="BN170" t="s">
        <v>130</v>
      </c>
      <c r="BO170">
        <v>34</v>
      </c>
      <c r="BP170">
        <v>2</v>
      </c>
      <c r="BQ170">
        <v>230860</v>
      </c>
      <c r="BR170">
        <v>16323.879161999999</v>
      </c>
      <c r="BS170">
        <v>30888.381739</v>
      </c>
      <c r="BT170">
        <v>10207.297678000001</v>
      </c>
      <c r="BU170">
        <v>69623.282000000007</v>
      </c>
      <c r="BV170">
        <v>6938.9272010000004</v>
      </c>
      <c r="BW170">
        <v>32690.191607000001</v>
      </c>
      <c r="BX170">
        <v>39629.118807999999</v>
      </c>
      <c r="BY170">
        <v>26531.17684</v>
      </c>
      <c r="BZ170">
        <v>140140.78254700001</v>
      </c>
      <c r="CA170">
        <v>166671.95938700001</v>
      </c>
      <c r="CB170">
        <v>64188.040612999997</v>
      </c>
      <c r="CC170">
        <v>0</v>
      </c>
      <c r="CD170">
        <v>96583</v>
      </c>
      <c r="CE170">
        <v>182756.35</v>
      </c>
      <c r="CF170">
        <v>52838</v>
      </c>
      <c r="CG170">
        <v>21968</v>
      </c>
      <c r="CH170">
        <v>348116.41</v>
      </c>
      <c r="CI170">
        <v>2891983</v>
      </c>
      <c r="CJ170">
        <v>676344</v>
      </c>
    </row>
    <row r="171" spans="58:88" x14ac:dyDescent="0.45">
      <c r="BF171" t="s">
        <v>122</v>
      </c>
      <c r="BG171" t="s">
        <v>123</v>
      </c>
      <c r="BH171" t="s">
        <v>124</v>
      </c>
      <c r="BI171" t="s">
        <v>162</v>
      </c>
      <c r="BJ171" t="s">
        <v>156</v>
      </c>
      <c r="BK171" t="s">
        <v>151</v>
      </c>
      <c r="BL171" t="s">
        <v>155</v>
      </c>
      <c r="BM171" t="s">
        <v>132</v>
      </c>
      <c r="BN171" t="s">
        <v>130</v>
      </c>
      <c r="BO171">
        <v>44</v>
      </c>
      <c r="BP171">
        <v>2</v>
      </c>
      <c r="BQ171">
        <v>323400</v>
      </c>
      <c r="BR171">
        <v>16323.879161999999</v>
      </c>
      <c r="BS171">
        <v>40784.548622000002</v>
      </c>
      <c r="BT171">
        <v>13184.796179999999</v>
      </c>
      <c r="BU171">
        <v>107429.64200000001</v>
      </c>
      <c r="BV171">
        <v>8910.2317079999993</v>
      </c>
      <c r="BW171">
        <v>41977.264406000002</v>
      </c>
      <c r="BX171">
        <v>50887.496114000001</v>
      </c>
      <c r="BY171">
        <v>29508.675341999999</v>
      </c>
      <c r="BZ171">
        <v>199101.686736</v>
      </c>
      <c r="CA171">
        <v>228610.36207800001</v>
      </c>
      <c r="CB171">
        <v>94789.637921999994</v>
      </c>
      <c r="CC171">
        <v>0</v>
      </c>
      <c r="CD171">
        <v>96583</v>
      </c>
      <c r="CE171">
        <v>241308.7</v>
      </c>
      <c r="CF171">
        <v>67722</v>
      </c>
      <c r="CG171">
        <v>36612</v>
      </c>
      <c r="CH171">
        <v>537148.21</v>
      </c>
      <c r="CI171">
        <v>2891983</v>
      </c>
      <c r="CJ171">
        <v>676344</v>
      </c>
    </row>
    <row r="172" spans="58:88" x14ac:dyDescent="0.45">
      <c r="BF172" t="s">
        <v>122</v>
      </c>
      <c r="BG172" t="s">
        <v>123</v>
      </c>
      <c r="BH172" t="s">
        <v>124</v>
      </c>
      <c r="BI172" t="s">
        <v>162</v>
      </c>
      <c r="BJ172" t="s">
        <v>156</v>
      </c>
      <c r="BK172" t="s">
        <v>151</v>
      </c>
      <c r="BL172" t="s">
        <v>155</v>
      </c>
      <c r="BM172" t="s">
        <v>131</v>
      </c>
      <c r="BN172" t="s">
        <v>130</v>
      </c>
      <c r="BO172">
        <v>45</v>
      </c>
      <c r="BP172">
        <v>2</v>
      </c>
      <c r="BQ172">
        <v>330750</v>
      </c>
      <c r="BR172">
        <v>16323.879161999999</v>
      </c>
      <c r="BS172">
        <v>40784.548622000002</v>
      </c>
      <c r="BT172">
        <v>13484.46603</v>
      </c>
      <c r="BU172">
        <v>107429.64200000001</v>
      </c>
      <c r="BV172">
        <v>8910.2317079999993</v>
      </c>
      <c r="BW172">
        <v>41977.264406000002</v>
      </c>
      <c r="BX172">
        <v>50887.496114000001</v>
      </c>
      <c r="BY172">
        <v>29808.345192000001</v>
      </c>
      <c r="BZ172">
        <v>199101.686736</v>
      </c>
      <c r="CA172">
        <v>228910.03192800001</v>
      </c>
      <c r="CB172">
        <v>101839.968072</v>
      </c>
      <c r="CC172">
        <v>0</v>
      </c>
      <c r="CD172">
        <v>96583</v>
      </c>
      <c r="CE172">
        <v>241308.7</v>
      </c>
      <c r="CF172">
        <v>67722</v>
      </c>
      <c r="CG172">
        <v>36612</v>
      </c>
      <c r="CH172">
        <v>537148.21</v>
      </c>
      <c r="CI172">
        <v>2891983</v>
      </c>
      <c r="CJ172">
        <v>676344</v>
      </c>
    </row>
    <row r="173" spans="58:88" x14ac:dyDescent="0.45">
      <c r="BF173" t="s">
        <v>122</v>
      </c>
      <c r="BG173" t="s">
        <v>123</v>
      </c>
      <c r="BH173" t="s">
        <v>124</v>
      </c>
      <c r="BI173" t="s">
        <v>162</v>
      </c>
      <c r="BJ173" t="s">
        <v>156</v>
      </c>
      <c r="BK173" t="s">
        <v>151</v>
      </c>
      <c r="BL173" t="s">
        <v>152</v>
      </c>
      <c r="BM173" t="s">
        <v>153</v>
      </c>
      <c r="BN173" t="s">
        <v>130</v>
      </c>
      <c r="BO173">
        <v>46</v>
      </c>
      <c r="BP173">
        <v>2</v>
      </c>
      <c r="BQ173">
        <v>293940</v>
      </c>
      <c r="BR173">
        <v>23805.584674000002</v>
      </c>
      <c r="BS173">
        <v>59477.285758999999</v>
      </c>
      <c r="BT173">
        <v>32090.068157999998</v>
      </c>
      <c r="BU173">
        <v>107429.64200000001</v>
      </c>
      <c r="BV173">
        <v>8910.2317079999993</v>
      </c>
      <c r="BW173">
        <v>41977.264406000002</v>
      </c>
      <c r="BX173">
        <v>50887.496114000001</v>
      </c>
      <c r="BY173">
        <v>55895.652832</v>
      </c>
      <c r="BZ173">
        <v>217794.42387299999</v>
      </c>
      <c r="CA173">
        <v>273690.07670500001</v>
      </c>
      <c r="CB173">
        <v>20249.923295000001</v>
      </c>
      <c r="CC173">
        <v>46</v>
      </c>
      <c r="CD173">
        <v>96583</v>
      </c>
      <c r="CE173">
        <v>241308.7</v>
      </c>
      <c r="CF173">
        <v>67722</v>
      </c>
      <c r="CG173">
        <v>36612</v>
      </c>
      <c r="CH173">
        <v>537148.21</v>
      </c>
      <c r="CI173">
        <v>2891983</v>
      </c>
      <c r="CJ173">
        <v>676344</v>
      </c>
    </row>
    <row r="174" spans="58:88" x14ac:dyDescent="0.45">
      <c r="BF174" t="s">
        <v>122</v>
      </c>
      <c r="BG174" t="s">
        <v>123</v>
      </c>
      <c r="BH174" t="s">
        <v>124</v>
      </c>
      <c r="BI174" t="s">
        <v>162</v>
      </c>
      <c r="BJ174" t="s">
        <v>156</v>
      </c>
      <c r="BK174" t="s">
        <v>151</v>
      </c>
      <c r="BL174" t="s">
        <v>152</v>
      </c>
      <c r="BM174" t="s">
        <v>154</v>
      </c>
      <c r="BN174" t="s">
        <v>130</v>
      </c>
      <c r="BO174">
        <v>45</v>
      </c>
      <c r="BP174">
        <v>2</v>
      </c>
      <c r="BQ174">
        <v>283500</v>
      </c>
      <c r="BR174">
        <v>23805.584674000002</v>
      </c>
      <c r="BS174">
        <v>59477.285758999999</v>
      </c>
      <c r="BT174">
        <v>13484.46603</v>
      </c>
      <c r="BU174">
        <v>107429.64200000001</v>
      </c>
      <c r="BV174">
        <v>8910.2317079999993</v>
      </c>
      <c r="BW174">
        <v>41977.264406000002</v>
      </c>
      <c r="BX174">
        <v>50887.496114000001</v>
      </c>
      <c r="BY174">
        <v>37290.050704000001</v>
      </c>
      <c r="BZ174">
        <v>217794.42387299999</v>
      </c>
      <c r="CA174">
        <v>255084.47457699999</v>
      </c>
      <c r="CB174">
        <v>28415.525422999999</v>
      </c>
      <c r="CC174">
        <v>0</v>
      </c>
      <c r="CD174">
        <v>96583</v>
      </c>
      <c r="CE174">
        <v>241308.7</v>
      </c>
      <c r="CF174">
        <v>67722</v>
      </c>
      <c r="CG174">
        <v>36612</v>
      </c>
      <c r="CH174">
        <v>537148.21</v>
      </c>
      <c r="CI174">
        <v>2891983</v>
      </c>
      <c r="CJ174">
        <v>676344</v>
      </c>
    </row>
    <row r="175" spans="58:88" x14ac:dyDescent="0.45">
      <c r="BF175" t="s">
        <v>122</v>
      </c>
      <c r="BG175" t="s">
        <v>123</v>
      </c>
      <c r="BH175" t="s">
        <v>124</v>
      </c>
      <c r="BI175" t="s">
        <v>162</v>
      </c>
      <c r="BJ175" t="s">
        <v>156</v>
      </c>
      <c r="BK175" t="s">
        <v>151</v>
      </c>
      <c r="BL175" t="s">
        <v>155</v>
      </c>
      <c r="BM175" t="s">
        <v>129</v>
      </c>
      <c r="BN175" t="s">
        <v>130</v>
      </c>
      <c r="BO175">
        <v>46</v>
      </c>
      <c r="BP175">
        <v>2</v>
      </c>
      <c r="BQ175">
        <v>342240</v>
      </c>
      <c r="BR175">
        <v>16323.879161999999</v>
      </c>
      <c r="BS175">
        <v>40784.548622000002</v>
      </c>
      <c r="BT175">
        <v>32090.068157999998</v>
      </c>
      <c r="BU175">
        <v>107429.64200000001</v>
      </c>
      <c r="BV175">
        <v>8910.2317079999993</v>
      </c>
      <c r="BW175">
        <v>41977.264406000002</v>
      </c>
      <c r="BX175">
        <v>50887.496114000001</v>
      </c>
      <c r="BY175">
        <v>48413.947319999999</v>
      </c>
      <c r="BZ175">
        <v>199101.686736</v>
      </c>
      <c r="CA175">
        <v>247515.63405600001</v>
      </c>
      <c r="CB175">
        <v>94724.365944000005</v>
      </c>
      <c r="CC175">
        <v>46</v>
      </c>
      <c r="CD175">
        <v>96583</v>
      </c>
      <c r="CE175">
        <v>241308.7</v>
      </c>
      <c r="CF175">
        <v>67722</v>
      </c>
      <c r="CG175">
        <v>36612</v>
      </c>
      <c r="CH175">
        <v>537148.21</v>
      </c>
      <c r="CI175">
        <v>2891983</v>
      </c>
      <c r="CJ175">
        <v>676344</v>
      </c>
    </row>
    <row r="176" spans="58:88" x14ac:dyDescent="0.45">
      <c r="BF176" t="s">
        <v>122</v>
      </c>
      <c r="BG176" t="s">
        <v>123</v>
      </c>
      <c r="BH176" t="s">
        <v>124</v>
      </c>
      <c r="BI176" t="s">
        <v>162</v>
      </c>
      <c r="BJ176" t="s">
        <v>157</v>
      </c>
      <c r="BK176" t="s">
        <v>158</v>
      </c>
      <c r="BL176" t="s">
        <v>159</v>
      </c>
      <c r="BM176" t="s">
        <v>129</v>
      </c>
      <c r="BN176" t="s">
        <v>130</v>
      </c>
      <c r="BO176">
        <v>40</v>
      </c>
      <c r="BP176">
        <v>2</v>
      </c>
      <c r="BQ176">
        <v>297600</v>
      </c>
      <c r="BR176">
        <v>24145.975854</v>
      </c>
      <c r="BS176">
        <v>61982.511351000001</v>
      </c>
      <c r="BT176">
        <v>33733.745799999997</v>
      </c>
      <c r="BU176">
        <v>125032.7283</v>
      </c>
      <c r="BV176">
        <v>8731.0093319999996</v>
      </c>
      <c r="BW176">
        <v>36219.253173999998</v>
      </c>
      <c r="BX176">
        <v>44950.262505999999</v>
      </c>
      <c r="BY176">
        <v>57879.721654000001</v>
      </c>
      <c r="BZ176">
        <v>231965.50215700001</v>
      </c>
      <c r="CA176">
        <v>289845.223811</v>
      </c>
      <c r="CB176">
        <v>7754.7761890000002</v>
      </c>
      <c r="CC176">
        <v>40</v>
      </c>
      <c r="CD176">
        <v>72438</v>
      </c>
      <c r="CE176">
        <v>185947.72</v>
      </c>
      <c r="CF176">
        <v>43535</v>
      </c>
      <c r="CG176">
        <v>18850</v>
      </c>
      <c r="CH176">
        <v>375098.56</v>
      </c>
      <c r="CI176">
        <v>2891983</v>
      </c>
      <c r="CJ176">
        <v>676344</v>
      </c>
    </row>
    <row r="177" spans="58:88" x14ac:dyDescent="0.45">
      <c r="BF177" t="s">
        <v>122</v>
      </c>
      <c r="BG177" t="s">
        <v>123</v>
      </c>
      <c r="BH177" t="s">
        <v>124</v>
      </c>
      <c r="BI177" t="s">
        <v>162</v>
      </c>
      <c r="BJ177" t="s">
        <v>157</v>
      </c>
      <c r="BK177" t="s">
        <v>158</v>
      </c>
      <c r="BL177" t="s">
        <v>159</v>
      </c>
      <c r="BM177" t="s">
        <v>131</v>
      </c>
      <c r="BN177" t="s">
        <v>130</v>
      </c>
      <c r="BO177">
        <v>39</v>
      </c>
      <c r="BP177">
        <v>2</v>
      </c>
      <c r="BQ177">
        <v>286650</v>
      </c>
      <c r="BR177">
        <v>24145.975854</v>
      </c>
      <c r="BS177">
        <v>61982.511351000001</v>
      </c>
      <c r="BT177">
        <v>14511.652155</v>
      </c>
      <c r="BU177">
        <v>125032.7283</v>
      </c>
      <c r="BV177">
        <v>8731.0093319999996</v>
      </c>
      <c r="BW177">
        <v>36219.253173999998</v>
      </c>
      <c r="BX177">
        <v>44950.262505999999</v>
      </c>
      <c r="BY177">
        <v>38657.628009</v>
      </c>
      <c r="BZ177">
        <v>231965.50215700001</v>
      </c>
      <c r="CA177">
        <v>270623.13016599999</v>
      </c>
      <c r="CB177">
        <v>16026.869833999999</v>
      </c>
      <c r="CC177">
        <v>0</v>
      </c>
      <c r="CD177">
        <v>72438</v>
      </c>
      <c r="CE177">
        <v>185947.72</v>
      </c>
      <c r="CF177">
        <v>43535</v>
      </c>
      <c r="CG177">
        <v>18850</v>
      </c>
      <c r="CH177">
        <v>375098.56</v>
      </c>
      <c r="CI177">
        <v>2891983</v>
      </c>
      <c r="CJ177">
        <v>676344</v>
      </c>
    </row>
    <row r="178" spans="58:88" x14ac:dyDescent="0.45">
      <c r="BF178" t="s">
        <v>122</v>
      </c>
      <c r="BG178" t="s">
        <v>123</v>
      </c>
      <c r="BH178" t="s">
        <v>124</v>
      </c>
      <c r="BI178" t="s">
        <v>162</v>
      </c>
      <c r="BJ178" t="s">
        <v>157</v>
      </c>
      <c r="BK178" t="s">
        <v>158</v>
      </c>
      <c r="BL178" t="s">
        <v>159</v>
      </c>
      <c r="BM178" t="s">
        <v>132</v>
      </c>
      <c r="BN178" t="s">
        <v>130</v>
      </c>
      <c r="BO178">
        <v>38</v>
      </c>
      <c r="BP178">
        <v>2</v>
      </c>
      <c r="BQ178">
        <v>279300</v>
      </c>
      <c r="BR178">
        <v>24145.975854</v>
      </c>
      <c r="BS178">
        <v>61982.511351000001</v>
      </c>
      <c r="BT178">
        <v>14139.558510000001</v>
      </c>
      <c r="BU178">
        <v>125032.7283</v>
      </c>
      <c r="BV178">
        <v>8731.0093319999996</v>
      </c>
      <c r="BW178">
        <v>36219.253173999998</v>
      </c>
      <c r="BX178">
        <v>44950.262505999999</v>
      </c>
      <c r="BY178">
        <v>38285.534363999999</v>
      </c>
      <c r="BZ178">
        <v>231965.50215700001</v>
      </c>
      <c r="CA178">
        <v>270251.03652099997</v>
      </c>
      <c r="CB178">
        <v>9048.963479</v>
      </c>
      <c r="CC178">
        <v>0</v>
      </c>
      <c r="CD178">
        <v>72438</v>
      </c>
      <c r="CE178">
        <v>185947.72</v>
      </c>
      <c r="CF178">
        <v>43535</v>
      </c>
      <c r="CG178">
        <v>18850</v>
      </c>
      <c r="CH178">
        <v>375098.56</v>
      </c>
      <c r="CI178">
        <v>2891983</v>
      </c>
      <c r="CJ178">
        <v>676344</v>
      </c>
    </row>
    <row r="179" spans="58:88" x14ac:dyDescent="0.45">
      <c r="BF179" t="s">
        <v>122</v>
      </c>
      <c r="BG179" t="s">
        <v>123</v>
      </c>
      <c r="BH179" t="s">
        <v>124</v>
      </c>
      <c r="BI179" t="s">
        <v>162</v>
      </c>
      <c r="BJ179" t="s">
        <v>160</v>
      </c>
      <c r="BK179" t="s">
        <v>158</v>
      </c>
      <c r="BL179" t="s">
        <v>159</v>
      </c>
      <c r="BM179" t="s">
        <v>129</v>
      </c>
      <c r="BN179" t="s">
        <v>130</v>
      </c>
      <c r="BO179">
        <v>47</v>
      </c>
      <c r="BP179">
        <v>2</v>
      </c>
      <c r="BQ179">
        <v>372710</v>
      </c>
      <c r="BR179">
        <v>24145.975854</v>
      </c>
      <c r="BS179">
        <v>74456.428876999998</v>
      </c>
      <c r="BT179">
        <v>47728.391070999998</v>
      </c>
      <c r="BU179">
        <v>166933.89639899999</v>
      </c>
      <c r="BV179">
        <v>10298.116497999999</v>
      </c>
      <c r="BW179">
        <v>42720.156913999999</v>
      </c>
      <c r="BX179">
        <v>53018.273412000002</v>
      </c>
      <c r="BY179">
        <v>71874.366924999995</v>
      </c>
      <c r="BZ179">
        <v>294408.598688</v>
      </c>
      <c r="CA179">
        <v>366282.96561299998</v>
      </c>
      <c r="CB179">
        <v>6427.0343869999997</v>
      </c>
      <c r="CC179">
        <v>47</v>
      </c>
      <c r="CD179">
        <v>72438</v>
      </c>
      <c r="CE179">
        <v>223369.51</v>
      </c>
      <c r="CF179">
        <v>51349</v>
      </c>
      <c r="CG179">
        <v>30240</v>
      </c>
      <c r="CH179">
        <v>500802.19</v>
      </c>
      <c r="CI179">
        <v>2891983</v>
      </c>
      <c r="CJ179">
        <v>676344</v>
      </c>
    </row>
    <row r="180" spans="58:88" x14ac:dyDescent="0.45">
      <c r="BF180" t="s">
        <v>122</v>
      </c>
      <c r="BG180" t="s">
        <v>123</v>
      </c>
      <c r="BH180" t="s">
        <v>124</v>
      </c>
      <c r="BI180" t="s">
        <v>162</v>
      </c>
      <c r="BJ180" t="s">
        <v>160</v>
      </c>
      <c r="BK180" t="s">
        <v>158</v>
      </c>
      <c r="BL180" t="s">
        <v>159</v>
      </c>
      <c r="BM180" t="s">
        <v>131</v>
      </c>
      <c r="BN180" t="s">
        <v>130</v>
      </c>
      <c r="BO180">
        <v>46</v>
      </c>
      <c r="BP180">
        <v>2</v>
      </c>
      <c r="BQ180">
        <v>360640</v>
      </c>
      <c r="BR180">
        <v>24145.975854</v>
      </c>
      <c r="BS180">
        <v>74456.428876999998</v>
      </c>
      <c r="BT180">
        <v>17116.316217</v>
      </c>
      <c r="BU180">
        <v>166933.89639899999</v>
      </c>
      <c r="BV180">
        <v>10298.116497999999</v>
      </c>
      <c r="BW180">
        <v>42720.156913999999</v>
      </c>
      <c r="BX180">
        <v>53018.273412000002</v>
      </c>
      <c r="BY180">
        <v>41262.292071000003</v>
      </c>
      <c r="BZ180">
        <v>294408.598688</v>
      </c>
      <c r="CA180">
        <v>335670.89075899997</v>
      </c>
      <c r="CB180">
        <v>24969.109240999998</v>
      </c>
      <c r="CC180">
        <v>0</v>
      </c>
      <c r="CD180">
        <v>72438</v>
      </c>
      <c r="CE180">
        <v>223369.51</v>
      </c>
      <c r="CF180">
        <v>51349</v>
      </c>
      <c r="CG180">
        <v>30240</v>
      </c>
      <c r="CH180">
        <v>500802.19</v>
      </c>
      <c r="CI180">
        <v>2891983</v>
      </c>
      <c r="CJ180">
        <v>676344</v>
      </c>
    </row>
    <row r="181" spans="58:88" x14ac:dyDescent="0.45">
      <c r="BF181" t="s">
        <v>122</v>
      </c>
      <c r="BG181" t="s">
        <v>123</v>
      </c>
      <c r="BH181" t="s">
        <v>124</v>
      </c>
      <c r="BI181" t="s">
        <v>162</v>
      </c>
      <c r="BJ181" t="s">
        <v>160</v>
      </c>
      <c r="BK181" t="s">
        <v>158</v>
      </c>
      <c r="BL181" t="s">
        <v>159</v>
      </c>
      <c r="BM181" t="s">
        <v>132</v>
      </c>
      <c r="BN181" t="s">
        <v>130</v>
      </c>
      <c r="BO181">
        <v>45</v>
      </c>
      <c r="BP181">
        <v>2</v>
      </c>
      <c r="BQ181">
        <v>352800</v>
      </c>
      <c r="BR181">
        <v>24145.975854</v>
      </c>
      <c r="BS181">
        <v>74456.428876999998</v>
      </c>
      <c r="BT181">
        <v>16744.190014</v>
      </c>
      <c r="BU181">
        <v>166933.89639899999</v>
      </c>
      <c r="BV181">
        <v>10298.116497999999</v>
      </c>
      <c r="BW181">
        <v>42720.156913999999</v>
      </c>
      <c r="BX181">
        <v>53018.273412000002</v>
      </c>
      <c r="BY181">
        <v>40890.165867999996</v>
      </c>
      <c r="BZ181">
        <v>294408.598688</v>
      </c>
      <c r="CA181">
        <v>335298.76455600001</v>
      </c>
      <c r="CB181">
        <v>17501.235444000002</v>
      </c>
      <c r="CC181">
        <v>0</v>
      </c>
      <c r="CD181">
        <v>72438</v>
      </c>
      <c r="CE181">
        <v>223369.51</v>
      </c>
      <c r="CF181">
        <v>51349</v>
      </c>
      <c r="CG181">
        <v>30240</v>
      </c>
      <c r="CH181">
        <v>500802.19</v>
      </c>
      <c r="CI181">
        <v>2891983</v>
      </c>
      <c r="CJ181">
        <v>676344</v>
      </c>
    </row>
    <row r="182" spans="58:88" x14ac:dyDescent="0.45">
      <c r="BF182" t="s">
        <v>122</v>
      </c>
      <c r="BG182" t="s">
        <v>163</v>
      </c>
      <c r="BH182" t="s">
        <v>124</v>
      </c>
      <c r="BI182" t="s">
        <v>164</v>
      </c>
      <c r="BJ182" t="s">
        <v>126</v>
      </c>
      <c r="BK182" t="s">
        <v>127</v>
      </c>
      <c r="BL182" t="s">
        <v>128</v>
      </c>
      <c r="BM182" t="s">
        <v>129</v>
      </c>
      <c r="BN182" t="s">
        <v>130</v>
      </c>
      <c r="BO182">
        <v>44.737599000000003</v>
      </c>
      <c r="BP182">
        <v>2</v>
      </c>
      <c r="BQ182">
        <v>302351.04362700001</v>
      </c>
      <c r="BR182">
        <v>24861.416664</v>
      </c>
      <c r="BS182">
        <v>48356.351770000001</v>
      </c>
      <c r="BT182">
        <v>32811.747805999999</v>
      </c>
      <c r="BU182">
        <v>94933.626046000005</v>
      </c>
      <c r="BV182">
        <v>8544.051324</v>
      </c>
      <c r="BW182">
        <v>37235.150178000004</v>
      </c>
      <c r="BX182">
        <v>45779.201502000004</v>
      </c>
      <c r="BY182">
        <v>57673.164470000003</v>
      </c>
      <c r="BZ182">
        <v>189069.17931800001</v>
      </c>
      <c r="CA182">
        <v>246742.343788</v>
      </c>
      <c r="CB182">
        <v>55608.699839000001</v>
      </c>
      <c r="CC182">
        <v>44.737599000000003</v>
      </c>
      <c r="CD182">
        <v>74584.324575000006</v>
      </c>
      <c r="CE182">
        <v>145069.20037999999</v>
      </c>
      <c r="CF182">
        <v>44824.934018</v>
      </c>
      <c r="CG182">
        <v>16392.240000000002</v>
      </c>
      <c r="CH182">
        <v>284801.16293799999</v>
      </c>
      <c r="CI182">
        <v>2975861.5814200002</v>
      </c>
      <c r="CJ182">
        <v>743978.4</v>
      </c>
    </row>
    <row r="183" spans="58:88" x14ac:dyDescent="0.45">
      <c r="BF183" t="s">
        <v>122</v>
      </c>
      <c r="BG183" t="s">
        <v>163</v>
      </c>
      <c r="BH183" t="s">
        <v>124</v>
      </c>
      <c r="BI183" t="s">
        <v>164</v>
      </c>
      <c r="BJ183" t="s">
        <v>126</v>
      </c>
      <c r="BK183" t="s">
        <v>127</v>
      </c>
      <c r="BL183" t="s">
        <v>128</v>
      </c>
      <c r="BM183" t="s">
        <v>131</v>
      </c>
      <c r="BN183" t="s">
        <v>130</v>
      </c>
      <c r="BO183">
        <v>39.200000000000003</v>
      </c>
      <c r="BP183">
        <v>2</v>
      </c>
      <c r="BQ183">
        <v>261398.1734</v>
      </c>
      <c r="BR183">
        <v>24861.416664</v>
      </c>
      <c r="BS183">
        <v>48356.351770000001</v>
      </c>
      <c r="BT183">
        <v>14387.100472</v>
      </c>
      <c r="BU183">
        <v>94933.626046000005</v>
      </c>
      <c r="BV183">
        <v>8544.051324</v>
      </c>
      <c r="BW183">
        <v>37235.150178000004</v>
      </c>
      <c r="BX183">
        <v>45779.201502000004</v>
      </c>
      <c r="BY183">
        <v>39248.517136000002</v>
      </c>
      <c r="BZ183">
        <v>189069.17931800001</v>
      </c>
      <c r="CA183">
        <v>228317.69645399999</v>
      </c>
      <c r="CB183">
        <v>33080.476946000002</v>
      </c>
      <c r="CC183">
        <v>0</v>
      </c>
      <c r="CD183">
        <v>74584.324575000006</v>
      </c>
      <c r="CE183">
        <v>145069.20037999999</v>
      </c>
      <c r="CF183">
        <v>44824.934018</v>
      </c>
      <c r="CG183">
        <v>16392.240000000002</v>
      </c>
      <c r="CH183">
        <v>284801.16293799999</v>
      </c>
      <c r="CI183">
        <v>2975861.5814200002</v>
      </c>
      <c r="CJ183">
        <v>743978.4</v>
      </c>
    </row>
    <row r="184" spans="58:88" x14ac:dyDescent="0.45">
      <c r="BF184" t="s">
        <v>122</v>
      </c>
      <c r="BG184" t="s">
        <v>163</v>
      </c>
      <c r="BH184" t="s">
        <v>124</v>
      </c>
      <c r="BI184" t="s">
        <v>164</v>
      </c>
      <c r="BJ184" t="s">
        <v>126</v>
      </c>
      <c r="BK184" t="s">
        <v>127</v>
      </c>
      <c r="BL184" t="s">
        <v>128</v>
      </c>
      <c r="BM184" t="s">
        <v>132</v>
      </c>
      <c r="BN184" t="s">
        <v>130</v>
      </c>
      <c r="BO184">
        <v>38.195</v>
      </c>
      <c r="BP184">
        <v>2</v>
      </c>
      <c r="BQ184">
        <v>254696.511046</v>
      </c>
      <c r="BR184">
        <v>24861.416664</v>
      </c>
      <c r="BS184">
        <v>48356.351770000001</v>
      </c>
      <c r="BT184">
        <v>14018.23609</v>
      </c>
      <c r="BU184">
        <v>94933.626046000005</v>
      </c>
      <c r="BV184">
        <v>8544.051324</v>
      </c>
      <c r="BW184">
        <v>37235.150178000004</v>
      </c>
      <c r="BX184">
        <v>45779.201502000004</v>
      </c>
      <c r="BY184">
        <v>38879.652754000002</v>
      </c>
      <c r="BZ184">
        <v>189069.17931800001</v>
      </c>
      <c r="CA184">
        <v>227948.83207199999</v>
      </c>
      <c r="CB184">
        <v>26747.678973999999</v>
      </c>
      <c r="CC184">
        <v>0</v>
      </c>
      <c r="CD184">
        <v>74584.324575000006</v>
      </c>
      <c r="CE184">
        <v>145069.20037999999</v>
      </c>
      <c r="CF184">
        <v>44824.934018</v>
      </c>
      <c r="CG184">
        <v>16392.240000000002</v>
      </c>
      <c r="CH184">
        <v>284801.16293799999</v>
      </c>
      <c r="CI184">
        <v>2975861.5814200002</v>
      </c>
      <c r="CJ184">
        <v>743978.4</v>
      </c>
    </row>
    <row r="185" spans="58:88" x14ac:dyDescent="0.45">
      <c r="BF185" t="s">
        <v>122</v>
      </c>
      <c r="BG185" t="s">
        <v>163</v>
      </c>
      <c r="BH185" t="s">
        <v>124</v>
      </c>
      <c r="BI185" t="s">
        <v>164</v>
      </c>
      <c r="BJ185" t="s">
        <v>133</v>
      </c>
      <c r="BK185" t="s">
        <v>127</v>
      </c>
      <c r="BL185" t="s">
        <v>128</v>
      </c>
      <c r="BM185" t="s">
        <v>129</v>
      </c>
      <c r="BN185" t="s">
        <v>130</v>
      </c>
      <c r="BO185">
        <v>55.832531000000003</v>
      </c>
      <c r="BP185">
        <v>2</v>
      </c>
      <c r="BQ185">
        <v>396929.37514999998</v>
      </c>
      <c r="BR185">
        <v>24861.416664</v>
      </c>
      <c r="BS185">
        <v>59760.870299000002</v>
      </c>
      <c r="BT185">
        <v>43997.671319000001</v>
      </c>
      <c r="BU185">
        <v>135129.42538299999</v>
      </c>
      <c r="BV185">
        <v>10586.105742</v>
      </c>
      <c r="BW185">
        <v>46134.465040000003</v>
      </c>
      <c r="BX185">
        <v>56720.570782000003</v>
      </c>
      <c r="BY185">
        <v>68859.087983000005</v>
      </c>
      <c r="BZ185">
        <v>251610.86646399999</v>
      </c>
      <c r="CA185">
        <v>320469.954447</v>
      </c>
      <c r="CB185">
        <v>76459.420702999996</v>
      </c>
      <c r="CC185">
        <v>55.832531000000003</v>
      </c>
      <c r="CD185">
        <v>74584.324575000006</v>
      </c>
      <c r="CE185">
        <v>179282.79018000001</v>
      </c>
      <c r="CF185">
        <v>55552.647064999997</v>
      </c>
      <c r="CG185">
        <v>23500.799999999999</v>
      </c>
      <c r="CH185">
        <v>405388.681538</v>
      </c>
      <c r="CI185">
        <v>2975861.5814200002</v>
      </c>
      <c r="CJ185">
        <v>743978.4</v>
      </c>
    </row>
    <row r="186" spans="58:88" x14ac:dyDescent="0.45">
      <c r="BF186" t="s">
        <v>122</v>
      </c>
      <c r="BG186" t="s">
        <v>163</v>
      </c>
      <c r="BH186" t="s">
        <v>124</v>
      </c>
      <c r="BI186" t="s">
        <v>164</v>
      </c>
      <c r="BJ186" t="s">
        <v>133</v>
      </c>
      <c r="BK186" t="s">
        <v>127</v>
      </c>
      <c r="BL186" t="s">
        <v>128</v>
      </c>
      <c r="BM186" t="s">
        <v>131</v>
      </c>
      <c r="BN186" t="s">
        <v>130</v>
      </c>
      <c r="BO186">
        <v>48.25</v>
      </c>
      <c r="BP186">
        <v>2</v>
      </c>
      <c r="BQ186">
        <v>338680.50124999997</v>
      </c>
      <c r="BR186">
        <v>24861.416664</v>
      </c>
      <c r="BS186">
        <v>59760.870299000002</v>
      </c>
      <c r="BT186">
        <v>17713.239280000002</v>
      </c>
      <c r="BU186">
        <v>135129.42538299999</v>
      </c>
      <c r="BV186">
        <v>10586.105742</v>
      </c>
      <c r="BW186">
        <v>46134.465040000003</v>
      </c>
      <c r="BX186">
        <v>56720.570782000003</v>
      </c>
      <c r="BY186">
        <v>42574.655943999998</v>
      </c>
      <c r="BZ186">
        <v>251610.86646399999</v>
      </c>
      <c r="CA186">
        <v>294185.52240800002</v>
      </c>
      <c r="CB186">
        <v>44494.978841999997</v>
      </c>
      <c r="CC186">
        <v>0</v>
      </c>
      <c r="CD186">
        <v>74584.324575000006</v>
      </c>
      <c r="CE186">
        <v>179282.79018000001</v>
      </c>
      <c r="CF186">
        <v>55552.647064999997</v>
      </c>
      <c r="CG186">
        <v>23500.799999999999</v>
      </c>
      <c r="CH186">
        <v>405388.681538</v>
      </c>
      <c r="CI186">
        <v>2975861.5814200002</v>
      </c>
      <c r="CJ186">
        <v>743978.4</v>
      </c>
    </row>
    <row r="187" spans="58:88" x14ac:dyDescent="0.45">
      <c r="BF187" t="s">
        <v>122</v>
      </c>
      <c r="BG187" t="s">
        <v>163</v>
      </c>
      <c r="BH187" t="s">
        <v>124</v>
      </c>
      <c r="BI187" t="s">
        <v>164</v>
      </c>
      <c r="BJ187" t="s">
        <v>133</v>
      </c>
      <c r="BK187" t="s">
        <v>127</v>
      </c>
      <c r="BL187" t="s">
        <v>128</v>
      </c>
      <c r="BM187" t="s">
        <v>132</v>
      </c>
      <c r="BN187" t="s">
        <v>130</v>
      </c>
      <c r="BO187">
        <v>47.24</v>
      </c>
      <c r="BP187">
        <v>2</v>
      </c>
      <c r="BQ187">
        <v>331591.02340000001</v>
      </c>
      <c r="BR187">
        <v>24861.416664</v>
      </c>
      <c r="BS187">
        <v>59760.870299000002</v>
      </c>
      <c r="BT187">
        <v>17342.425361000001</v>
      </c>
      <c r="BU187">
        <v>135129.42538299999</v>
      </c>
      <c r="BV187">
        <v>10586.105742</v>
      </c>
      <c r="BW187">
        <v>46134.465040000003</v>
      </c>
      <c r="BX187">
        <v>56720.570782000003</v>
      </c>
      <c r="BY187">
        <v>42203.842024999998</v>
      </c>
      <c r="BZ187">
        <v>251610.86646399999</v>
      </c>
      <c r="CA187">
        <v>293814.70848899998</v>
      </c>
      <c r="CB187">
        <v>37776.314911000001</v>
      </c>
      <c r="CC187">
        <v>0</v>
      </c>
      <c r="CD187">
        <v>74584.324575000006</v>
      </c>
      <c r="CE187">
        <v>179282.79018000001</v>
      </c>
      <c r="CF187">
        <v>55552.647064999997</v>
      </c>
      <c r="CG187">
        <v>23500.799999999999</v>
      </c>
      <c r="CH187">
        <v>405388.681538</v>
      </c>
      <c r="CI187">
        <v>2975861.5814200002</v>
      </c>
      <c r="CJ187">
        <v>743978.4</v>
      </c>
    </row>
    <row r="188" spans="58:88" x14ac:dyDescent="0.45">
      <c r="BF188" t="s">
        <v>122</v>
      </c>
      <c r="BG188" t="s">
        <v>163</v>
      </c>
      <c r="BH188" t="s">
        <v>124</v>
      </c>
      <c r="BI188" t="s">
        <v>164</v>
      </c>
      <c r="BJ188" t="s">
        <v>134</v>
      </c>
      <c r="BK188" t="s">
        <v>127</v>
      </c>
      <c r="BL188" t="s">
        <v>128</v>
      </c>
      <c r="BM188" t="s">
        <v>129</v>
      </c>
      <c r="BN188" t="s">
        <v>130</v>
      </c>
      <c r="BO188">
        <v>44.726591999999997</v>
      </c>
      <c r="BP188">
        <v>2</v>
      </c>
      <c r="BQ188">
        <v>302276.65479</v>
      </c>
      <c r="BR188">
        <v>24861.416664</v>
      </c>
      <c r="BS188">
        <v>48385.204808000002</v>
      </c>
      <c r="BT188">
        <v>32544.592784</v>
      </c>
      <c r="BU188">
        <v>94990.271412000002</v>
      </c>
      <c r="BV188">
        <v>8543.2764659999993</v>
      </c>
      <c r="BW188">
        <v>37231.773332999997</v>
      </c>
      <c r="BX188">
        <v>45775.049799</v>
      </c>
      <c r="BY188">
        <v>57406.009447999997</v>
      </c>
      <c r="BZ188">
        <v>189150.52601900001</v>
      </c>
      <c r="CA188">
        <v>246556.53546700001</v>
      </c>
      <c r="CB188">
        <v>55720.119322999999</v>
      </c>
      <c r="CC188">
        <v>44.726591999999997</v>
      </c>
      <c r="CD188">
        <v>74584.324575000006</v>
      </c>
      <c r="CE188">
        <v>145155.75958000001</v>
      </c>
      <c r="CF188">
        <v>44824.934018</v>
      </c>
      <c r="CG188">
        <v>16127.64</v>
      </c>
      <c r="CH188">
        <v>284971.09920699999</v>
      </c>
      <c r="CI188">
        <v>2975861.5814200002</v>
      </c>
      <c r="CJ188">
        <v>743978.4</v>
      </c>
    </row>
    <row r="189" spans="58:88" x14ac:dyDescent="0.45">
      <c r="BF189" t="s">
        <v>122</v>
      </c>
      <c r="BG189" t="s">
        <v>163</v>
      </c>
      <c r="BH189" t="s">
        <v>124</v>
      </c>
      <c r="BI189" t="s">
        <v>164</v>
      </c>
      <c r="BJ189" t="s">
        <v>134</v>
      </c>
      <c r="BK189" t="s">
        <v>127</v>
      </c>
      <c r="BL189" t="s">
        <v>128</v>
      </c>
      <c r="BM189" t="s">
        <v>131</v>
      </c>
      <c r="BN189" t="s">
        <v>130</v>
      </c>
      <c r="BO189">
        <v>39.200000000000003</v>
      </c>
      <c r="BP189">
        <v>2</v>
      </c>
      <c r="BQ189">
        <v>261398.1734</v>
      </c>
      <c r="BR189">
        <v>24861.416664</v>
      </c>
      <c r="BS189">
        <v>48385.204808000002</v>
      </c>
      <c r="BT189">
        <v>14388.400395000001</v>
      </c>
      <c r="BU189">
        <v>94990.271412000002</v>
      </c>
      <c r="BV189">
        <v>8543.2764659999993</v>
      </c>
      <c r="BW189">
        <v>37231.773332999997</v>
      </c>
      <c r="BX189">
        <v>45775.049799</v>
      </c>
      <c r="BY189">
        <v>39249.817059000001</v>
      </c>
      <c r="BZ189">
        <v>189150.52601900001</v>
      </c>
      <c r="CA189">
        <v>228400.34307800001</v>
      </c>
      <c r="CB189">
        <v>32997.830322000002</v>
      </c>
      <c r="CC189">
        <v>0</v>
      </c>
      <c r="CD189">
        <v>74584.324575000006</v>
      </c>
      <c r="CE189">
        <v>145155.75958000001</v>
      </c>
      <c r="CF189">
        <v>44824.934018</v>
      </c>
      <c r="CG189">
        <v>16127.64</v>
      </c>
      <c r="CH189">
        <v>284971.09920699999</v>
      </c>
      <c r="CI189">
        <v>2975861.5814200002</v>
      </c>
      <c r="CJ189">
        <v>743978.4</v>
      </c>
    </row>
    <row r="190" spans="58:88" x14ac:dyDescent="0.45">
      <c r="BF190" t="s">
        <v>122</v>
      </c>
      <c r="BG190" t="s">
        <v>163</v>
      </c>
      <c r="BH190" t="s">
        <v>124</v>
      </c>
      <c r="BI190" t="s">
        <v>164</v>
      </c>
      <c r="BJ190" t="s">
        <v>134</v>
      </c>
      <c r="BK190" t="s">
        <v>127</v>
      </c>
      <c r="BL190" t="s">
        <v>128</v>
      </c>
      <c r="BM190" t="s">
        <v>132</v>
      </c>
      <c r="BN190" t="s">
        <v>130</v>
      </c>
      <c r="BO190">
        <v>38.195</v>
      </c>
      <c r="BP190">
        <v>2</v>
      </c>
      <c r="BQ190">
        <v>254696.511046</v>
      </c>
      <c r="BR190">
        <v>24861.416664</v>
      </c>
      <c r="BS190">
        <v>48385.204808000002</v>
      </c>
      <c r="BT190">
        <v>14019.536013000001</v>
      </c>
      <c r="BU190">
        <v>94990.271412000002</v>
      </c>
      <c r="BV190">
        <v>8543.2764659999993</v>
      </c>
      <c r="BW190">
        <v>37231.773332999997</v>
      </c>
      <c r="BX190">
        <v>45775.049799</v>
      </c>
      <c r="BY190">
        <v>38880.952677000001</v>
      </c>
      <c r="BZ190">
        <v>189150.52601900001</v>
      </c>
      <c r="CA190">
        <v>228031.47869600001</v>
      </c>
      <c r="CB190">
        <v>26665.032350000001</v>
      </c>
      <c r="CC190">
        <v>0</v>
      </c>
      <c r="CD190">
        <v>74584.324575000006</v>
      </c>
      <c r="CE190">
        <v>145155.75958000001</v>
      </c>
      <c r="CF190">
        <v>44824.934018</v>
      </c>
      <c r="CG190">
        <v>16127.64</v>
      </c>
      <c r="CH190">
        <v>284971.09920699999</v>
      </c>
      <c r="CI190">
        <v>2975861.5814200002</v>
      </c>
      <c r="CJ190">
        <v>743978.4</v>
      </c>
    </row>
    <row r="191" spans="58:88" x14ac:dyDescent="0.45">
      <c r="BF191" t="s">
        <v>122</v>
      </c>
      <c r="BG191" t="s">
        <v>163</v>
      </c>
      <c r="BH191" t="s">
        <v>124</v>
      </c>
      <c r="BI191" t="s">
        <v>164</v>
      </c>
      <c r="BJ191" t="s">
        <v>135</v>
      </c>
      <c r="BK191" t="s">
        <v>0</v>
      </c>
      <c r="BL191" t="s">
        <v>136</v>
      </c>
      <c r="BM191" t="s">
        <v>129</v>
      </c>
      <c r="BN191" t="s">
        <v>137</v>
      </c>
      <c r="BO191">
        <v>54.601405999999997</v>
      </c>
      <c r="BP191">
        <v>2</v>
      </c>
      <c r="BQ191">
        <v>407572.863954</v>
      </c>
      <c r="BR191">
        <v>31076.544499</v>
      </c>
      <c r="BS191">
        <v>75864.333805000002</v>
      </c>
      <c r="BT191">
        <v>33487.261379000003</v>
      </c>
      <c r="BU191">
        <v>138138.310356</v>
      </c>
      <c r="BV191">
        <v>11943.305593999999</v>
      </c>
      <c r="BW191">
        <v>46661.858225000004</v>
      </c>
      <c r="BX191">
        <v>58605.163819000001</v>
      </c>
      <c r="BY191">
        <v>64563.805877999999</v>
      </c>
      <c r="BZ191">
        <v>272607.80797999998</v>
      </c>
      <c r="CA191">
        <v>337171.61385800003</v>
      </c>
      <c r="CB191">
        <v>70401.250096000003</v>
      </c>
      <c r="CC191">
        <v>54.601405999999997</v>
      </c>
      <c r="CD191">
        <v>124306.17799500001</v>
      </c>
      <c r="CE191">
        <v>303457.33522000001</v>
      </c>
      <c r="CF191">
        <v>93481.120578999995</v>
      </c>
      <c r="CG191">
        <v>27237.599999999999</v>
      </c>
      <c r="CH191">
        <v>690691.55177799996</v>
      </c>
      <c r="CI191">
        <v>2975861.5814200002</v>
      </c>
      <c r="CJ191">
        <v>743978.4</v>
      </c>
    </row>
    <row r="192" spans="58:88" x14ac:dyDescent="0.45">
      <c r="BF192" t="s">
        <v>122</v>
      </c>
      <c r="BG192" t="s">
        <v>163</v>
      </c>
      <c r="BH192" t="s">
        <v>124</v>
      </c>
      <c r="BI192" t="s">
        <v>164</v>
      </c>
      <c r="BJ192" t="s">
        <v>135</v>
      </c>
      <c r="BK192" t="s">
        <v>0</v>
      </c>
      <c r="BL192" t="s">
        <v>136</v>
      </c>
      <c r="BM192" t="s">
        <v>131</v>
      </c>
      <c r="BN192" t="s">
        <v>130</v>
      </c>
      <c r="BO192">
        <v>48.25</v>
      </c>
      <c r="BP192">
        <v>2</v>
      </c>
      <c r="BQ192">
        <v>332098.86832499999</v>
      </c>
      <c r="BR192">
        <v>24861.235599</v>
      </c>
      <c r="BS192">
        <v>60691.467043999997</v>
      </c>
      <c r="BT192">
        <v>17682.047439000002</v>
      </c>
      <c r="BU192">
        <v>138138.310356</v>
      </c>
      <c r="BV192">
        <v>11943.305593999999</v>
      </c>
      <c r="BW192">
        <v>46661.858225000004</v>
      </c>
      <c r="BX192">
        <v>58605.163819000001</v>
      </c>
      <c r="BY192">
        <v>42543.283038000001</v>
      </c>
      <c r="BZ192">
        <v>257434.941219</v>
      </c>
      <c r="CA192">
        <v>299978.22425700002</v>
      </c>
      <c r="CB192">
        <v>32120.644068000001</v>
      </c>
      <c r="CC192">
        <v>0</v>
      </c>
      <c r="CD192">
        <v>124306.17799500001</v>
      </c>
      <c r="CE192">
        <v>303457.33522000001</v>
      </c>
      <c r="CF192">
        <v>93481.120578999995</v>
      </c>
      <c r="CG192">
        <v>27237.599999999999</v>
      </c>
      <c r="CH192">
        <v>690691.55177799996</v>
      </c>
      <c r="CI192">
        <v>2975861.5814200002</v>
      </c>
      <c r="CJ192">
        <v>743978.4</v>
      </c>
    </row>
    <row r="193" spans="58:88" x14ac:dyDescent="0.45">
      <c r="BF193" t="s">
        <v>122</v>
      </c>
      <c r="BG193" t="s">
        <v>163</v>
      </c>
      <c r="BH193" t="s">
        <v>124</v>
      </c>
      <c r="BI193" t="s">
        <v>164</v>
      </c>
      <c r="BJ193" t="s">
        <v>135</v>
      </c>
      <c r="BK193" t="s">
        <v>0</v>
      </c>
      <c r="BL193" t="s">
        <v>136</v>
      </c>
      <c r="BM193" t="s">
        <v>132</v>
      </c>
      <c r="BN193" t="s">
        <v>130</v>
      </c>
      <c r="BO193">
        <v>47.24</v>
      </c>
      <c r="BP193">
        <v>2</v>
      </c>
      <c r="BQ193">
        <v>325147.16144400003</v>
      </c>
      <c r="BR193">
        <v>24861.235599</v>
      </c>
      <c r="BS193">
        <v>60691.467043999997</v>
      </c>
      <c r="BT193">
        <v>17311.862201</v>
      </c>
      <c r="BU193">
        <v>138138.310356</v>
      </c>
      <c r="BV193">
        <v>11943.305593999999</v>
      </c>
      <c r="BW193">
        <v>46661.858225000004</v>
      </c>
      <c r="BX193">
        <v>58605.163819000001</v>
      </c>
      <c r="BY193">
        <v>42173.097800000003</v>
      </c>
      <c r="BZ193">
        <v>257434.941219</v>
      </c>
      <c r="CA193">
        <v>299608.03901900002</v>
      </c>
      <c r="CB193">
        <v>25539.122425000001</v>
      </c>
      <c r="CC193">
        <v>0</v>
      </c>
      <c r="CD193">
        <v>124306.17799500001</v>
      </c>
      <c r="CE193">
        <v>303457.33522000001</v>
      </c>
      <c r="CF193">
        <v>93481.120578999995</v>
      </c>
      <c r="CG193">
        <v>27237.599999999999</v>
      </c>
      <c r="CH193">
        <v>690691.55177799996</v>
      </c>
      <c r="CI193">
        <v>2975861.5814200002</v>
      </c>
      <c r="CJ193">
        <v>743978.4</v>
      </c>
    </row>
    <row r="194" spans="58:88" x14ac:dyDescent="0.45">
      <c r="BF194" t="s">
        <v>122</v>
      </c>
      <c r="BG194" t="s">
        <v>163</v>
      </c>
      <c r="BH194" t="s">
        <v>124</v>
      </c>
      <c r="BI194" t="s">
        <v>164</v>
      </c>
      <c r="BJ194" t="s">
        <v>135</v>
      </c>
      <c r="BK194" t="s">
        <v>0</v>
      </c>
      <c r="BL194" t="s">
        <v>138</v>
      </c>
      <c r="BM194" t="s">
        <v>139</v>
      </c>
      <c r="BN194" t="s">
        <v>130</v>
      </c>
      <c r="BO194">
        <v>55.745235999999998</v>
      </c>
      <c r="BP194">
        <v>2</v>
      </c>
      <c r="BQ194">
        <v>416110.99700099998</v>
      </c>
      <c r="BR194">
        <v>21753.581149000001</v>
      </c>
      <c r="BS194">
        <v>53105.033664000002</v>
      </c>
      <c r="BT194">
        <v>34188.748447999998</v>
      </c>
      <c r="BU194">
        <v>138138.310356</v>
      </c>
      <c r="BV194">
        <v>11943.305593999999</v>
      </c>
      <c r="BW194">
        <v>46661.858225000004</v>
      </c>
      <c r="BX194">
        <v>58605.163819000001</v>
      </c>
      <c r="BY194">
        <v>55942.329597000004</v>
      </c>
      <c r="BZ194">
        <v>249848.507839</v>
      </c>
      <c r="CA194">
        <v>305790.837436</v>
      </c>
      <c r="CB194">
        <v>110320.15956499999</v>
      </c>
      <c r="CC194">
        <v>55.745235999999998</v>
      </c>
      <c r="CD194">
        <v>124306.17799500001</v>
      </c>
      <c r="CE194">
        <v>303457.33522000001</v>
      </c>
      <c r="CF194">
        <v>93481.120578999995</v>
      </c>
      <c r="CG194">
        <v>27237.599999999999</v>
      </c>
      <c r="CH194">
        <v>690691.55177799996</v>
      </c>
      <c r="CI194">
        <v>2975861.5814200002</v>
      </c>
      <c r="CJ194">
        <v>743978.4</v>
      </c>
    </row>
    <row r="195" spans="58:88" x14ac:dyDescent="0.45">
      <c r="BF195" t="s">
        <v>122</v>
      </c>
      <c r="BG195" t="s">
        <v>163</v>
      </c>
      <c r="BH195" t="s">
        <v>124</v>
      </c>
      <c r="BI195" t="s">
        <v>164</v>
      </c>
      <c r="BJ195" t="s">
        <v>135</v>
      </c>
      <c r="BK195" t="s">
        <v>0</v>
      </c>
      <c r="BL195" t="s">
        <v>138</v>
      </c>
      <c r="BM195" t="s">
        <v>140</v>
      </c>
      <c r="BN195" t="s">
        <v>130</v>
      </c>
      <c r="BO195">
        <v>49.25</v>
      </c>
      <c r="BP195">
        <v>2</v>
      </c>
      <c r="BQ195">
        <v>363194.728313</v>
      </c>
      <c r="BR195">
        <v>21753.581149000001</v>
      </c>
      <c r="BS195">
        <v>53105.033664000002</v>
      </c>
      <c r="BT195">
        <v>18048.493430999999</v>
      </c>
      <c r="BU195">
        <v>138138.310356</v>
      </c>
      <c r="BV195">
        <v>11943.305593999999</v>
      </c>
      <c r="BW195">
        <v>46661.858225000004</v>
      </c>
      <c r="BX195">
        <v>58605.163819000001</v>
      </c>
      <c r="BY195">
        <v>39802.07458</v>
      </c>
      <c r="BZ195">
        <v>249848.507839</v>
      </c>
      <c r="CA195">
        <v>289650.58241899998</v>
      </c>
      <c r="CB195">
        <v>73544.145894000001</v>
      </c>
      <c r="CC195">
        <v>0</v>
      </c>
      <c r="CD195">
        <v>124306.17799500001</v>
      </c>
      <c r="CE195">
        <v>303457.33522000001</v>
      </c>
      <c r="CF195">
        <v>93481.120578999995</v>
      </c>
      <c r="CG195">
        <v>27237.599999999999</v>
      </c>
      <c r="CH195">
        <v>690691.55177799996</v>
      </c>
      <c r="CI195">
        <v>2975861.5814200002</v>
      </c>
      <c r="CJ195">
        <v>743978.4</v>
      </c>
    </row>
    <row r="196" spans="58:88" x14ac:dyDescent="0.45">
      <c r="BF196" t="s">
        <v>122</v>
      </c>
      <c r="BG196" t="s">
        <v>163</v>
      </c>
      <c r="BH196" t="s">
        <v>124</v>
      </c>
      <c r="BI196" t="s">
        <v>164</v>
      </c>
      <c r="BJ196" t="s">
        <v>141</v>
      </c>
      <c r="BK196" t="s">
        <v>0</v>
      </c>
      <c r="BL196" t="s">
        <v>136</v>
      </c>
      <c r="BM196" t="s">
        <v>129</v>
      </c>
      <c r="BN196" t="s">
        <v>137</v>
      </c>
      <c r="BO196">
        <v>78.323408000000001</v>
      </c>
      <c r="BP196">
        <v>3</v>
      </c>
      <c r="BQ196">
        <v>667159.88587200001</v>
      </c>
      <c r="BR196">
        <v>46614.945452</v>
      </c>
      <c r="BS196">
        <v>130065.45292</v>
      </c>
      <c r="BT196">
        <v>61252.787600000003</v>
      </c>
      <c r="BU196">
        <v>231516.014631</v>
      </c>
      <c r="BV196">
        <v>17293.313276000001</v>
      </c>
      <c r="BW196">
        <v>67564.053012999997</v>
      </c>
      <c r="BX196">
        <v>84857.366288999998</v>
      </c>
      <c r="BY196">
        <v>107867.733052</v>
      </c>
      <c r="BZ196">
        <v>446438.83383999998</v>
      </c>
      <c r="CA196">
        <v>554306.56689200003</v>
      </c>
      <c r="CB196">
        <v>112853.31898</v>
      </c>
      <c r="CC196">
        <v>78.323408000000001</v>
      </c>
      <c r="CD196">
        <v>186459.781808</v>
      </c>
      <c r="CE196">
        <v>520261.81167999998</v>
      </c>
      <c r="CF196">
        <v>135624.89855700001</v>
      </c>
      <c r="CG196">
        <v>65664</v>
      </c>
      <c r="CH196">
        <v>1157580.0731569999</v>
      </c>
      <c r="CI196">
        <v>2975861.5814200002</v>
      </c>
      <c r="CJ196">
        <v>743978.4</v>
      </c>
    </row>
    <row r="197" spans="58:88" x14ac:dyDescent="0.45">
      <c r="BF197" t="s">
        <v>122</v>
      </c>
      <c r="BG197" t="s">
        <v>163</v>
      </c>
      <c r="BH197" t="s">
        <v>124</v>
      </c>
      <c r="BI197" t="s">
        <v>164</v>
      </c>
      <c r="BJ197" t="s">
        <v>141</v>
      </c>
      <c r="BK197" t="s">
        <v>0</v>
      </c>
      <c r="BL197" t="s">
        <v>136</v>
      </c>
      <c r="BM197" t="s">
        <v>131</v>
      </c>
      <c r="BN197" t="s">
        <v>130</v>
      </c>
      <c r="BO197">
        <v>70.36</v>
      </c>
      <c r="BP197">
        <v>3</v>
      </c>
      <c r="BQ197">
        <v>553462.06070399994</v>
      </c>
      <c r="BR197">
        <v>37291.956361999997</v>
      </c>
      <c r="BS197">
        <v>104052.36233600001</v>
      </c>
      <c r="BT197">
        <v>25835.865051000001</v>
      </c>
      <c r="BU197">
        <v>231516.014631</v>
      </c>
      <c r="BV197">
        <v>17293.313276000001</v>
      </c>
      <c r="BW197">
        <v>67564.053012999997</v>
      </c>
      <c r="BX197">
        <v>84857.366288999998</v>
      </c>
      <c r="BY197">
        <v>63127.821412999998</v>
      </c>
      <c r="BZ197">
        <v>420425.74325599999</v>
      </c>
      <c r="CA197">
        <v>483553.56466899998</v>
      </c>
      <c r="CB197">
        <v>69908.496035000004</v>
      </c>
      <c r="CC197">
        <v>0</v>
      </c>
      <c r="CD197">
        <v>186459.781808</v>
      </c>
      <c r="CE197">
        <v>520261.81167999998</v>
      </c>
      <c r="CF197">
        <v>135624.89855700001</v>
      </c>
      <c r="CG197">
        <v>65664</v>
      </c>
      <c r="CH197">
        <v>1157580.0731569999</v>
      </c>
      <c r="CI197">
        <v>2975861.5814200002</v>
      </c>
      <c r="CJ197">
        <v>743978.4</v>
      </c>
    </row>
    <row r="198" spans="58:88" x14ac:dyDescent="0.45">
      <c r="BF198" t="s">
        <v>122</v>
      </c>
      <c r="BG198" t="s">
        <v>163</v>
      </c>
      <c r="BH198" t="s">
        <v>124</v>
      </c>
      <c r="BI198" t="s">
        <v>164</v>
      </c>
      <c r="BJ198" t="s">
        <v>141</v>
      </c>
      <c r="BK198" t="s">
        <v>0</v>
      </c>
      <c r="BL198" t="s">
        <v>136</v>
      </c>
      <c r="BM198" t="s">
        <v>132</v>
      </c>
      <c r="BN198" t="s">
        <v>130</v>
      </c>
      <c r="BO198">
        <v>69.349999999999994</v>
      </c>
      <c r="BP198">
        <v>3</v>
      </c>
      <c r="BQ198">
        <v>545517.25283999997</v>
      </c>
      <c r="BR198">
        <v>37291.956361999997</v>
      </c>
      <c r="BS198">
        <v>104052.36233600001</v>
      </c>
      <c r="BT198">
        <v>25465.066578000002</v>
      </c>
      <c r="BU198">
        <v>231516.014631</v>
      </c>
      <c r="BV198">
        <v>17293.313276000001</v>
      </c>
      <c r="BW198">
        <v>67564.053012999997</v>
      </c>
      <c r="BX198">
        <v>84857.366288999998</v>
      </c>
      <c r="BY198">
        <v>62757.022940000003</v>
      </c>
      <c r="BZ198">
        <v>420425.74325599999</v>
      </c>
      <c r="CA198">
        <v>483182.76619599998</v>
      </c>
      <c r="CB198">
        <v>62334.486643999997</v>
      </c>
      <c r="CC198">
        <v>0</v>
      </c>
      <c r="CD198">
        <v>186459.781808</v>
      </c>
      <c r="CE198">
        <v>520261.81167999998</v>
      </c>
      <c r="CF198">
        <v>135624.89855700001</v>
      </c>
      <c r="CG198">
        <v>65664</v>
      </c>
      <c r="CH198">
        <v>1157580.0731569999</v>
      </c>
      <c r="CI198">
        <v>2975861.5814200002</v>
      </c>
      <c r="CJ198">
        <v>743978.4</v>
      </c>
    </row>
    <row r="199" spans="58:88" x14ac:dyDescent="0.45">
      <c r="BF199" t="s">
        <v>122</v>
      </c>
      <c r="BG199" t="s">
        <v>163</v>
      </c>
      <c r="BH199" t="s">
        <v>124</v>
      </c>
      <c r="BI199" t="s">
        <v>164</v>
      </c>
      <c r="BJ199" t="s">
        <v>141</v>
      </c>
      <c r="BK199" t="s">
        <v>0</v>
      </c>
      <c r="BL199" t="s">
        <v>138</v>
      </c>
      <c r="BM199" t="s">
        <v>139</v>
      </c>
      <c r="BN199" t="s">
        <v>130</v>
      </c>
      <c r="BO199">
        <v>79.958934999999997</v>
      </c>
      <c r="BP199">
        <v>3</v>
      </c>
      <c r="BQ199">
        <v>681091.32775499998</v>
      </c>
      <c r="BR199">
        <v>32630.461815999999</v>
      </c>
      <c r="BS199">
        <v>91045.817043999996</v>
      </c>
      <c r="BT199">
        <v>62531.840763</v>
      </c>
      <c r="BU199">
        <v>231516.014631</v>
      </c>
      <c r="BV199">
        <v>17293.313276000001</v>
      </c>
      <c r="BW199">
        <v>67564.053012999997</v>
      </c>
      <c r="BX199">
        <v>84857.366288999998</v>
      </c>
      <c r="BY199">
        <v>95162.302578999996</v>
      </c>
      <c r="BZ199">
        <v>407419.19796399999</v>
      </c>
      <c r="CA199">
        <v>502581.500543</v>
      </c>
      <c r="CB199">
        <v>178509.827212</v>
      </c>
      <c r="CC199">
        <v>79.958934999999997</v>
      </c>
      <c r="CD199">
        <v>186459.781808</v>
      </c>
      <c r="CE199">
        <v>520261.81167999998</v>
      </c>
      <c r="CF199">
        <v>135624.89855700001</v>
      </c>
      <c r="CG199">
        <v>65664</v>
      </c>
      <c r="CH199">
        <v>1157580.0731569999</v>
      </c>
      <c r="CI199">
        <v>2975861.5814200002</v>
      </c>
      <c r="CJ199">
        <v>743978.4</v>
      </c>
    </row>
    <row r="200" spans="58:88" x14ac:dyDescent="0.45">
      <c r="BF200" t="s">
        <v>122</v>
      </c>
      <c r="BG200" t="s">
        <v>163</v>
      </c>
      <c r="BH200" t="s">
        <v>124</v>
      </c>
      <c r="BI200" t="s">
        <v>164</v>
      </c>
      <c r="BJ200" t="s">
        <v>141</v>
      </c>
      <c r="BK200" t="s">
        <v>0</v>
      </c>
      <c r="BL200" t="s">
        <v>138</v>
      </c>
      <c r="BM200" t="s">
        <v>140</v>
      </c>
      <c r="BN200" t="s">
        <v>130</v>
      </c>
      <c r="BO200">
        <v>71.36</v>
      </c>
      <c r="BP200">
        <v>3</v>
      </c>
      <c r="BQ200">
        <v>601423.07903999998</v>
      </c>
      <c r="BR200">
        <v>32630.461815999999</v>
      </c>
      <c r="BS200">
        <v>91045.817043999996</v>
      </c>
      <c r="BT200">
        <v>26203.137276000001</v>
      </c>
      <c r="BU200">
        <v>231516.014631</v>
      </c>
      <c r="BV200">
        <v>17293.313276000001</v>
      </c>
      <c r="BW200">
        <v>67564.053012999997</v>
      </c>
      <c r="BX200">
        <v>84857.366288999998</v>
      </c>
      <c r="BY200">
        <v>58833.599091999997</v>
      </c>
      <c r="BZ200">
        <v>407419.19796399999</v>
      </c>
      <c r="CA200">
        <v>466252.79705599998</v>
      </c>
      <c r="CB200">
        <v>135170.281984</v>
      </c>
      <c r="CC200">
        <v>0</v>
      </c>
      <c r="CD200">
        <v>186459.781808</v>
      </c>
      <c r="CE200">
        <v>520261.81167999998</v>
      </c>
      <c r="CF200">
        <v>135624.89855700001</v>
      </c>
      <c r="CG200">
        <v>65664</v>
      </c>
      <c r="CH200">
        <v>1157580.0731569999</v>
      </c>
      <c r="CI200">
        <v>2975861.5814200002</v>
      </c>
      <c r="CJ200">
        <v>743978.4</v>
      </c>
    </row>
    <row r="201" spans="58:88" x14ac:dyDescent="0.45">
      <c r="BF201" t="s">
        <v>122</v>
      </c>
      <c r="BG201" t="s">
        <v>163</v>
      </c>
      <c r="BH201" t="s">
        <v>124</v>
      </c>
      <c r="BI201" t="s">
        <v>164</v>
      </c>
      <c r="BJ201" t="s">
        <v>142</v>
      </c>
      <c r="BK201" t="s">
        <v>0</v>
      </c>
      <c r="BL201" t="s">
        <v>136</v>
      </c>
      <c r="BM201" t="s">
        <v>129</v>
      </c>
      <c r="BN201" t="s">
        <v>137</v>
      </c>
      <c r="BO201">
        <v>51.351967000000002</v>
      </c>
      <c r="BP201">
        <v>2</v>
      </c>
      <c r="BQ201">
        <v>375588.90286199999</v>
      </c>
      <c r="BR201">
        <v>31076.544499</v>
      </c>
      <c r="BS201">
        <v>71337.751355</v>
      </c>
      <c r="BT201">
        <v>30620.977389</v>
      </c>
      <c r="BU201">
        <v>125159.088605</v>
      </c>
      <c r="BV201">
        <v>11306.294699</v>
      </c>
      <c r="BW201">
        <v>44173.090619000002</v>
      </c>
      <c r="BX201">
        <v>55479.385318000001</v>
      </c>
      <c r="BY201">
        <v>61697.521888000003</v>
      </c>
      <c r="BZ201">
        <v>251976.225278</v>
      </c>
      <c r="CA201">
        <v>313673.74716600002</v>
      </c>
      <c r="CB201">
        <v>61915.155696000002</v>
      </c>
      <c r="CC201">
        <v>51.351967000000002</v>
      </c>
      <c r="CD201">
        <v>124306.17799500001</v>
      </c>
      <c r="CE201">
        <v>285351.00542</v>
      </c>
      <c r="CF201">
        <v>88500.801162000003</v>
      </c>
      <c r="CG201">
        <v>23849.64</v>
      </c>
      <c r="CH201">
        <v>625795.44302600005</v>
      </c>
      <c r="CI201">
        <v>2975861.5814200002</v>
      </c>
      <c r="CJ201">
        <v>743978.4</v>
      </c>
    </row>
    <row r="202" spans="58:88" x14ac:dyDescent="0.45">
      <c r="BF202" t="s">
        <v>122</v>
      </c>
      <c r="BG202" t="s">
        <v>163</v>
      </c>
      <c r="BH202" t="s">
        <v>124</v>
      </c>
      <c r="BI202" t="s">
        <v>164</v>
      </c>
      <c r="BJ202" t="s">
        <v>142</v>
      </c>
      <c r="BK202" t="s">
        <v>0</v>
      </c>
      <c r="BL202" t="s">
        <v>136</v>
      </c>
      <c r="BM202" t="s">
        <v>131</v>
      </c>
      <c r="BN202" t="s">
        <v>130</v>
      </c>
      <c r="BO202">
        <v>46.234999999999999</v>
      </c>
      <c r="BP202">
        <v>2</v>
      </c>
      <c r="BQ202">
        <v>311735.38183199998</v>
      </c>
      <c r="BR202">
        <v>24861.235599</v>
      </c>
      <c r="BS202">
        <v>57070.201084</v>
      </c>
      <c r="BT202">
        <v>16944.717393999999</v>
      </c>
      <c r="BU202">
        <v>125159.088605</v>
      </c>
      <c r="BV202">
        <v>11306.294699</v>
      </c>
      <c r="BW202">
        <v>44173.090619000002</v>
      </c>
      <c r="BX202">
        <v>55479.385318000001</v>
      </c>
      <c r="BY202">
        <v>41805.952992999999</v>
      </c>
      <c r="BZ202">
        <v>237708.67500700001</v>
      </c>
      <c r="CA202">
        <v>279514.62800000003</v>
      </c>
      <c r="CB202">
        <v>32220.753831999999</v>
      </c>
      <c r="CC202">
        <v>0</v>
      </c>
      <c r="CD202">
        <v>124306.17799500001</v>
      </c>
      <c r="CE202">
        <v>285351.00542</v>
      </c>
      <c r="CF202">
        <v>88500.801162000003</v>
      </c>
      <c r="CG202">
        <v>23849.64</v>
      </c>
      <c r="CH202">
        <v>625795.44302600005</v>
      </c>
      <c r="CI202">
        <v>2975861.5814200002</v>
      </c>
      <c r="CJ202">
        <v>743978.4</v>
      </c>
    </row>
    <row r="203" spans="58:88" x14ac:dyDescent="0.45">
      <c r="BF203" t="s">
        <v>122</v>
      </c>
      <c r="BG203" t="s">
        <v>163</v>
      </c>
      <c r="BH203" t="s">
        <v>124</v>
      </c>
      <c r="BI203" t="s">
        <v>164</v>
      </c>
      <c r="BJ203" t="s">
        <v>142</v>
      </c>
      <c r="BK203" t="s">
        <v>0</v>
      </c>
      <c r="BL203" t="s">
        <v>136</v>
      </c>
      <c r="BM203" t="s">
        <v>132</v>
      </c>
      <c r="BN203" t="s">
        <v>130</v>
      </c>
      <c r="BO203">
        <v>45.23</v>
      </c>
      <c r="BP203">
        <v>2</v>
      </c>
      <c r="BQ203">
        <v>304959.25857599999</v>
      </c>
      <c r="BR203">
        <v>24861.235599</v>
      </c>
      <c r="BS203">
        <v>57070.201084</v>
      </c>
      <c r="BT203">
        <v>16576.377058999999</v>
      </c>
      <c r="BU203">
        <v>125159.088605</v>
      </c>
      <c r="BV203">
        <v>11306.294699</v>
      </c>
      <c r="BW203">
        <v>44173.090619000002</v>
      </c>
      <c r="BX203">
        <v>55479.385318000001</v>
      </c>
      <c r="BY203">
        <v>41437.612657999998</v>
      </c>
      <c r="BZ203">
        <v>237708.67500700001</v>
      </c>
      <c r="CA203">
        <v>279146.28766500001</v>
      </c>
      <c r="CB203">
        <v>25812.970911</v>
      </c>
      <c r="CC203">
        <v>0</v>
      </c>
      <c r="CD203">
        <v>124306.17799500001</v>
      </c>
      <c r="CE203">
        <v>285351.00542</v>
      </c>
      <c r="CF203">
        <v>88500.801162000003</v>
      </c>
      <c r="CG203">
        <v>23849.64</v>
      </c>
      <c r="CH203">
        <v>625795.44302600005</v>
      </c>
      <c r="CI203">
        <v>2975861.5814200002</v>
      </c>
      <c r="CJ203">
        <v>743978.4</v>
      </c>
    </row>
    <row r="204" spans="58:88" x14ac:dyDescent="0.45">
      <c r="BF204" t="s">
        <v>122</v>
      </c>
      <c r="BG204" t="s">
        <v>163</v>
      </c>
      <c r="BH204" t="s">
        <v>124</v>
      </c>
      <c r="BI204" t="s">
        <v>164</v>
      </c>
      <c r="BJ204" t="s">
        <v>142</v>
      </c>
      <c r="BK204" t="s">
        <v>0</v>
      </c>
      <c r="BL204" t="s">
        <v>138</v>
      </c>
      <c r="BM204" t="s">
        <v>139</v>
      </c>
      <c r="BN204" t="s">
        <v>130</v>
      </c>
      <c r="BO204">
        <v>52.429389999999998</v>
      </c>
      <c r="BP204">
        <v>2</v>
      </c>
      <c r="BQ204">
        <v>383469.18761299999</v>
      </c>
      <c r="BR204">
        <v>21753.581149000001</v>
      </c>
      <c r="BS204">
        <v>49936.425948999997</v>
      </c>
      <c r="BT204">
        <v>31263.451076000001</v>
      </c>
      <c r="BU204">
        <v>125159.088605</v>
      </c>
      <c r="BV204">
        <v>11306.294699</v>
      </c>
      <c r="BW204">
        <v>44173.090619000002</v>
      </c>
      <c r="BX204">
        <v>55479.385318000001</v>
      </c>
      <c r="BY204">
        <v>53017.032225000003</v>
      </c>
      <c r="BZ204">
        <v>230574.89987200001</v>
      </c>
      <c r="CA204">
        <v>283591.93209700001</v>
      </c>
      <c r="CB204">
        <v>99877.255516000005</v>
      </c>
      <c r="CC204">
        <v>52.429389999999998</v>
      </c>
      <c r="CD204">
        <v>124306.17799500001</v>
      </c>
      <c r="CE204">
        <v>285351.00542</v>
      </c>
      <c r="CF204">
        <v>88500.801162000003</v>
      </c>
      <c r="CG204">
        <v>23849.64</v>
      </c>
      <c r="CH204">
        <v>625795.44302600005</v>
      </c>
      <c r="CI204">
        <v>2975861.5814200002</v>
      </c>
      <c r="CJ204">
        <v>743978.4</v>
      </c>
    </row>
    <row r="205" spans="58:88" x14ac:dyDescent="0.45">
      <c r="BF205" t="s">
        <v>122</v>
      </c>
      <c r="BG205" t="s">
        <v>163</v>
      </c>
      <c r="BH205" t="s">
        <v>124</v>
      </c>
      <c r="BI205" t="s">
        <v>164</v>
      </c>
      <c r="BJ205" t="s">
        <v>142</v>
      </c>
      <c r="BK205" t="s">
        <v>0</v>
      </c>
      <c r="BL205" t="s">
        <v>138</v>
      </c>
      <c r="BM205" t="s">
        <v>140</v>
      </c>
      <c r="BN205" t="s">
        <v>130</v>
      </c>
      <c r="BO205">
        <v>46.234999999999999</v>
      </c>
      <c r="BP205">
        <v>2</v>
      </c>
      <c r="BQ205">
        <v>334002.19481999998</v>
      </c>
      <c r="BR205">
        <v>21753.581149000001</v>
      </c>
      <c r="BS205">
        <v>49936.425948999997</v>
      </c>
      <c r="BT205">
        <v>16944.717393999999</v>
      </c>
      <c r="BU205">
        <v>125159.088605</v>
      </c>
      <c r="BV205">
        <v>11306.294699</v>
      </c>
      <c r="BW205">
        <v>44173.090619000002</v>
      </c>
      <c r="BX205">
        <v>55479.385318000001</v>
      </c>
      <c r="BY205">
        <v>38698.298542999997</v>
      </c>
      <c r="BZ205">
        <v>230574.89987200001</v>
      </c>
      <c r="CA205">
        <v>269273.19841499999</v>
      </c>
      <c r="CB205">
        <v>64728.996404999998</v>
      </c>
      <c r="CC205">
        <v>0</v>
      </c>
      <c r="CD205">
        <v>124306.17799500001</v>
      </c>
      <c r="CE205">
        <v>285351.00542</v>
      </c>
      <c r="CF205">
        <v>88500.801162000003</v>
      </c>
      <c r="CG205">
        <v>23849.64</v>
      </c>
      <c r="CH205">
        <v>625795.44302600005</v>
      </c>
      <c r="CI205">
        <v>2975861.5814200002</v>
      </c>
      <c r="CJ205">
        <v>743978.4</v>
      </c>
    </row>
    <row r="206" spans="58:88" x14ac:dyDescent="0.45">
      <c r="BF206" t="s">
        <v>122</v>
      </c>
      <c r="BG206" t="s">
        <v>163</v>
      </c>
      <c r="BH206" t="s">
        <v>124</v>
      </c>
      <c r="BI206" t="s">
        <v>164</v>
      </c>
      <c r="BJ206" t="s">
        <v>143</v>
      </c>
      <c r="BK206" t="s">
        <v>144</v>
      </c>
      <c r="BL206" t="s">
        <v>145</v>
      </c>
      <c r="BM206" t="s">
        <v>129</v>
      </c>
      <c r="BN206" t="s">
        <v>137</v>
      </c>
      <c r="BO206">
        <v>55.746749999999999</v>
      </c>
      <c r="BP206">
        <v>2</v>
      </c>
      <c r="BQ206">
        <v>411986.15422000003</v>
      </c>
      <c r="BR206">
        <v>31076.544499</v>
      </c>
      <c r="BS206">
        <v>74709.834484999999</v>
      </c>
      <c r="BT206">
        <v>33741.208639999997</v>
      </c>
      <c r="BU206">
        <v>137944.30278500001</v>
      </c>
      <c r="BV206">
        <v>12306.590042</v>
      </c>
      <c r="BW206">
        <v>47635.864045000002</v>
      </c>
      <c r="BX206">
        <v>59942.454086999998</v>
      </c>
      <c r="BY206">
        <v>64817.753139</v>
      </c>
      <c r="BZ206">
        <v>272596.591357</v>
      </c>
      <c r="CA206">
        <v>337414.34449599998</v>
      </c>
      <c r="CB206">
        <v>74571.809724000006</v>
      </c>
      <c r="CC206">
        <v>55.746749999999999</v>
      </c>
      <c r="CD206">
        <v>124306.17799500001</v>
      </c>
      <c r="CE206">
        <v>298839.33794</v>
      </c>
      <c r="CF206">
        <v>95397.261664999998</v>
      </c>
      <c r="CG206">
        <v>26916.84</v>
      </c>
      <c r="CH206">
        <v>689721.51392299996</v>
      </c>
      <c r="CI206">
        <v>2975861.5814200002</v>
      </c>
      <c r="CJ206">
        <v>743978.4</v>
      </c>
    </row>
    <row r="207" spans="58:88" x14ac:dyDescent="0.45">
      <c r="BF207" t="s">
        <v>122</v>
      </c>
      <c r="BG207" t="s">
        <v>163</v>
      </c>
      <c r="BH207" t="s">
        <v>124</v>
      </c>
      <c r="BI207" t="s">
        <v>164</v>
      </c>
      <c r="BJ207" t="s">
        <v>143</v>
      </c>
      <c r="BK207" t="s">
        <v>144</v>
      </c>
      <c r="BL207" t="s">
        <v>145</v>
      </c>
      <c r="BM207" t="s">
        <v>131</v>
      </c>
      <c r="BN207" t="s">
        <v>130</v>
      </c>
      <c r="BO207">
        <v>49.255000000000003</v>
      </c>
      <c r="BP207">
        <v>2</v>
      </c>
      <c r="BQ207">
        <v>335605.30624599999</v>
      </c>
      <c r="BR207">
        <v>24861.235599</v>
      </c>
      <c r="BS207">
        <v>59767.867588000001</v>
      </c>
      <c r="BT207">
        <v>18043.628865999999</v>
      </c>
      <c r="BU207">
        <v>137944.30278500001</v>
      </c>
      <c r="BV207">
        <v>12306.590042</v>
      </c>
      <c r="BW207">
        <v>47635.864045000002</v>
      </c>
      <c r="BX207">
        <v>59942.454086999998</v>
      </c>
      <c r="BY207">
        <v>42904.864464999999</v>
      </c>
      <c r="BZ207">
        <v>257654.62445999999</v>
      </c>
      <c r="CA207">
        <v>300559.48892500001</v>
      </c>
      <c r="CB207">
        <v>35045.817321000002</v>
      </c>
      <c r="CC207">
        <v>0</v>
      </c>
      <c r="CD207">
        <v>124306.17799500001</v>
      </c>
      <c r="CE207">
        <v>298839.33794</v>
      </c>
      <c r="CF207">
        <v>95397.261664999998</v>
      </c>
      <c r="CG207">
        <v>26916.84</v>
      </c>
      <c r="CH207">
        <v>689721.51392299996</v>
      </c>
      <c r="CI207">
        <v>2975861.5814200002</v>
      </c>
      <c r="CJ207">
        <v>743978.4</v>
      </c>
    </row>
    <row r="208" spans="58:88" x14ac:dyDescent="0.45">
      <c r="BF208" t="s">
        <v>122</v>
      </c>
      <c r="BG208" t="s">
        <v>163</v>
      </c>
      <c r="BH208" t="s">
        <v>124</v>
      </c>
      <c r="BI208" t="s">
        <v>164</v>
      </c>
      <c r="BJ208" t="s">
        <v>143</v>
      </c>
      <c r="BK208" t="s">
        <v>144</v>
      </c>
      <c r="BL208" t="s">
        <v>145</v>
      </c>
      <c r="BM208" t="s">
        <v>132</v>
      </c>
      <c r="BN208" t="s">
        <v>130</v>
      </c>
      <c r="BO208">
        <v>48.244999999999997</v>
      </c>
      <c r="BP208">
        <v>2</v>
      </c>
      <c r="BQ208">
        <v>328723.54075400002</v>
      </c>
      <c r="BR208">
        <v>24861.235599</v>
      </c>
      <c r="BS208">
        <v>59767.867588000001</v>
      </c>
      <c r="BT208">
        <v>17673.678285000002</v>
      </c>
      <c r="BU208">
        <v>137944.30278500001</v>
      </c>
      <c r="BV208">
        <v>12306.590042</v>
      </c>
      <c r="BW208">
        <v>47635.864045000002</v>
      </c>
      <c r="BX208">
        <v>59942.454086999998</v>
      </c>
      <c r="BY208">
        <v>42534.913884000001</v>
      </c>
      <c r="BZ208">
        <v>257654.62445999999</v>
      </c>
      <c r="CA208">
        <v>300189.538344</v>
      </c>
      <c r="CB208">
        <v>28534.002410000001</v>
      </c>
      <c r="CC208">
        <v>0</v>
      </c>
      <c r="CD208">
        <v>124306.17799500001</v>
      </c>
      <c r="CE208">
        <v>298839.33794</v>
      </c>
      <c r="CF208">
        <v>95397.261664999998</v>
      </c>
      <c r="CG208">
        <v>26916.84</v>
      </c>
      <c r="CH208">
        <v>689721.51392299996</v>
      </c>
      <c r="CI208">
        <v>2975861.5814200002</v>
      </c>
      <c r="CJ208">
        <v>743978.4</v>
      </c>
    </row>
    <row r="209" spans="58:88" x14ac:dyDescent="0.45">
      <c r="BF209" t="s">
        <v>122</v>
      </c>
      <c r="BG209" t="s">
        <v>163</v>
      </c>
      <c r="BH209" t="s">
        <v>124</v>
      </c>
      <c r="BI209" t="s">
        <v>164</v>
      </c>
      <c r="BJ209" t="s">
        <v>143</v>
      </c>
      <c r="BK209" t="s">
        <v>144</v>
      </c>
      <c r="BL209" t="s">
        <v>146</v>
      </c>
      <c r="BM209" t="s">
        <v>139</v>
      </c>
      <c r="BN209" t="s">
        <v>130</v>
      </c>
      <c r="BO209">
        <v>56.910060000000001</v>
      </c>
      <c r="BP209">
        <v>2</v>
      </c>
      <c r="BQ209">
        <v>420583.38388899999</v>
      </c>
      <c r="BR209">
        <v>21753.581149000001</v>
      </c>
      <c r="BS209">
        <v>52296.884140000002</v>
      </c>
      <c r="BT209">
        <v>34445.318415000002</v>
      </c>
      <c r="BU209">
        <v>137944.30278500001</v>
      </c>
      <c r="BV209">
        <v>12306.590042</v>
      </c>
      <c r="BW209">
        <v>47635.864045000002</v>
      </c>
      <c r="BX209">
        <v>59942.454086999998</v>
      </c>
      <c r="BY209">
        <v>56198.899563999999</v>
      </c>
      <c r="BZ209">
        <v>250183.64101200001</v>
      </c>
      <c r="CA209">
        <v>306382.540576</v>
      </c>
      <c r="CB209">
        <v>114200.843313</v>
      </c>
      <c r="CC209">
        <v>56.910060000000001</v>
      </c>
      <c r="CD209">
        <v>124306.17799500001</v>
      </c>
      <c r="CE209">
        <v>298839.33794</v>
      </c>
      <c r="CF209">
        <v>95397.261664999998</v>
      </c>
      <c r="CG209">
        <v>26916.84</v>
      </c>
      <c r="CH209">
        <v>689721.51392299996</v>
      </c>
      <c r="CI209">
        <v>2975861.5814200002</v>
      </c>
      <c r="CJ209">
        <v>743978.4</v>
      </c>
    </row>
    <row r="210" spans="58:88" x14ac:dyDescent="0.45">
      <c r="BF210" t="s">
        <v>122</v>
      </c>
      <c r="BG210" t="s">
        <v>163</v>
      </c>
      <c r="BH210" t="s">
        <v>124</v>
      </c>
      <c r="BI210" t="s">
        <v>164</v>
      </c>
      <c r="BJ210" t="s">
        <v>143</v>
      </c>
      <c r="BK210" t="s">
        <v>144</v>
      </c>
      <c r="BL210" t="s">
        <v>146</v>
      </c>
      <c r="BM210" t="s">
        <v>140</v>
      </c>
      <c r="BN210" t="s">
        <v>130</v>
      </c>
      <c r="BO210">
        <v>50.255000000000003</v>
      </c>
      <c r="BP210">
        <v>2</v>
      </c>
      <c r="BQ210">
        <v>366877.43083500001</v>
      </c>
      <c r="BR210">
        <v>21753.581149000001</v>
      </c>
      <c r="BS210">
        <v>52296.884140000002</v>
      </c>
      <c r="BT210">
        <v>18409.954351</v>
      </c>
      <c r="BU210">
        <v>137944.30278500001</v>
      </c>
      <c r="BV210">
        <v>12306.590042</v>
      </c>
      <c r="BW210">
        <v>47635.864045000002</v>
      </c>
      <c r="BX210">
        <v>59942.454086999998</v>
      </c>
      <c r="BY210">
        <v>40163.535499999998</v>
      </c>
      <c r="BZ210">
        <v>250183.64101200001</v>
      </c>
      <c r="CA210">
        <v>290347.17651199998</v>
      </c>
      <c r="CB210">
        <v>76530.254323000001</v>
      </c>
      <c r="CC210">
        <v>0</v>
      </c>
      <c r="CD210">
        <v>124306.17799500001</v>
      </c>
      <c r="CE210">
        <v>298839.33794</v>
      </c>
      <c r="CF210">
        <v>95397.261664999998</v>
      </c>
      <c r="CG210">
        <v>26916.84</v>
      </c>
      <c r="CH210">
        <v>689721.51392299996</v>
      </c>
      <c r="CI210">
        <v>2975861.5814200002</v>
      </c>
      <c r="CJ210">
        <v>743978.4</v>
      </c>
    </row>
    <row r="211" spans="58:88" x14ac:dyDescent="0.45">
      <c r="BF211" t="s">
        <v>122</v>
      </c>
      <c r="BG211" t="s">
        <v>163</v>
      </c>
      <c r="BH211" t="s">
        <v>124</v>
      </c>
      <c r="BI211" t="s">
        <v>164</v>
      </c>
      <c r="BJ211" t="s">
        <v>147</v>
      </c>
      <c r="BK211" t="s">
        <v>144</v>
      </c>
      <c r="BL211" t="s">
        <v>145</v>
      </c>
      <c r="BM211" t="s">
        <v>129</v>
      </c>
      <c r="BN211" t="s">
        <v>137</v>
      </c>
      <c r="BO211">
        <v>72.005854999999997</v>
      </c>
      <c r="BP211">
        <v>3</v>
      </c>
      <c r="BQ211">
        <v>575499.95553100004</v>
      </c>
      <c r="BR211">
        <v>46614.818835999999</v>
      </c>
      <c r="BS211">
        <v>123059.056289</v>
      </c>
      <c r="BT211">
        <v>48734.504991000002</v>
      </c>
      <c r="BU211">
        <v>227361.43579600001</v>
      </c>
      <c r="BV211">
        <v>18457.881181000001</v>
      </c>
      <c r="BW211">
        <v>71446.039518999998</v>
      </c>
      <c r="BX211">
        <v>89903.920700000002</v>
      </c>
      <c r="BY211">
        <v>95349.323827</v>
      </c>
      <c r="BZ211">
        <v>440324.41278499999</v>
      </c>
      <c r="CA211">
        <v>535673.73661200004</v>
      </c>
      <c r="CB211">
        <v>39826.218918999999</v>
      </c>
      <c r="CC211">
        <v>72.005854999999997</v>
      </c>
      <c r="CD211">
        <v>161598.340283</v>
      </c>
      <c r="CE211">
        <v>426605.52480000001</v>
      </c>
      <c r="CF211">
        <v>124131.140927</v>
      </c>
      <c r="CG211">
        <v>45125.64</v>
      </c>
      <c r="CH211">
        <v>985233.87368199998</v>
      </c>
      <c r="CI211">
        <v>2975861.5814200002</v>
      </c>
      <c r="CJ211">
        <v>743978.4</v>
      </c>
    </row>
    <row r="212" spans="58:88" x14ac:dyDescent="0.45">
      <c r="BF212" t="s">
        <v>122</v>
      </c>
      <c r="BG212" t="s">
        <v>163</v>
      </c>
      <c r="BH212" t="s">
        <v>124</v>
      </c>
      <c r="BI212" t="s">
        <v>164</v>
      </c>
      <c r="BJ212" t="s">
        <v>147</v>
      </c>
      <c r="BK212" t="s">
        <v>144</v>
      </c>
      <c r="BL212" t="s">
        <v>145</v>
      </c>
      <c r="BM212" t="s">
        <v>131</v>
      </c>
      <c r="BN212" t="s">
        <v>130</v>
      </c>
      <c r="BO212">
        <v>64.33</v>
      </c>
      <c r="BP212">
        <v>2</v>
      </c>
      <c r="BQ212">
        <v>474470.93274000002</v>
      </c>
      <c r="BR212">
        <v>24861.258258999998</v>
      </c>
      <c r="BS212">
        <v>65631.553568000003</v>
      </c>
      <c r="BT212">
        <v>23590.502677</v>
      </c>
      <c r="BU212">
        <v>151574.29053</v>
      </c>
      <c r="BV212">
        <v>12305.254121</v>
      </c>
      <c r="BW212">
        <v>47630.693012000003</v>
      </c>
      <c r="BX212">
        <v>59935.947133000001</v>
      </c>
      <c r="BY212">
        <v>48451.760935999999</v>
      </c>
      <c r="BZ212">
        <v>277141.79123099998</v>
      </c>
      <c r="CA212">
        <v>325593.55216700002</v>
      </c>
      <c r="CB212">
        <v>148877.380573</v>
      </c>
      <c r="CC212">
        <v>0</v>
      </c>
      <c r="CD212">
        <v>161598.340283</v>
      </c>
      <c r="CE212">
        <v>426605.52480000001</v>
      </c>
      <c r="CF212">
        <v>124131.140927</v>
      </c>
      <c r="CG212">
        <v>45125.64</v>
      </c>
      <c r="CH212">
        <v>985233.87368199998</v>
      </c>
      <c r="CI212">
        <v>2975861.5814200002</v>
      </c>
      <c r="CJ212">
        <v>743978.4</v>
      </c>
    </row>
    <row r="213" spans="58:88" x14ac:dyDescent="0.45">
      <c r="BF213" t="s">
        <v>122</v>
      </c>
      <c r="BG213" t="s">
        <v>163</v>
      </c>
      <c r="BH213" t="s">
        <v>124</v>
      </c>
      <c r="BI213" t="s">
        <v>164</v>
      </c>
      <c r="BJ213" t="s">
        <v>147</v>
      </c>
      <c r="BK213" t="s">
        <v>144</v>
      </c>
      <c r="BL213" t="s">
        <v>145</v>
      </c>
      <c r="BM213" t="s">
        <v>132</v>
      </c>
      <c r="BN213" t="s">
        <v>130</v>
      </c>
      <c r="BO213">
        <v>63.32</v>
      </c>
      <c r="BP213">
        <v>2</v>
      </c>
      <c r="BQ213">
        <v>467021.59895999997</v>
      </c>
      <c r="BR213">
        <v>24861.258258999998</v>
      </c>
      <c r="BS213">
        <v>65631.553568000003</v>
      </c>
      <c r="BT213">
        <v>23220.095353000001</v>
      </c>
      <c r="BU213">
        <v>151574.29053</v>
      </c>
      <c r="BV213">
        <v>12305.254121</v>
      </c>
      <c r="BW213">
        <v>47630.693012000003</v>
      </c>
      <c r="BX213">
        <v>59935.947133000001</v>
      </c>
      <c r="BY213">
        <v>48081.353611999999</v>
      </c>
      <c r="BZ213">
        <v>277141.79123099998</v>
      </c>
      <c r="CA213">
        <v>325223.14484299999</v>
      </c>
      <c r="CB213">
        <v>141798.45411699999</v>
      </c>
      <c r="CC213">
        <v>0</v>
      </c>
      <c r="CD213">
        <v>161598.340283</v>
      </c>
      <c r="CE213">
        <v>426605.52480000001</v>
      </c>
      <c r="CF213">
        <v>124131.140927</v>
      </c>
      <c r="CG213">
        <v>45125.64</v>
      </c>
      <c r="CH213">
        <v>985233.87368199998</v>
      </c>
      <c r="CI213">
        <v>2975861.5814200002</v>
      </c>
      <c r="CJ213">
        <v>743978.4</v>
      </c>
    </row>
    <row r="214" spans="58:88" x14ac:dyDescent="0.45">
      <c r="BF214" t="s">
        <v>122</v>
      </c>
      <c r="BG214" t="s">
        <v>163</v>
      </c>
      <c r="BH214" t="s">
        <v>124</v>
      </c>
      <c r="BI214" t="s">
        <v>164</v>
      </c>
      <c r="BJ214" t="s">
        <v>147</v>
      </c>
      <c r="BK214" t="s">
        <v>144</v>
      </c>
      <c r="BL214" t="s">
        <v>146</v>
      </c>
      <c r="BM214" t="s">
        <v>139</v>
      </c>
      <c r="BN214" t="s">
        <v>130</v>
      </c>
      <c r="BO214">
        <v>73.512347000000005</v>
      </c>
      <c r="BP214">
        <v>3</v>
      </c>
      <c r="BQ214">
        <v>587540.44972499995</v>
      </c>
      <c r="BR214">
        <v>32630.421665000002</v>
      </c>
      <c r="BS214">
        <v>86141.467384000003</v>
      </c>
      <c r="BT214">
        <v>49754.198450000004</v>
      </c>
      <c r="BU214">
        <v>227361.43579600001</v>
      </c>
      <c r="BV214">
        <v>18457.881181000001</v>
      </c>
      <c r="BW214">
        <v>71446.039518999998</v>
      </c>
      <c r="BX214">
        <v>89903.920700000002</v>
      </c>
      <c r="BY214">
        <v>82384.620114999998</v>
      </c>
      <c r="BZ214">
        <v>403406.82387999998</v>
      </c>
      <c r="CA214">
        <v>485791.44399499998</v>
      </c>
      <c r="CB214">
        <v>101749.00573</v>
      </c>
      <c r="CC214">
        <v>73.512347000000005</v>
      </c>
      <c r="CD214">
        <v>161598.340283</v>
      </c>
      <c r="CE214">
        <v>426605.52480000001</v>
      </c>
      <c r="CF214">
        <v>124131.140927</v>
      </c>
      <c r="CG214">
        <v>45125.64</v>
      </c>
      <c r="CH214">
        <v>985233.87368199998</v>
      </c>
      <c r="CI214">
        <v>2975861.5814200002</v>
      </c>
      <c r="CJ214">
        <v>743978.4</v>
      </c>
    </row>
    <row r="215" spans="58:88" x14ac:dyDescent="0.45">
      <c r="BF215" t="s">
        <v>122</v>
      </c>
      <c r="BG215" t="s">
        <v>163</v>
      </c>
      <c r="BH215" t="s">
        <v>124</v>
      </c>
      <c r="BI215" t="s">
        <v>164</v>
      </c>
      <c r="BJ215" t="s">
        <v>147</v>
      </c>
      <c r="BK215" t="s">
        <v>144</v>
      </c>
      <c r="BL215" t="s">
        <v>146</v>
      </c>
      <c r="BM215" t="s">
        <v>140</v>
      </c>
      <c r="BN215" t="s">
        <v>130</v>
      </c>
      <c r="BO215">
        <v>65.33</v>
      </c>
      <c r="BP215">
        <v>3</v>
      </c>
      <c r="BQ215">
        <v>516264.11865000002</v>
      </c>
      <c r="BR215">
        <v>32630.421665000002</v>
      </c>
      <c r="BS215">
        <v>86141.467384000003</v>
      </c>
      <c r="BT215">
        <v>23957.186067999999</v>
      </c>
      <c r="BU215">
        <v>227361.43579600001</v>
      </c>
      <c r="BV215">
        <v>18457.881181000001</v>
      </c>
      <c r="BW215">
        <v>71446.039518999998</v>
      </c>
      <c r="BX215">
        <v>89903.920700000002</v>
      </c>
      <c r="BY215">
        <v>56587.607732999997</v>
      </c>
      <c r="BZ215">
        <v>403406.82387999998</v>
      </c>
      <c r="CA215">
        <v>459994.43161299999</v>
      </c>
      <c r="CB215">
        <v>56269.687037000003</v>
      </c>
      <c r="CC215">
        <v>0</v>
      </c>
      <c r="CD215">
        <v>161598.340283</v>
      </c>
      <c r="CE215">
        <v>426605.52480000001</v>
      </c>
      <c r="CF215">
        <v>124131.140927</v>
      </c>
      <c r="CG215">
        <v>45125.64</v>
      </c>
      <c r="CH215">
        <v>985233.87368199998</v>
      </c>
      <c r="CI215">
        <v>2975861.5814200002</v>
      </c>
      <c r="CJ215">
        <v>743978.4</v>
      </c>
    </row>
    <row r="216" spans="58:88" x14ac:dyDescent="0.45">
      <c r="BF216" t="s">
        <v>122</v>
      </c>
      <c r="BG216" t="s">
        <v>163</v>
      </c>
      <c r="BH216" t="s">
        <v>124</v>
      </c>
      <c r="BI216" t="s">
        <v>164</v>
      </c>
      <c r="BJ216" t="s">
        <v>148</v>
      </c>
      <c r="BK216" t="s">
        <v>144</v>
      </c>
      <c r="BL216" t="s">
        <v>145</v>
      </c>
      <c r="BM216" t="s">
        <v>129</v>
      </c>
      <c r="BN216" t="s">
        <v>137</v>
      </c>
      <c r="BO216">
        <v>65.539302000000006</v>
      </c>
      <c r="BP216">
        <v>2</v>
      </c>
      <c r="BQ216">
        <v>499153.87796200003</v>
      </c>
      <c r="BR216">
        <v>31737.648567</v>
      </c>
      <c r="BS216">
        <v>78079.022769999996</v>
      </c>
      <c r="BT216">
        <v>40870.351448000001</v>
      </c>
      <c r="BU216">
        <v>139599.64962800001</v>
      </c>
      <c r="BV216">
        <v>12103.706531</v>
      </c>
      <c r="BW216">
        <v>46850.550540999997</v>
      </c>
      <c r="BX216">
        <v>58954.257072</v>
      </c>
      <c r="BY216">
        <v>72608.000014999998</v>
      </c>
      <c r="BZ216">
        <v>276632.92946999997</v>
      </c>
      <c r="CA216">
        <v>349240.92948499997</v>
      </c>
      <c r="CB216">
        <v>149912.948477</v>
      </c>
      <c r="CC216">
        <v>65.539302000000006</v>
      </c>
      <c r="CD216">
        <v>149167.61952099999</v>
      </c>
      <c r="CE216">
        <v>366973.05839999998</v>
      </c>
      <c r="CF216">
        <v>112637.38329699999</v>
      </c>
      <c r="CG216">
        <v>34055.64</v>
      </c>
      <c r="CH216">
        <v>837601.24817300006</v>
      </c>
      <c r="CI216">
        <v>2975861.5814200002</v>
      </c>
      <c r="CJ216">
        <v>743978.4</v>
      </c>
    </row>
    <row r="217" spans="58:88" x14ac:dyDescent="0.45">
      <c r="BF217" t="s">
        <v>122</v>
      </c>
      <c r="BG217" t="s">
        <v>163</v>
      </c>
      <c r="BH217" t="s">
        <v>124</v>
      </c>
      <c r="BI217" t="s">
        <v>164</v>
      </c>
      <c r="BJ217" t="s">
        <v>148</v>
      </c>
      <c r="BK217" t="s">
        <v>144</v>
      </c>
      <c r="BL217" t="s">
        <v>145</v>
      </c>
      <c r="BM217" t="s">
        <v>131</v>
      </c>
      <c r="BN217" t="s">
        <v>130</v>
      </c>
      <c r="BO217">
        <v>58.3</v>
      </c>
      <c r="BP217">
        <v>2</v>
      </c>
      <c r="BQ217">
        <v>409520.18800000002</v>
      </c>
      <c r="BR217">
        <v>25390.118854</v>
      </c>
      <c r="BS217">
        <v>62463.218216000001</v>
      </c>
      <c r="BT217">
        <v>21366.185237999998</v>
      </c>
      <c r="BU217">
        <v>139599.64962800001</v>
      </c>
      <c r="BV217">
        <v>12103.706531</v>
      </c>
      <c r="BW217">
        <v>46850.550540999997</v>
      </c>
      <c r="BX217">
        <v>58954.257072</v>
      </c>
      <c r="BY217">
        <v>46756.304091999998</v>
      </c>
      <c r="BZ217">
        <v>261017.124916</v>
      </c>
      <c r="CA217">
        <v>307773.42900800001</v>
      </c>
      <c r="CB217">
        <v>101746.758992</v>
      </c>
      <c r="CC217">
        <v>0</v>
      </c>
      <c r="CD217">
        <v>149167.61952099999</v>
      </c>
      <c r="CE217">
        <v>366973.05839999998</v>
      </c>
      <c r="CF217">
        <v>112637.38329699999</v>
      </c>
      <c r="CG217">
        <v>34055.64</v>
      </c>
      <c r="CH217">
        <v>837601.24817300006</v>
      </c>
      <c r="CI217">
        <v>2975861.5814200002</v>
      </c>
      <c r="CJ217">
        <v>743978.4</v>
      </c>
    </row>
    <row r="218" spans="58:88" x14ac:dyDescent="0.45">
      <c r="BF218" t="s">
        <v>122</v>
      </c>
      <c r="BG218" t="s">
        <v>163</v>
      </c>
      <c r="BH218" t="s">
        <v>124</v>
      </c>
      <c r="BI218" t="s">
        <v>164</v>
      </c>
      <c r="BJ218" t="s">
        <v>148</v>
      </c>
      <c r="BK218" t="s">
        <v>144</v>
      </c>
      <c r="BL218" t="s">
        <v>145</v>
      </c>
      <c r="BM218" t="s">
        <v>132</v>
      </c>
      <c r="BN218" t="s">
        <v>130</v>
      </c>
      <c r="BO218">
        <v>57.29</v>
      </c>
      <c r="BP218">
        <v>2</v>
      </c>
      <c r="BQ218">
        <v>402425.58439999999</v>
      </c>
      <c r="BR218">
        <v>25390.118854</v>
      </c>
      <c r="BS218">
        <v>62463.218216000001</v>
      </c>
      <c r="BT218">
        <v>20996.058796000001</v>
      </c>
      <c r="BU218">
        <v>139599.64962800001</v>
      </c>
      <c r="BV218">
        <v>12103.706531</v>
      </c>
      <c r="BW218">
        <v>46850.550540999997</v>
      </c>
      <c r="BX218">
        <v>58954.257072</v>
      </c>
      <c r="BY218">
        <v>46386.177649999998</v>
      </c>
      <c r="BZ218">
        <v>261017.124916</v>
      </c>
      <c r="CA218">
        <v>307403.30256600003</v>
      </c>
      <c r="CB218">
        <v>95022.281833999994</v>
      </c>
      <c r="CC218">
        <v>0</v>
      </c>
      <c r="CD218">
        <v>149167.61952099999</v>
      </c>
      <c r="CE218">
        <v>366973.05839999998</v>
      </c>
      <c r="CF218">
        <v>112637.38329699999</v>
      </c>
      <c r="CG218">
        <v>34055.64</v>
      </c>
      <c r="CH218">
        <v>837601.24817300006</v>
      </c>
      <c r="CI218">
        <v>2975861.5814200002</v>
      </c>
      <c r="CJ218">
        <v>743978.4</v>
      </c>
    </row>
    <row r="219" spans="58:88" x14ac:dyDescent="0.45">
      <c r="BF219" t="s">
        <v>122</v>
      </c>
      <c r="BG219" t="s">
        <v>163</v>
      </c>
      <c r="BH219" t="s">
        <v>124</v>
      </c>
      <c r="BI219" t="s">
        <v>164</v>
      </c>
      <c r="BJ219" t="s">
        <v>148</v>
      </c>
      <c r="BK219" t="s">
        <v>144</v>
      </c>
      <c r="BL219" t="s">
        <v>146</v>
      </c>
      <c r="BM219" t="s">
        <v>139</v>
      </c>
      <c r="BN219" t="s">
        <v>130</v>
      </c>
      <c r="BO219">
        <v>66.913655000000006</v>
      </c>
      <c r="BP219">
        <v>3</v>
      </c>
      <c r="BQ219">
        <v>509621.08784599998</v>
      </c>
      <c r="BR219">
        <v>33324.642870999996</v>
      </c>
      <c r="BS219">
        <v>81983.249139000007</v>
      </c>
      <c r="BT219">
        <v>41727.461201999999</v>
      </c>
      <c r="BU219">
        <v>209400.31204300001</v>
      </c>
      <c r="BV219">
        <v>18155.632420000002</v>
      </c>
      <c r="BW219">
        <v>70276.106916000004</v>
      </c>
      <c r="BX219">
        <v>88431.739335999999</v>
      </c>
      <c r="BY219">
        <v>75052.104072999995</v>
      </c>
      <c r="BZ219">
        <v>379815.30051799997</v>
      </c>
      <c r="CA219">
        <v>454867.404591</v>
      </c>
      <c r="CB219">
        <v>54753.683255000004</v>
      </c>
      <c r="CC219">
        <v>66.913655000000006</v>
      </c>
      <c r="CD219">
        <v>149167.61952099999</v>
      </c>
      <c r="CE219">
        <v>366973.05839999998</v>
      </c>
      <c r="CF219">
        <v>112637.38329699999</v>
      </c>
      <c r="CG219">
        <v>34055.64</v>
      </c>
      <c r="CH219">
        <v>837601.24817300006</v>
      </c>
      <c r="CI219">
        <v>2975861.5814200002</v>
      </c>
      <c r="CJ219">
        <v>743978.4</v>
      </c>
    </row>
    <row r="220" spans="58:88" x14ac:dyDescent="0.45">
      <c r="BF220" t="s">
        <v>122</v>
      </c>
      <c r="BG220" t="s">
        <v>163</v>
      </c>
      <c r="BH220" t="s">
        <v>124</v>
      </c>
      <c r="BI220" t="s">
        <v>164</v>
      </c>
      <c r="BJ220" t="s">
        <v>148</v>
      </c>
      <c r="BK220" t="s">
        <v>144</v>
      </c>
      <c r="BL220" t="s">
        <v>146</v>
      </c>
      <c r="BM220" t="s">
        <v>140</v>
      </c>
      <c r="BN220" t="s">
        <v>130</v>
      </c>
      <c r="BO220">
        <v>59.3</v>
      </c>
      <c r="BP220">
        <v>3</v>
      </c>
      <c r="BQ220">
        <v>446297.73</v>
      </c>
      <c r="BR220">
        <v>33324.642870999996</v>
      </c>
      <c r="BS220">
        <v>81983.249139000007</v>
      </c>
      <c r="BT220">
        <v>21732.707283</v>
      </c>
      <c r="BU220">
        <v>209400.31204300001</v>
      </c>
      <c r="BV220">
        <v>18155.632420000002</v>
      </c>
      <c r="BW220">
        <v>70276.106916000004</v>
      </c>
      <c r="BX220">
        <v>88431.739335999999</v>
      </c>
      <c r="BY220">
        <v>55057.350154</v>
      </c>
      <c r="BZ220">
        <v>379815.30051799997</v>
      </c>
      <c r="CA220">
        <v>434872.65067200002</v>
      </c>
      <c r="CB220">
        <v>11425.079328</v>
      </c>
      <c r="CC220">
        <v>0</v>
      </c>
      <c r="CD220">
        <v>149167.61952099999</v>
      </c>
      <c r="CE220">
        <v>366973.05839999998</v>
      </c>
      <c r="CF220">
        <v>112637.38329699999</v>
      </c>
      <c r="CG220">
        <v>34055.64</v>
      </c>
      <c r="CH220">
        <v>837601.24817300006</v>
      </c>
      <c r="CI220">
        <v>2975861.5814200002</v>
      </c>
      <c r="CJ220">
        <v>743978.4</v>
      </c>
    </row>
    <row r="221" spans="58:88" x14ac:dyDescent="0.45">
      <c r="BF221" t="s">
        <v>122</v>
      </c>
      <c r="BG221" t="s">
        <v>163</v>
      </c>
      <c r="BH221" t="s">
        <v>124</v>
      </c>
      <c r="BI221" t="s">
        <v>164</v>
      </c>
      <c r="BJ221" t="s">
        <v>149</v>
      </c>
      <c r="BK221" t="s">
        <v>144</v>
      </c>
      <c r="BL221" t="s">
        <v>145</v>
      </c>
      <c r="BM221" t="s">
        <v>129</v>
      </c>
      <c r="BN221" t="s">
        <v>137</v>
      </c>
      <c r="BO221">
        <v>84.920597000000001</v>
      </c>
      <c r="BP221">
        <v>3</v>
      </c>
      <c r="BQ221">
        <v>723458.26742199995</v>
      </c>
      <c r="BR221">
        <v>46614.945452</v>
      </c>
      <c r="BS221">
        <v>133799.77884000001</v>
      </c>
      <c r="BT221">
        <v>67659.778317000004</v>
      </c>
      <c r="BU221">
        <v>250920.47608399999</v>
      </c>
      <c r="BV221">
        <v>18845.809335999998</v>
      </c>
      <c r="BW221">
        <v>72947.616542999996</v>
      </c>
      <c r="BX221">
        <v>91793.425879000002</v>
      </c>
      <c r="BY221">
        <v>114274.723769</v>
      </c>
      <c r="BZ221">
        <v>476513.680803</v>
      </c>
      <c r="CA221">
        <v>590788.40457200003</v>
      </c>
      <c r="CB221">
        <v>132669.86285</v>
      </c>
      <c r="CC221">
        <v>84.920597000000001</v>
      </c>
      <c r="CD221">
        <v>186459.781808</v>
      </c>
      <c r="CE221">
        <v>535199.11536000005</v>
      </c>
      <c r="CF221">
        <v>146351.58197500001</v>
      </c>
      <c r="CG221">
        <v>73754.28</v>
      </c>
      <c r="CH221">
        <v>1254602.3804220001</v>
      </c>
      <c r="CI221">
        <v>2975861.5814200002</v>
      </c>
      <c r="CJ221">
        <v>743978.4</v>
      </c>
    </row>
    <row r="222" spans="58:88" x14ac:dyDescent="0.45">
      <c r="BF222" t="s">
        <v>122</v>
      </c>
      <c r="BG222" t="s">
        <v>163</v>
      </c>
      <c r="BH222" t="s">
        <v>124</v>
      </c>
      <c r="BI222" t="s">
        <v>164</v>
      </c>
      <c r="BJ222" t="s">
        <v>149</v>
      </c>
      <c r="BK222" t="s">
        <v>144</v>
      </c>
      <c r="BL222" t="s">
        <v>145</v>
      </c>
      <c r="BM222" t="s">
        <v>131</v>
      </c>
      <c r="BN222" t="s">
        <v>130</v>
      </c>
      <c r="BO222">
        <v>76.39</v>
      </c>
      <c r="BP222">
        <v>3</v>
      </c>
      <c r="BQ222">
        <v>600981.76364799996</v>
      </c>
      <c r="BR222">
        <v>37291.956361999997</v>
      </c>
      <c r="BS222">
        <v>107039.823072</v>
      </c>
      <c r="BT222">
        <v>28034.816340000001</v>
      </c>
      <c r="BU222">
        <v>250920.47608399999</v>
      </c>
      <c r="BV222">
        <v>18845.809335999998</v>
      </c>
      <c r="BW222">
        <v>72947.616542999996</v>
      </c>
      <c r="BX222">
        <v>91793.425879000002</v>
      </c>
      <c r="BY222">
        <v>65326.772702000002</v>
      </c>
      <c r="BZ222">
        <v>449753.72503500001</v>
      </c>
      <c r="CA222">
        <v>515080.497737</v>
      </c>
      <c r="CB222">
        <v>85901.265910999995</v>
      </c>
      <c r="CC222">
        <v>0</v>
      </c>
      <c r="CD222">
        <v>186459.781808</v>
      </c>
      <c r="CE222">
        <v>535199.11536000005</v>
      </c>
      <c r="CF222">
        <v>146351.58197500001</v>
      </c>
      <c r="CG222">
        <v>73754.28</v>
      </c>
      <c r="CH222">
        <v>1254602.3804220001</v>
      </c>
      <c r="CI222">
        <v>2975861.5814200002</v>
      </c>
      <c r="CJ222">
        <v>743978.4</v>
      </c>
    </row>
    <row r="223" spans="58:88" x14ac:dyDescent="0.45">
      <c r="BF223" t="s">
        <v>122</v>
      </c>
      <c r="BG223" t="s">
        <v>163</v>
      </c>
      <c r="BH223" t="s">
        <v>124</v>
      </c>
      <c r="BI223" t="s">
        <v>164</v>
      </c>
      <c r="BJ223" t="s">
        <v>149</v>
      </c>
      <c r="BK223" t="s">
        <v>144</v>
      </c>
      <c r="BL223" t="s">
        <v>145</v>
      </c>
      <c r="BM223" t="s">
        <v>132</v>
      </c>
      <c r="BN223" t="s">
        <v>130</v>
      </c>
      <c r="BO223">
        <v>74.38</v>
      </c>
      <c r="BP223">
        <v>3</v>
      </c>
      <c r="BQ223">
        <v>585168.524416</v>
      </c>
      <c r="BR223">
        <v>37291.956361999997</v>
      </c>
      <c r="BS223">
        <v>107039.823072</v>
      </c>
      <c r="BT223">
        <v>27297.058014999999</v>
      </c>
      <c r="BU223">
        <v>250920.47608399999</v>
      </c>
      <c r="BV223">
        <v>18845.809335999998</v>
      </c>
      <c r="BW223">
        <v>72947.616542999996</v>
      </c>
      <c r="BX223">
        <v>91793.425879000002</v>
      </c>
      <c r="BY223">
        <v>64589.014377</v>
      </c>
      <c r="BZ223">
        <v>449753.72503500001</v>
      </c>
      <c r="CA223">
        <v>514342.739412</v>
      </c>
      <c r="CB223">
        <v>70825.785004000005</v>
      </c>
      <c r="CC223">
        <v>0</v>
      </c>
      <c r="CD223">
        <v>186459.781808</v>
      </c>
      <c r="CE223">
        <v>535199.11536000005</v>
      </c>
      <c r="CF223">
        <v>146351.58197500001</v>
      </c>
      <c r="CG223">
        <v>73754.28</v>
      </c>
      <c r="CH223">
        <v>1254602.3804220001</v>
      </c>
      <c r="CI223">
        <v>2975861.5814200002</v>
      </c>
      <c r="CJ223">
        <v>743978.4</v>
      </c>
    </row>
    <row r="224" spans="58:88" x14ac:dyDescent="0.45">
      <c r="BF224" t="s">
        <v>122</v>
      </c>
      <c r="BG224" t="s">
        <v>163</v>
      </c>
      <c r="BH224" t="s">
        <v>124</v>
      </c>
      <c r="BI224" t="s">
        <v>164</v>
      </c>
      <c r="BJ224" t="s">
        <v>149</v>
      </c>
      <c r="BK224" t="s">
        <v>144</v>
      </c>
      <c r="BL224" t="s">
        <v>146</v>
      </c>
      <c r="BM224" t="s">
        <v>139</v>
      </c>
      <c r="BN224" t="s">
        <v>130</v>
      </c>
      <c r="BO224">
        <v>86.701859999999996</v>
      </c>
      <c r="BP224">
        <v>3</v>
      </c>
      <c r="BQ224">
        <v>738633.26017200004</v>
      </c>
      <c r="BR224">
        <v>32630.461815999999</v>
      </c>
      <c r="BS224">
        <v>93659.845188000007</v>
      </c>
      <c r="BT224">
        <v>69079.026505999995</v>
      </c>
      <c r="BU224">
        <v>250920.47608399999</v>
      </c>
      <c r="BV224">
        <v>18845.809335999998</v>
      </c>
      <c r="BW224">
        <v>72947.616542999996</v>
      </c>
      <c r="BX224">
        <v>91793.425879000002</v>
      </c>
      <c r="BY224">
        <v>101709.488322</v>
      </c>
      <c r="BZ224">
        <v>436373.74715100002</v>
      </c>
      <c r="CA224">
        <v>538083.23547299998</v>
      </c>
      <c r="CB224">
        <v>200550.024699</v>
      </c>
      <c r="CC224">
        <v>86.701859999999996</v>
      </c>
      <c r="CD224">
        <v>186459.781808</v>
      </c>
      <c r="CE224">
        <v>535199.11536000005</v>
      </c>
      <c r="CF224">
        <v>146351.58197500001</v>
      </c>
      <c r="CG224">
        <v>73754.28</v>
      </c>
      <c r="CH224">
        <v>1254602.3804220001</v>
      </c>
      <c r="CI224">
        <v>2975861.5814200002</v>
      </c>
      <c r="CJ224">
        <v>743978.4</v>
      </c>
    </row>
    <row r="225" spans="58:88" x14ac:dyDescent="0.45">
      <c r="BF225" t="s">
        <v>122</v>
      </c>
      <c r="BG225" t="s">
        <v>163</v>
      </c>
      <c r="BH225" t="s">
        <v>124</v>
      </c>
      <c r="BI225" t="s">
        <v>164</v>
      </c>
      <c r="BJ225" t="s">
        <v>149</v>
      </c>
      <c r="BK225" t="s">
        <v>144</v>
      </c>
      <c r="BL225" t="s">
        <v>146</v>
      </c>
      <c r="BM225" t="s">
        <v>140</v>
      </c>
      <c r="BN225" t="s">
        <v>130</v>
      </c>
      <c r="BO225">
        <v>76.39</v>
      </c>
      <c r="BP225">
        <v>3</v>
      </c>
      <c r="BQ225">
        <v>643909.03248000005</v>
      </c>
      <c r="BR225">
        <v>32630.461815999999</v>
      </c>
      <c r="BS225">
        <v>93659.845188000007</v>
      </c>
      <c r="BT225">
        <v>28034.816340000001</v>
      </c>
      <c r="BU225">
        <v>250920.47608399999</v>
      </c>
      <c r="BV225">
        <v>18845.809335999998</v>
      </c>
      <c r="BW225">
        <v>72947.616542999996</v>
      </c>
      <c r="BX225">
        <v>91793.425879000002</v>
      </c>
      <c r="BY225">
        <v>60665.278156</v>
      </c>
      <c r="BZ225">
        <v>436373.74715100002</v>
      </c>
      <c r="CA225">
        <v>497039.02530699997</v>
      </c>
      <c r="CB225">
        <v>146870.00717299999</v>
      </c>
      <c r="CC225">
        <v>0</v>
      </c>
      <c r="CD225">
        <v>186459.781808</v>
      </c>
      <c r="CE225">
        <v>535199.11536000005</v>
      </c>
      <c r="CF225">
        <v>146351.58197500001</v>
      </c>
      <c r="CG225">
        <v>73754.28</v>
      </c>
      <c r="CH225">
        <v>1254602.3804220001</v>
      </c>
      <c r="CI225">
        <v>2975861.5814200002</v>
      </c>
      <c r="CJ225">
        <v>743978.4</v>
      </c>
    </row>
    <row r="226" spans="58:88" x14ac:dyDescent="0.45">
      <c r="BF226" t="s">
        <v>122</v>
      </c>
      <c r="BG226" t="s">
        <v>163</v>
      </c>
      <c r="BH226" t="s">
        <v>124</v>
      </c>
      <c r="BI226" t="s">
        <v>164</v>
      </c>
      <c r="BJ226" t="s">
        <v>150</v>
      </c>
      <c r="BK226" t="s">
        <v>151</v>
      </c>
      <c r="BL226" t="s">
        <v>152</v>
      </c>
      <c r="BM226" t="s">
        <v>153</v>
      </c>
      <c r="BN226" t="s">
        <v>130</v>
      </c>
      <c r="BO226">
        <v>40.090820000000001</v>
      </c>
      <c r="BP226">
        <v>2</v>
      </c>
      <c r="BQ226">
        <v>237545.73377399999</v>
      </c>
      <c r="BR226">
        <v>24510.939756</v>
      </c>
      <c r="BS226">
        <v>48018.417330999997</v>
      </c>
      <c r="BT226">
        <v>23670.418641</v>
      </c>
      <c r="BU226">
        <v>72140.223442000002</v>
      </c>
      <c r="BV226">
        <v>7653.8870699999998</v>
      </c>
      <c r="BW226">
        <v>33789.329783000001</v>
      </c>
      <c r="BX226">
        <v>41443.216852999998</v>
      </c>
      <c r="BY226">
        <v>48181.358397000004</v>
      </c>
      <c r="BZ226">
        <v>161601.85762600001</v>
      </c>
      <c r="CA226">
        <v>209783.21602299999</v>
      </c>
      <c r="CB226">
        <v>27762.517750999999</v>
      </c>
      <c r="CC226">
        <v>40.090820000000001</v>
      </c>
      <c r="CD226">
        <v>99444.736470000003</v>
      </c>
      <c r="CE226">
        <v>194818.2691</v>
      </c>
      <c r="CF226">
        <v>54403.580192000001</v>
      </c>
      <c r="CG226">
        <v>23725.439999999999</v>
      </c>
      <c r="CH226">
        <v>360701.11720899999</v>
      </c>
      <c r="CI226">
        <v>2975861.5814200002</v>
      </c>
      <c r="CJ226">
        <v>743978.4</v>
      </c>
    </row>
    <row r="227" spans="58:88" x14ac:dyDescent="0.45">
      <c r="BF227" t="s">
        <v>122</v>
      </c>
      <c r="BG227" t="s">
        <v>163</v>
      </c>
      <c r="BH227" t="s">
        <v>124</v>
      </c>
      <c r="BI227" t="s">
        <v>164</v>
      </c>
      <c r="BJ227" t="s">
        <v>150</v>
      </c>
      <c r="BK227" t="s">
        <v>151</v>
      </c>
      <c r="BL227" t="s">
        <v>152</v>
      </c>
      <c r="BM227" t="s">
        <v>154</v>
      </c>
      <c r="BN227" t="s">
        <v>130</v>
      </c>
      <c r="BO227">
        <v>35.18</v>
      </c>
      <c r="BP227">
        <v>2</v>
      </c>
      <c r="BQ227">
        <v>205281.991236</v>
      </c>
      <c r="BR227">
        <v>24510.939756</v>
      </c>
      <c r="BS227">
        <v>48018.417330999997</v>
      </c>
      <c r="BT227">
        <v>10361.325058</v>
      </c>
      <c r="BU227">
        <v>72140.223442000002</v>
      </c>
      <c r="BV227">
        <v>7653.8870699999998</v>
      </c>
      <c r="BW227">
        <v>33789.329783000001</v>
      </c>
      <c r="BX227">
        <v>41443.216852999998</v>
      </c>
      <c r="BY227">
        <v>34872.264814000002</v>
      </c>
      <c r="BZ227">
        <v>161601.85762600001</v>
      </c>
      <c r="CA227">
        <v>196474.12244000001</v>
      </c>
      <c r="CB227">
        <v>8807.8687960000007</v>
      </c>
      <c r="CC227">
        <v>0</v>
      </c>
      <c r="CD227">
        <v>99444.736470000003</v>
      </c>
      <c r="CE227">
        <v>194818.2691</v>
      </c>
      <c r="CF227">
        <v>54403.580192000001</v>
      </c>
      <c r="CG227">
        <v>23725.439999999999</v>
      </c>
      <c r="CH227">
        <v>360701.11720899999</v>
      </c>
      <c r="CI227">
        <v>2975861.5814200002</v>
      </c>
      <c r="CJ227">
        <v>743978.4</v>
      </c>
    </row>
    <row r="228" spans="58:88" x14ac:dyDescent="0.45">
      <c r="BF228" t="s">
        <v>122</v>
      </c>
      <c r="BG228" t="s">
        <v>163</v>
      </c>
      <c r="BH228" t="s">
        <v>124</v>
      </c>
      <c r="BI228" t="s">
        <v>164</v>
      </c>
      <c r="BJ228" t="s">
        <v>150</v>
      </c>
      <c r="BK228" t="s">
        <v>151</v>
      </c>
      <c r="BL228" t="s">
        <v>155</v>
      </c>
      <c r="BM228" t="s">
        <v>129</v>
      </c>
      <c r="BN228" t="s">
        <v>130</v>
      </c>
      <c r="BO228">
        <v>40.090820000000001</v>
      </c>
      <c r="BP228">
        <v>2</v>
      </c>
      <c r="BQ228">
        <v>276535.32710300002</v>
      </c>
      <c r="BR228">
        <v>16807.55269</v>
      </c>
      <c r="BS228">
        <v>32927.014933999999</v>
      </c>
      <c r="BT228">
        <v>23670.418641</v>
      </c>
      <c r="BU228">
        <v>72140.223442000002</v>
      </c>
      <c r="BV228">
        <v>7653.8870699999998</v>
      </c>
      <c r="BW228">
        <v>33789.329783000001</v>
      </c>
      <c r="BX228">
        <v>41443.216852999998</v>
      </c>
      <c r="BY228">
        <v>40477.971331000001</v>
      </c>
      <c r="BZ228">
        <v>146510.45522900001</v>
      </c>
      <c r="CA228">
        <v>186988.42655999999</v>
      </c>
      <c r="CB228">
        <v>89546.900542999996</v>
      </c>
      <c r="CC228">
        <v>40.090820000000001</v>
      </c>
      <c r="CD228">
        <v>99444.736470000003</v>
      </c>
      <c r="CE228">
        <v>194818.2691</v>
      </c>
      <c r="CF228">
        <v>54403.580192000001</v>
      </c>
      <c r="CG228">
        <v>23725.439999999999</v>
      </c>
      <c r="CH228">
        <v>360701.11720899999</v>
      </c>
      <c r="CI228">
        <v>2975861.5814200002</v>
      </c>
      <c r="CJ228">
        <v>743978.4</v>
      </c>
    </row>
    <row r="229" spans="58:88" x14ac:dyDescent="0.45">
      <c r="BF229" t="s">
        <v>122</v>
      </c>
      <c r="BG229" t="s">
        <v>163</v>
      </c>
      <c r="BH229" t="s">
        <v>124</v>
      </c>
      <c r="BI229" t="s">
        <v>164</v>
      </c>
      <c r="BJ229" t="s">
        <v>150</v>
      </c>
      <c r="BK229" t="s">
        <v>151</v>
      </c>
      <c r="BL229" t="s">
        <v>155</v>
      </c>
      <c r="BM229" t="s">
        <v>131</v>
      </c>
      <c r="BN229" t="s">
        <v>130</v>
      </c>
      <c r="BO229">
        <v>35.18</v>
      </c>
      <c r="BP229">
        <v>2</v>
      </c>
      <c r="BQ229">
        <v>239495.65644200001</v>
      </c>
      <c r="BR229">
        <v>16807.55269</v>
      </c>
      <c r="BS229">
        <v>32927.014933999999</v>
      </c>
      <c r="BT229">
        <v>10361.325058</v>
      </c>
      <c r="BU229">
        <v>72140.223442000002</v>
      </c>
      <c r="BV229">
        <v>7653.8870699999998</v>
      </c>
      <c r="BW229">
        <v>33789.329783000001</v>
      </c>
      <c r="BX229">
        <v>41443.216852999998</v>
      </c>
      <c r="BY229">
        <v>27168.877747999999</v>
      </c>
      <c r="BZ229">
        <v>146510.45522900001</v>
      </c>
      <c r="CA229">
        <v>173679.33297700001</v>
      </c>
      <c r="CB229">
        <v>65816.323464999994</v>
      </c>
      <c r="CC229">
        <v>0</v>
      </c>
      <c r="CD229">
        <v>99444.736470000003</v>
      </c>
      <c r="CE229">
        <v>194818.2691</v>
      </c>
      <c r="CF229">
        <v>54403.580192000001</v>
      </c>
      <c r="CG229">
        <v>23725.439999999999</v>
      </c>
      <c r="CH229">
        <v>360701.11720899999</v>
      </c>
      <c r="CI229">
        <v>2975861.5814200002</v>
      </c>
      <c r="CJ229">
        <v>743978.4</v>
      </c>
    </row>
    <row r="230" spans="58:88" x14ac:dyDescent="0.45">
      <c r="BF230" t="s">
        <v>122</v>
      </c>
      <c r="BG230" t="s">
        <v>163</v>
      </c>
      <c r="BH230" t="s">
        <v>124</v>
      </c>
      <c r="BI230" t="s">
        <v>164</v>
      </c>
      <c r="BJ230" t="s">
        <v>150</v>
      </c>
      <c r="BK230" t="s">
        <v>151</v>
      </c>
      <c r="BL230" t="s">
        <v>155</v>
      </c>
      <c r="BM230" t="s">
        <v>132</v>
      </c>
      <c r="BN230" t="s">
        <v>130</v>
      </c>
      <c r="BO230">
        <v>34.174999999999997</v>
      </c>
      <c r="BP230">
        <v>2</v>
      </c>
      <c r="BQ230">
        <v>232653.89593299999</v>
      </c>
      <c r="BR230">
        <v>16807.55269</v>
      </c>
      <c r="BS230">
        <v>32927.014933999999</v>
      </c>
      <c r="BT230">
        <v>10065.369581999999</v>
      </c>
      <c r="BU230">
        <v>72140.223442000002</v>
      </c>
      <c r="BV230">
        <v>7653.8870699999998</v>
      </c>
      <c r="BW230">
        <v>33789.329783000001</v>
      </c>
      <c r="BX230">
        <v>41443.216852999998</v>
      </c>
      <c r="BY230">
        <v>26872.922272</v>
      </c>
      <c r="BZ230">
        <v>146510.45522900001</v>
      </c>
      <c r="CA230">
        <v>173383.37750100001</v>
      </c>
      <c r="CB230">
        <v>59270.518431999997</v>
      </c>
      <c r="CC230">
        <v>0</v>
      </c>
      <c r="CD230">
        <v>99444.736470000003</v>
      </c>
      <c r="CE230">
        <v>194818.2691</v>
      </c>
      <c r="CF230">
        <v>54403.580192000001</v>
      </c>
      <c r="CG230">
        <v>23725.439999999999</v>
      </c>
      <c r="CH230">
        <v>360701.11720899999</v>
      </c>
      <c r="CI230">
        <v>2975861.5814200002</v>
      </c>
      <c r="CJ230">
        <v>743978.4</v>
      </c>
    </row>
    <row r="231" spans="58:88" x14ac:dyDescent="0.45">
      <c r="BF231" t="s">
        <v>122</v>
      </c>
      <c r="BG231" t="s">
        <v>163</v>
      </c>
      <c r="BH231" t="s">
        <v>124</v>
      </c>
      <c r="BI231" t="s">
        <v>164</v>
      </c>
      <c r="BJ231" t="s">
        <v>156</v>
      </c>
      <c r="BK231" t="s">
        <v>151</v>
      </c>
      <c r="BL231" t="s">
        <v>155</v>
      </c>
      <c r="BM231" t="s">
        <v>132</v>
      </c>
      <c r="BN231" t="s">
        <v>130</v>
      </c>
      <c r="BO231">
        <v>44.225000000000001</v>
      </c>
      <c r="BP231">
        <v>2</v>
      </c>
      <c r="BQ231">
        <v>325902.140288</v>
      </c>
      <c r="BR231">
        <v>16807.55269</v>
      </c>
      <c r="BS231">
        <v>43476.328830999999</v>
      </c>
      <c r="BT231">
        <v>13014.42302</v>
      </c>
      <c r="BU231">
        <v>111677.370451</v>
      </c>
      <c r="BV231">
        <v>9818.1305900000007</v>
      </c>
      <c r="BW231">
        <v>43343.734929999999</v>
      </c>
      <c r="BX231">
        <v>53161.865519999999</v>
      </c>
      <c r="BY231">
        <v>29821.975709999999</v>
      </c>
      <c r="BZ231">
        <v>208315.56480200001</v>
      </c>
      <c r="CA231">
        <v>238137.54051200001</v>
      </c>
      <c r="CB231">
        <v>87764.599776000003</v>
      </c>
      <c r="CC231">
        <v>0</v>
      </c>
      <c r="CD231">
        <v>99444.736470000003</v>
      </c>
      <c r="CE231">
        <v>257235.0742</v>
      </c>
      <c r="CF231">
        <v>69728.590364999996</v>
      </c>
      <c r="CG231">
        <v>39540.959999999999</v>
      </c>
      <c r="CH231">
        <v>558386.85225500003</v>
      </c>
      <c r="CI231">
        <v>2975861.5814200002</v>
      </c>
      <c r="CJ231">
        <v>743978.4</v>
      </c>
    </row>
    <row r="232" spans="58:88" x14ac:dyDescent="0.45">
      <c r="BF232" t="s">
        <v>122</v>
      </c>
      <c r="BG232" t="s">
        <v>163</v>
      </c>
      <c r="BH232" t="s">
        <v>124</v>
      </c>
      <c r="BI232" t="s">
        <v>164</v>
      </c>
      <c r="BJ232" t="s">
        <v>156</v>
      </c>
      <c r="BK232" t="s">
        <v>151</v>
      </c>
      <c r="BL232" t="s">
        <v>155</v>
      </c>
      <c r="BM232" t="s">
        <v>131</v>
      </c>
      <c r="BN232" t="s">
        <v>130</v>
      </c>
      <c r="BO232">
        <v>45.23</v>
      </c>
      <c r="BP232">
        <v>2</v>
      </c>
      <c r="BQ232">
        <v>333308.16970500001</v>
      </c>
      <c r="BR232">
        <v>16807.55269</v>
      </c>
      <c r="BS232">
        <v>43476.328830999999</v>
      </c>
      <c r="BT232">
        <v>13310.2117</v>
      </c>
      <c r="BU232">
        <v>111677.370451</v>
      </c>
      <c r="BV232">
        <v>9818.1305900000007</v>
      </c>
      <c r="BW232">
        <v>43343.734929999999</v>
      </c>
      <c r="BX232">
        <v>53161.865519999999</v>
      </c>
      <c r="BY232">
        <v>30117.76439</v>
      </c>
      <c r="BZ232">
        <v>208315.56480200001</v>
      </c>
      <c r="CA232">
        <v>238433.329192</v>
      </c>
      <c r="CB232">
        <v>94874.840513000003</v>
      </c>
      <c r="CC232">
        <v>0</v>
      </c>
      <c r="CD232">
        <v>99444.736470000003</v>
      </c>
      <c r="CE232">
        <v>257235.0742</v>
      </c>
      <c r="CF232">
        <v>69728.590364999996</v>
      </c>
      <c r="CG232">
        <v>39540.959999999999</v>
      </c>
      <c r="CH232">
        <v>558386.85225500003</v>
      </c>
      <c r="CI232">
        <v>2975861.5814200002</v>
      </c>
      <c r="CJ232">
        <v>743978.4</v>
      </c>
    </row>
    <row r="233" spans="58:88" x14ac:dyDescent="0.45">
      <c r="BF233" t="s">
        <v>122</v>
      </c>
      <c r="BG233" t="s">
        <v>163</v>
      </c>
      <c r="BH233" t="s">
        <v>124</v>
      </c>
      <c r="BI233" t="s">
        <v>164</v>
      </c>
      <c r="BJ233" t="s">
        <v>156</v>
      </c>
      <c r="BK233" t="s">
        <v>151</v>
      </c>
      <c r="BL233" t="s">
        <v>152</v>
      </c>
      <c r="BM233" t="s">
        <v>153</v>
      </c>
      <c r="BN233" t="s">
        <v>130</v>
      </c>
      <c r="BO233">
        <v>51.131265999999997</v>
      </c>
      <c r="BP233">
        <v>2</v>
      </c>
      <c r="BQ233">
        <v>327569.54114699998</v>
      </c>
      <c r="BR233">
        <v>24510.939756</v>
      </c>
      <c r="BS233">
        <v>63402.786618999999</v>
      </c>
      <c r="BT233">
        <v>34817.282243000001</v>
      </c>
      <c r="BU233">
        <v>111677.370451</v>
      </c>
      <c r="BV233">
        <v>9818.1305900000007</v>
      </c>
      <c r="BW233">
        <v>43343.734929999999</v>
      </c>
      <c r="BX233">
        <v>53161.865519999999</v>
      </c>
      <c r="BY233">
        <v>59328.221999000001</v>
      </c>
      <c r="BZ233">
        <v>228242.02259000001</v>
      </c>
      <c r="CA233">
        <v>287570.24458900001</v>
      </c>
      <c r="CB233">
        <v>39999.296558000002</v>
      </c>
      <c r="CC233">
        <v>51.131265999999997</v>
      </c>
      <c r="CD233">
        <v>99444.736470000003</v>
      </c>
      <c r="CE233">
        <v>257235.0742</v>
      </c>
      <c r="CF233">
        <v>69728.590364999996</v>
      </c>
      <c r="CG233">
        <v>39540.959999999999</v>
      </c>
      <c r="CH233">
        <v>558386.85225500003</v>
      </c>
      <c r="CI233">
        <v>2975861.5814200002</v>
      </c>
      <c r="CJ233">
        <v>743978.4</v>
      </c>
    </row>
    <row r="234" spans="58:88" x14ac:dyDescent="0.45">
      <c r="BF234" t="s">
        <v>122</v>
      </c>
      <c r="BG234" t="s">
        <v>163</v>
      </c>
      <c r="BH234" t="s">
        <v>124</v>
      </c>
      <c r="BI234" t="s">
        <v>164</v>
      </c>
      <c r="BJ234" t="s">
        <v>156</v>
      </c>
      <c r="BK234" t="s">
        <v>151</v>
      </c>
      <c r="BL234" t="s">
        <v>152</v>
      </c>
      <c r="BM234" t="s">
        <v>154</v>
      </c>
      <c r="BN234" t="s">
        <v>130</v>
      </c>
      <c r="BO234">
        <v>45.23</v>
      </c>
      <c r="BP234">
        <v>2</v>
      </c>
      <c r="BQ234">
        <v>285692.71688999998</v>
      </c>
      <c r="BR234">
        <v>24510.939756</v>
      </c>
      <c r="BS234">
        <v>63402.786618999999</v>
      </c>
      <c r="BT234">
        <v>13310.2117</v>
      </c>
      <c r="BU234">
        <v>111677.370451</v>
      </c>
      <c r="BV234">
        <v>9818.1305900000007</v>
      </c>
      <c r="BW234">
        <v>43343.734929999999</v>
      </c>
      <c r="BX234">
        <v>53161.865519999999</v>
      </c>
      <c r="BY234">
        <v>37821.151456</v>
      </c>
      <c r="BZ234">
        <v>228242.02259000001</v>
      </c>
      <c r="CA234">
        <v>266063.174046</v>
      </c>
      <c r="CB234">
        <v>19629.542844</v>
      </c>
      <c r="CC234">
        <v>0</v>
      </c>
      <c r="CD234">
        <v>99444.736470000003</v>
      </c>
      <c r="CE234">
        <v>257235.0742</v>
      </c>
      <c r="CF234">
        <v>69728.590364999996</v>
      </c>
      <c r="CG234">
        <v>39540.959999999999</v>
      </c>
      <c r="CH234">
        <v>558386.85225500003</v>
      </c>
      <c r="CI234">
        <v>2975861.5814200002</v>
      </c>
      <c r="CJ234">
        <v>743978.4</v>
      </c>
    </row>
    <row r="235" spans="58:88" x14ac:dyDescent="0.45">
      <c r="BF235" t="s">
        <v>122</v>
      </c>
      <c r="BG235" t="s">
        <v>163</v>
      </c>
      <c r="BH235" t="s">
        <v>124</v>
      </c>
      <c r="BI235" t="s">
        <v>164</v>
      </c>
      <c r="BJ235" t="s">
        <v>156</v>
      </c>
      <c r="BK235" t="s">
        <v>151</v>
      </c>
      <c r="BL235" t="s">
        <v>155</v>
      </c>
      <c r="BM235" t="s">
        <v>129</v>
      </c>
      <c r="BN235" t="s">
        <v>130</v>
      </c>
      <c r="BO235">
        <v>51.131265999999997</v>
      </c>
      <c r="BP235">
        <v>2</v>
      </c>
      <c r="BQ235">
        <v>381397.495681</v>
      </c>
      <c r="BR235">
        <v>16807.55269</v>
      </c>
      <c r="BS235">
        <v>43476.328830999999</v>
      </c>
      <c r="BT235">
        <v>34817.282243000001</v>
      </c>
      <c r="BU235">
        <v>111677.370451</v>
      </c>
      <c r="BV235">
        <v>9818.1305900000007</v>
      </c>
      <c r="BW235">
        <v>43343.734929999999</v>
      </c>
      <c r="BX235">
        <v>53161.865519999999</v>
      </c>
      <c r="BY235">
        <v>51624.834932999998</v>
      </c>
      <c r="BZ235">
        <v>208315.56480200001</v>
      </c>
      <c r="CA235">
        <v>259940.39973500001</v>
      </c>
      <c r="CB235">
        <v>121457.095946</v>
      </c>
      <c r="CC235">
        <v>51.131265999999997</v>
      </c>
      <c r="CD235">
        <v>99444.736470000003</v>
      </c>
      <c r="CE235">
        <v>257235.0742</v>
      </c>
      <c r="CF235">
        <v>69728.590364999996</v>
      </c>
      <c r="CG235">
        <v>39540.959999999999</v>
      </c>
      <c r="CH235">
        <v>558386.85225500003</v>
      </c>
      <c r="CI235">
        <v>2975861.5814200002</v>
      </c>
      <c r="CJ235">
        <v>743978.4</v>
      </c>
    </row>
    <row r="236" spans="58:88" x14ac:dyDescent="0.45">
      <c r="BF236" t="s">
        <v>122</v>
      </c>
      <c r="BG236" t="s">
        <v>163</v>
      </c>
      <c r="BH236" t="s">
        <v>124</v>
      </c>
      <c r="BI236" t="s">
        <v>164</v>
      </c>
      <c r="BJ236" t="s">
        <v>157</v>
      </c>
      <c r="BK236" t="s">
        <v>158</v>
      </c>
      <c r="BL236" t="s">
        <v>159</v>
      </c>
      <c r="BM236" t="s">
        <v>129</v>
      </c>
      <c r="BN236" t="s">
        <v>130</v>
      </c>
      <c r="BO236">
        <v>44.464880999999998</v>
      </c>
      <c r="BP236">
        <v>2</v>
      </c>
      <c r="BQ236">
        <v>331813.87202499999</v>
      </c>
      <c r="BR236">
        <v>24861.416664</v>
      </c>
      <c r="BS236">
        <v>66073.357099999994</v>
      </c>
      <c r="BT236">
        <v>36713.946048999998</v>
      </c>
      <c r="BU236">
        <v>129716.412698</v>
      </c>
      <c r="BV236">
        <v>9566.7193420000003</v>
      </c>
      <c r="BW236">
        <v>37151.782511999998</v>
      </c>
      <c r="BX236">
        <v>46718.501854000002</v>
      </c>
      <c r="BY236">
        <v>61575.362713000002</v>
      </c>
      <c r="BZ236">
        <v>242508.271652</v>
      </c>
      <c r="CA236">
        <v>304083.63436500001</v>
      </c>
      <c r="CB236">
        <v>27730.237659999999</v>
      </c>
      <c r="CC236">
        <v>44.464880999999998</v>
      </c>
      <c r="CD236">
        <v>74584.324575000006</v>
      </c>
      <c r="CE236">
        <v>198220.26952</v>
      </c>
      <c r="CF236">
        <v>44824.934018</v>
      </c>
      <c r="CG236">
        <v>20358</v>
      </c>
      <c r="CH236">
        <v>389149.62724300002</v>
      </c>
      <c r="CI236">
        <v>2975861.5814200002</v>
      </c>
      <c r="CJ236">
        <v>743978.4</v>
      </c>
    </row>
    <row r="237" spans="58:88" x14ac:dyDescent="0.45">
      <c r="BF237" t="s">
        <v>122</v>
      </c>
      <c r="BG237" t="s">
        <v>163</v>
      </c>
      <c r="BH237" t="s">
        <v>124</v>
      </c>
      <c r="BI237" t="s">
        <v>164</v>
      </c>
      <c r="BJ237" t="s">
        <v>157</v>
      </c>
      <c r="BK237" t="s">
        <v>158</v>
      </c>
      <c r="BL237" t="s">
        <v>159</v>
      </c>
      <c r="BM237" t="s">
        <v>131</v>
      </c>
      <c r="BN237" t="s">
        <v>130</v>
      </c>
      <c r="BO237">
        <v>39.200000000000003</v>
      </c>
      <c r="BP237">
        <v>2</v>
      </c>
      <c r="BQ237">
        <v>288997.32539999997</v>
      </c>
      <c r="BR237">
        <v>24861.416664</v>
      </c>
      <c r="BS237">
        <v>66073.357099999994</v>
      </c>
      <c r="BT237">
        <v>14419.284775</v>
      </c>
      <c r="BU237">
        <v>129716.412698</v>
      </c>
      <c r="BV237">
        <v>9566.7193420000003</v>
      </c>
      <c r="BW237">
        <v>37151.782511999998</v>
      </c>
      <c r="BX237">
        <v>46718.501854000002</v>
      </c>
      <c r="BY237">
        <v>39280.701438999997</v>
      </c>
      <c r="BZ237">
        <v>242508.271652</v>
      </c>
      <c r="CA237">
        <v>281788.97309099999</v>
      </c>
      <c r="CB237">
        <v>7208.3523089999999</v>
      </c>
      <c r="CC237">
        <v>0</v>
      </c>
      <c r="CD237">
        <v>74584.324575000006</v>
      </c>
      <c r="CE237">
        <v>198220.26952</v>
      </c>
      <c r="CF237">
        <v>44824.934018</v>
      </c>
      <c r="CG237">
        <v>20358</v>
      </c>
      <c r="CH237">
        <v>389149.62724300002</v>
      </c>
      <c r="CI237">
        <v>2975861.5814200002</v>
      </c>
      <c r="CJ237">
        <v>743978.4</v>
      </c>
    </row>
    <row r="238" spans="58:88" x14ac:dyDescent="0.45">
      <c r="BF238" t="s">
        <v>122</v>
      </c>
      <c r="BG238" t="s">
        <v>163</v>
      </c>
      <c r="BH238" t="s">
        <v>124</v>
      </c>
      <c r="BI238" t="s">
        <v>164</v>
      </c>
      <c r="BJ238" t="s">
        <v>157</v>
      </c>
      <c r="BK238" t="s">
        <v>158</v>
      </c>
      <c r="BL238" t="s">
        <v>159</v>
      </c>
      <c r="BM238" t="s">
        <v>132</v>
      </c>
      <c r="BN238" t="s">
        <v>130</v>
      </c>
      <c r="BO238">
        <v>38.195</v>
      </c>
      <c r="BP238">
        <v>2</v>
      </c>
      <c r="BQ238">
        <v>281588.08274599997</v>
      </c>
      <c r="BR238">
        <v>24861.416664</v>
      </c>
      <c r="BS238">
        <v>66073.357099999994</v>
      </c>
      <c r="BT238">
        <v>14049.613544</v>
      </c>
      <c r="BU238">
        <v>129716.412698</v>
      </c>
      <c r="BV238">
        <v>9566.7193420000003</v>
      </c>
      <c r="BW238">
        <v>37151.782511999998</v>
      </c>
      <c r="BX238">
        <v>46718.501854000002</v>
      </c>
      <c r="BY238">
        <v>38911.030207999996</v>
      </c>
      <c r="BZ238">
        <v>242508.271652</v>
      </c>
      <c r="CA238">
        <v>281419.30186000001</v>
      </c>
      <c r="CB238">
        <v>168.78088600000001</v>
      </c>
      <c r="CC238">
        <v>0</v>
      </c>
      <c r="CD238">
        <v>74584.324575000006</v>
      </c>
      <c r="CE238">
        <v>198220.26952</v>
      </c>
      <c r="CF238">
        <v>44824.934018</v>
      </c>
      <c r="CG238">
        <v>20358</v>
      </c>
      <c r="CH238">
        <v>389149.62724300002</v>
      </c>
      <c r="CI238">
        <v>2975861.5814200002</v>
      </c>
      <c r="CJ238">
        <v>743978.4</v>
      </c>
    </row>
    <row r="239" spans="58:88" x14ac:dyDescent="0.45">
      <c r="BF239" t="s">
        <v>122</v>
      </c>
      <c r="BG239" t="s">
        <v>163</v>
      </c>
      <c r="BH239" t="s">
        <v>124</v>
      </c>
      <c r="BI239" t="s">
        <v>164</v>
      </c>
      <c r="BJ239" t="s">
        <v>160</v>
      </c>
      <c r="BK239" t="s">
        <v>158</v>
      </c>
      <c r="BL239" t="s">
        <v>159</v>
      </c>
      <c r="BM239" t="s">
        <v>129</v>
      </c>
      <c r="BN239" t="s">
        <v>130</v>
      </c>
      <c r="BO239">
        <v>52.095305000000003</v>
      </c>
      <c r="BP239">
        <v>2</v>
      </c>
      <c r="BQ239">
        <v>414359.42944699997</v>
      </c>
      <c r="BR239">
        <v>24861.416664</v>
      </c>
      <c r="BS239">
        <v>79370.553182999996</v>
      </c>
      <c r="BT239">
        <v>51844.833031000002</v>
      </c>
      <c r="BU239">
        <v>173558.47279299999</v>
      </c>
      <c r="BV239">
        <v>11270.338018</v>
      </c>
      <c r="BW239">
        <v>43767.683771000004</v>
      </c>
      <c r="BX239">
        <v>55038.021788999999</v>
      </c>
      <c r="BY239">
        <v>76706.249695000006</v>
      </c>
      <c r="BZ239">
        <v>307967.04776500002</v>
      </c>
      <c r="CA239">
        <v>384673.29745999997</v>
      </c>
      <c r="CB239">
        <v>29686.131987000001</v>
      </c>
      <c r="CC239">
        <v>52.095305000000003</v>
      </c>
      <c r="CD239">
        <v>74584.324575000006</v>
      </c>
      <c r="CE239">
        <v>238111.89765999999</v>
      </c>
      <c r="CF239">
        <v>52870.461395999999</v>
      </c>
      <c r="CG239">
        <v>32659.200000000001</v>
      </c>
      <c r="CH239">
        <v>520675.93905500002</v>
      </c>
      <c r="CI239">
        <v>2975861.5814200002</v>
      </c>
      <c r="CJ239">
        <v>743978.4</v>
      </c>
    </row>
    <row r="240" spans="58:88" x14ac:dyDescent="0.45">
      <c r="BF240" t="s">
        <v>122</v>
      </c>
      <c r="BG240" t="s">
        <v>163</v>
      </c>
      <c r="BH240" t="s">
        <v>124</v>
      </c>
      <c r="BI240" t="s">
        <v>164</v>
      </c>
      <c r="BJ240" t="s">
        <v>160</v>
      </c>
      <c r="BK240" t="s">
        <v>158</v>
      </c>
      <c r="BL240" t="s">
        <v>159</v>
      </c>
      <c r="BM240" t="s">
        <v>131</v>
      </c>
      <c r="BN240" t="s">
        <v>130</v>
      </c>
      <c r="BO240">
        <v>46.234999999999999</v>
      </c>
      <c r="BP240">
        <v>2</v>
      </c>
      <c r="BQ240">
        <v>363586.15890799998</v>
      </c>
      <c r="BR240">
        <v>24861.416664</v>
      </c>
      <c r="BS240">
        <v>79370.553182999996</v>
      </c>
      <c r="BT240">
        <v>17027.407927</v>
      </c>
      <c r="BU240">
        <v>173558.47279299999</v>
      </c>
      <c r="BV240">
        <v>11270.338018</v>
      </c>
      <c r="BW240">
        <v>43767.683771000004</v>
      </c>
      <c r="BX240">
        <v>55038.021788999999</v>
      </c>
      <c r="BY240">
        <v>41888.824590999997</v>
      </c>
      <c r="BZ240">
        <v>307967.04776500002</v>
      </c>
      <c r="CA240">
        <v>349855.87235600001</v>
      </c>
      <c r="CB240">
        <v>13730.286552</v>
      </c>
      <c r="CC240">
        <v>0</v>
      </c>
      <c r="CD240">
        <v>74584.324575000006</v>
      </c>
      <c r="CE240">
        <v>238111.89765999999</v>
      </c>
      <c r="CF240">
        <v>52870.461395999999</v>
      </c>
      <c r="CG240">
        <v>32659.200000000001</v>
      </c>
      <c r="CH240">
        <v>520675.93905500002</v>
      </c>
      <c r="CI240">
        <v>2975861.5814200002</v>
      </c>
      <c r="CJ240">
        <v>743978.4</v>
      </c>
    </row>
    <row r="241" spans="58:88" x14ac:dyDescent="0.45">
      <c r="BF241" t="s">
        <v>122</v>
      </c>
      <c r="BG241" t="s">
        <v>163</v>
      </c>
      <c r="BH241" t="s">
        <v>124</v>
      </c>
      <c r="BI241" t="s">
        <v>164</v>
      </c>
      <c r="BJ241" t="s">
        <v>160</v>
      </c>
      <c r="BK241" t="s">
        <v>158</v>
      </c>
      <c r="BL241" t="s">
        <v>159</v>
      </c>
      <c r="BM241" t="s">
        <v>132</v>
      </c>
      <c r="BN241" t="s">
        <v>130</v>
      </c>
      <c r="BO241">
        <v>45.23</v>
      </c>
      <c r="BP241">
        <v>2</v>
      </c>
      <c r="BQ241">
        <v>355682.96674399998</v>
      </c>
      <c r="BR241">
        <v>24861.416664</v>
      </c>
      <c r="BS241">
        <v>79370.553182999996</v>
      </c>
      <c r="BT241">
        <v>16657.314697000002</v>
      </c>
      <c r="BU241">
        <v>173558.47279299999</v>
      </c>
      <c r="BV241">
        <v>11270.338018</v>
      </c>
      <c r="BW241">
        <v>43767.683771000004</v>
      </c>
      <c r="BX241">
        <v>55038.021788999999</v>
      </c>
      <c r="BY241">
        <v>41518.731360999998</v>
      </c>
      <c r="BZ241">
        <v>307967.04776500002</v>
      </c>
      <c r="CA241">
        <v>349485.77912600001</v>
      </c>
      <c r="CB241">
        <v>6197.1876179999999</v>
      </c>
      <c r="CC241">
        <v>0</v>
      </c>
      <c r="CD241">
        <v>74584.324575000006</v>
      </c>
      <c r="CE241">
        <v>238111.89765999999</v>
      </c>
      <c r="CF241">
        <v>52870.461395999999</v>
      </c>
      <c r="CG241">
        <v>32659.200000000001</v>
      </c>
      <c r="CH241">
        <v>520675.93905500002</v>
      </c>
      <c r="CI241">
        <v>2975861.5814200002</v>
      </c>
      <c r="CJ241">
        <v>743978.4</v>
      </c>
    </row>
    <row r="242" spans="58:88" x14ac:dyDescent="0.45">
      <c r="BF242" t="s">
        <v>122</v>
      </c>
      <c r="BG242" t="s">
        <v>165</v>
      </c>
      <c r="BH242" t="s">
        <v>124</v>
      </c>
      <c r="BI242" t="s">
        <v>164</v>
      </c>
      <c r="BJ242" t="s">
        <v>126</v>
      </c>
      <c r="BK242" t="s">
        <v>127</v>
      </c>
      <c r="BL242" t="s">
        <v>128</v>
      </c>
      <c r="BM242" t="s">
        <v>129</v>
      </c>
      <c r="BN242" t="s">
        <v>130</v>
      </c>
      <c r="BO242">
        <v>52.169789000000002</v>
      </c>
      <c r="BP242">
        <v>2</v>
      </c>
      <c r="BQ242">
        <v>363159.77033000003</v>
      </c>
      <c r="BR242">
        <v>27188.655907</v>
      </c>
      <c r="BS242">
        <v>47657.770327999999</v>
      </c>
      <c r="BT242">
        <v>37073.51251</v>
      </c>
      <c r="BU242">
        <v>92366.628018000003</v>
      </c>
      <c r="BV242">
        <v>8880.1141860000007</v>
      </c>
      <c r="BW242">
        <v>36200.547752999999</v>
      </c>
      <c r="BX242">
        <v>45080.661938999998</v>
      </c>
      <c r="BY242">
        <v>64262.168417000001</v>
      </c>
      <c r="BZ242">
        <v>185105.06028500001</v>
      </c>
      <c r="CA242">
        <v>249367.22870199999</v>
      </c>
      <c r="CB242">
        <v>113792.54162800001</v>
      </c>
      <c r="CC242">
        <v>52.169789000000002</v>
      </c>
      <c r="CD242">
        <v>81566.049287999995</v>
      </c>
      <c r="CE242">
        <v>142973.453958</v>
      </c>
      <c r="CF242">
        <v>49020.927630999999</v>
      </c>
      <c r="CG242">
        <v>17454.7</v>
      </c>
      <c r="CH242">
        <v>277100.16115399997</v>
      </c>
      <c r="CI242">
        <v>2894009.9927380001</v>
      </c>
      <c r="CJ242">
        <v>777795.6</v>
      </c>
    </row>
    <row r="243" spans="58:88" x14ac:dyDescent="0.45">
      <c r="BF243" t="s">
        <v>122</v>
      </c>
      <c r="BG243" t="s">
        <v>165</v>
      </c>
      <c r="BH243" t="s">
        <v>124</v>
      </c>
      <c r="BI243" t="s">
        <v>164</v>
      </c>
      <c r="BJ243" t="s">
        <v>126</v>
      </c>
      <c r="BK243" t="s">
        <v>127</v>
      </c>
      <c r="BL243" t="s">
        <v>128</v>
      </c>
      <c r="BM243" t="s">
        <v>131</v>
      </c>
      <c r="BN243" t="s">
        <v>130</v>
      </c>
      <c r="BO243">
        <v>39.6</v>
      </c>
      <c r="BP243">
        <v>2</v>
      </c>
      <c r="BQ243">
        <v>272096.05499999999</v>
      </c>
      <c r="BR243">
        <v>27188.655907</v>
      </c>
      <c r="BS243">
        <v>47657.770327999999</v>
      </c>
      <c r="BT243">
        <v>14891.871520999999</v>
      </c>
      <c r="BU243">
        <v>92366.628018000003</v>
      </c>
      <c r="BV243">
        <v>8880.1141860000007</v>
      </c>
      <c r="BW243">
        <v>36200.547752999999</v>
      </c>
      <c r="BX243">
        <v>45080.661938999998</v>
      </c>
      <c r="BY243">
        <v>42080.527428000001</v>
      </c>
      <c r="BZ243">
        <v>185105.06028500001</v>
      </c>
      <c r="CA243">
        <v>227185.58771299999</v>
      </c>
      <c r="CB243">
        <v>44910.467286999999</v>
      </c>
      <c r="CC243">
        <v>0</v>
      </c>
      <c r="CD243">
        <v>81566.049287999995</v>
      </c>
      <c r="CE243">
        <v>142973.453958</v>
      </c>
      <c r="CF243">
        <v>49020.927630999999</v>
      </c>
      <c r="CG243">
        <v>17454.7</v>
      </c>
      <c r="CH243">
        <v>277100.16115399997</v>
      </c>
      <c r="CI243">
        <v>2894009.9927380001</v>
      </c>
      <c r="CJ243">
        <v>777795.6</v>
      </c>
    </row>
    <row r="244" spans="58:88" x14ac:dyDescent="0.45">
      <c r="BF244" t="s">
        <v>122</v>
      </c>
      <c r="BG244" t="s">
        <v>165</v>
      </c>
      <c r="BH244" t="s">
        <v>124</v>
      </c>
      <c r="BI244" t="s">
        <v>164</v>
      </c>
      <c r="BJ244" t="s">
        <v>126</v>
      </c>
      <c r="BK244" t="s">
        <v>127</v>
      </c>
      <c r="BL244" t="s">
        <v>128</v>
      </c>
      <c r="BM244" t="s">
        <v>132</v>
      </c>
      <c r="BN244" t="s">
        <v>130</v>
      </c>
      <c r="BO244">
        <v>38.585000000000001</v>
      </c>
      <c r="BP244">
        <v>2</v>
      </c>
      <c r="BQ244">
        <v>265121.87581300002</v>
      </c>
      <c r="BR244">
        <v>27188.655907</v>
      </c>
      <c r="BS244">
        <v>47657.770327999999</v>
      </c>
      <c r="BT244">
        <v>14510.145558</v>
      </c>
      <c r="BU244">
        <v>92366.628018000003</v>
      </c>
      <c r="BV244">
        <v>8880.1141860000007</v>
      </c>
      <c r="BW244">
        <v>36200.547752999999</v>
      </c>
      <c r="BX244">
        <v>45080.661938999998</v>
      </c>
      <c r="BY244">
        <v>41698.801464999997</v>
      </c>
      <c r="BZ244">
        <v>185105.06028500001</v>
      </c>
      <c r="CA244">
        <v>226803.86175000001</v>
      </c>
      <c r="CB244">
        <v>38318.014063000002</v>
      </c>
      <c r="CC244">
        <v>0</v>
      </c>
      <c r="CD244">
        <v>81566.049287999995</v>
      </c>
      <c r="CE244">
        <v>142973.453958</v>
      </c>
      <c r="CF244">
        <v>49020.927630999999</v>
      </c>
      <c r="CG244">
        <v>17454.7</v>
      </c>
      <c r="CH244">
        <v>277100.16115399997</v>
      </c>
      <c r="CI244">
        <v>2894009.9927380001</v>
      </c>
      <c r="CJ244">
        <v>777795.6</v>
      </c>
    </row>
    <row r="245" spans="58:88" x14ac:dyDescent="0.45">
      <c r="BF245" t="s">
        <v>122</v>
      </c>
      <c r="BG245" t="s">
        <v>165</v>
      </c>
      <c r="BH245" t="s">
        <v>124</v>
      </c>
      <c r="BI245" t="s">
        <v>164</v>
      </c>
      <c r="BJ245" t="s">
        <v>133</v>
      </c>
      <c r="BK245" t="s">
        <v>127</v>
      </c>
      <c r="BL245" t="s">
        <v>128</v>
      </c>
      <c r="BM245" t="s">
        <v>129</v>
      </c>
      <c r="BN245" t="s">
        <v>130</v>
      </c>
      <c r="BO245">
        <v>65.044832999999997</v>
      </c>
      <c r="BP245">
        <v>2</v>
      </c>
      <c r="BQ245">
        <v>476307.05085100001</v>
      </c>
      <c r="BR245">
        <v>27188.655907</v>
      </c>
      <c r="BS245">
        <v>58897.533148000002</v>
      </c>
      <c r="BT245">
        <v>49490.203686000001</v>
      </c>
      <c r="BU245">
        <v>131647.63275600001</v>
      </c>
      <c r="BV245">
        <v>11002.822571000001</v>
      </c>
      <c r="BW245">
        <v>44853.950701000002</v>
      </c>
      <c r="BX245">
        <v>55856.773271999999</v>
      </c>
      <c r="BY245">
        <v>76678.859593000001</v>
      </c>
      <c r="BZ245">
        <v>246401.93917600001</v>
      </c>
      <c r="CA245">
        <v>323080.79876899999</v>
      </c>
      <c r="CB245">
        <v>153226.25208199999</v>
      </c>
      <c r="CC245">
        <v>65.044832999999997</v>
      </c>
      <c r="CD245">
        <v>81566.049287999995</v>
      </c>
      <c r="CE245">
        <v>176692.77613799999</v>
      </c>
      <c r="CF245">
        <v>60752.845513</v>
      </c>
      <c r="CG245">
        <v>25024</v>
      </c>
      <c r="CH245">
        <v>394943.29320999997</v>
      </c>
      <c r="CI245">
        <v>2894009.9927380001</v>
      </c>
      <c r="CJ245">
        <v>777795.6</v>
      </c>
    </row>
    <row r="246" spans="58:88" x14ac:dyDescent="0.45">
      <c r="BF246" t="s">
        <v>122</v>
      </c>
      <c r="BG246" t="s">
        <v>165</v>
      </c>
      <c r="BH246" t="s">
        <v>124</v>
      </c>
      <c r="BI246" t="s">
        <v>164</v>
      </c>
      <c r="BJ246" t="s">
        <v>133</v>
      </c>
      <c r="BK246" t="s">
        <v>127</v>
      </c>
      <c r="BL246" t="s">
        <v>128</v>
      </c>
      <c r="BM246" t="s">
        <v>131</v>
      </c>
      <c r="BN246" t="s">
        <v>130</v>
      </c>
      <c r="BO246">
        <v>48.75</v>
      </c>
      <c r="BP246">
        <v>2</v>
      </c>
      <c r="BQ246">
        <v>352596.5625</v>
      </c>
      <c r="BR246">
        <v>27188.655907</v>
      </c>
      <c r="BS246">
        <v>58897.533148000002</v>
      </c>
      <c r="BT246">
        <v>18336.970608</v>
      </c>
      <c r="BU246">
        <v>131647.63275600001</v>
      </c>
      <c r="BV246">
        <v>11002.822571000001</v>
      </c>
      <c r="BW246">
        <v>44853.950701000002</v>
      </c>
      <c r="BX246">
        <v>55856.773271999999</v>
      </c>
      <c r="BY246">
        <v>45525.626515000004</v>
      </c>
      <c r="BZ246">
        <v>246401.93917600001</v>
      </c>
      <c r="CA246">
        <v>291927.56569100003</v>
      </c>
      <c r="CB246">
        <v>60668.996808999997</v>
      </c>
      <c r="CC246">
        <v>0</v>
      </c>
      <c r="CD246">
        <v>81566.049287999995</v>
      </c>
      <c r="CE246">
        <v>176692.77613799999</v>
      </c>
      <c r="CF246">
        <v>60752.845513</v>
      </c>
      <c r="CG246">
        <v>25024</v>
      </c>
      <c r="CH246">
        <v>394943.29320999997</v>
      </c>
      <c r="CI246">
        <v>2894009.9927380001</v>
      </c>
      <c r="CJ246">
        <v>777795.6</v>
      </c>
    </row>
    <row r="247" spans="58:88" x14ac:dyDescent="0.45">
      <c r="BF247" t="s">
        <v>122</v>
      </c>
      <c r="BG247" t="s">
        <v>165</v>
      </c>
      <c r="BH247" t="s">
        <v>124</v>
      </c>
      <c r="BI247" t="s">
        <v>164</v>
      </c>
      <c r="BJ247" t="s">
        <v>133</v>
      </c>
      <c r="BK247" t="s">
        <v>127</v>
      </c>
      <c r="BL247" t="s">
        <v>128</v>
      </c>
      <c r="BM247" t="s">
        <v>132</v>
      </c>
      <c r="BN247" t="s">
        <v>130</v>
      </c>
      <c r="BO247">
        <v>47.72</v>
      </c>
      <c r="BP247">
        <v>2</v>
      </c>
      <c r="BQ247">
        <v>345146.83</v>
      </c>
      <c r="BR247">
        <v>27188.655907</v>
      </c>
      <c r="BS247">
        <v>58897.533148000002</v>
      </c>
      <c r="BT247">
        <v>17949.549713</v>
      </c>
      <c r="BU247">
        <v>131647.63275600001</v>
      </c>
      <c r="BV247">
        <v>11002.822571000001</v>
      </c>
      <c r="BW247">
        <v>44853.950701000002</v>
      </c>
      <c r="BX247">
        <v>55856.773271999999</v>
      </c>
      <c r="BY247">
        <v>45138.205620000001</v>
      </c>
      <c r="BZ247">
        <v>246401.93917600001</v>
      </c>
      <c r="CA247">
        <v>291540.14479599998</v>
      </c>
      <c r="CB247">
        <v>53606.685204000001</v>
      </c>
      <c r="CC247">
        <v>0</v>
      </c>
      <c r="CD247">
        <v>81566.049287999995</v>
      </c>
      <c r="CE247">
        <v>176692.77613799999</v>
      </c>
      <c r="CF247">
        <v>60752.845513</v>
      </c>
      <c r="CG247">
        <v>25024</v>
      </c>
      <c r="CH247">
        <v>394943.29320999997</v>
      </c>
      <c r="CI247">
        <v>2894009.9927380001</v>
      </c>
      <c r="CJ247">
        <v>777795.6</v>
      </c>
    </row>
    <row r="248" spans="58:88" x14ac:dyDescent="0.45">
      <c r="BF248" t="s">
        <v>122</v>
      </c>
      <c r="BG248" t="s">
        <v>165</v>
      </c>
      <c r="BH248" t="s">
        <v>124</v>
      </c>
      <c r="BI248" t="s">
        <v>164</v>
      </c>
      <c r="BJ248" t="s">
        <v>134</v>
      </c>
      <c r="BK248" t="s">
        <v>127</v>
      </c>
      <c r="BL248" t="s">
        <v>128</v>
      </c>
      <c r="BM248" t="s">
        <v>129</v>
      </c>
      <c r="BN248" t="s">
        <v>130</v>
      </c>
      <c r="BO248">
        <v>52.139290000000003</v>
      </c>
      <c r="BP248">
        <v>2</v>
      </c>
      <c r="BQ248">
        <v>362947.46335999999</v>
      </c>
      <c r="BR248">
        <v>27188.655907</v>
      </c>
      <c r="BS248">
        <v>47686.206539999999</v>
      </c>
      <c r="BT248">
        <v>36784.899579999998</v>
      </c>
      <c r="BU248">
        <v>92421.741697999998</v>
      </c>
      <c r="BV248">
        <v>8878.0433909999992</v>
      </c>
      <c r="BW248">
        <v>36192.105981000001</v>
      </c>
      <c r="BX248">
        <v>45070.149372</v>
      </c>
      <c r="BY248">
        <v>63973.555486999998</v>
      </c>
      <c r="BZ248">
        <v>185178.09761</v>
      </c>
      <c r="CA248">
        <v>249151.653097</v>
      </c>
      <c r="CB248">
        <v>113795.81026300001</v>
      </c>
      <c r="CC248">
        <v>52.139290000000003</v>
      </c>
      <c r="CD248">
        <v>81566.049287999995</v>
      </c>
      <c r="CE248">
        <v>143058.762678</v>
      </c>
      <c r="CF248">
        <v>49020.927630999999</v>
      </c>
      <c r="CG248">
        <v>17172.95</v>
      </c>
      <c r="CH248">
        <v>277265.50235999998</v>
      </c>
      <c r="CI248">
        <v>2894009.9927380001</v>
      </c>
      <c r="CJ248">
        <v>777795.6</v>
      </c>
    </row>
    <row r="249" spans="58:88" x14ac:dyDescent="0.45">
      <c r="BF249" t="s">
        <v>122</v>
      </c>
      <c r="BG249" t="s">
        <v>165</v>
      </c>
      <c r="BH249" t="s">
        <v>124</v>
      </c>
      <c r="BI249" t="s">
        <v>164</v>
      </c>
      <c r="BJ249" t="s">
        <v>134</v>
      </c>
      <c r="BK249" t="s">
        <v>127</v>
      </c>
      <c r="BL249" t="s">
        <v>128</v>
      </c>
      <c r="BM249" t="s">
        <v>131</v>
      </c>
      <c r="BN249" t="s">
        <v>130</v>
      </c>
      <c r="BO249">
        <v>39.6</v>
      </c>
      <c r="BP249">
        <v>2</v>
      </c>
      <c r="BQ249">
        <v>272096.05499999999</v>
      </c>
      <c r="BR249">
        <v>27188.655907</v>
      </c>
      <c r="BS249">
        <v>47686.206539999999</v>
      </c>
      <c r="BT249">
        <v>14895.352007</v>
      </c>
      <c r="BU249">
        <v>92421.741697999998</v>
      </c>
      <c r="BV249">
        <v>8878.0433909999992</v>
      </c>
      <c r="BW249">
        <v>36192.105981000001</v>
      </c>
      <c r="BX249">
        <v>45070.149372</v>
      </c>
      <c r="BY249">
        <v>42084.007914000002</v>
      </c>
      <c r="BZ249">
        <v>185178.09761</v>
      </c>
      <c r="CA249">
        <v>227262.10552400001</v>
      </c>
      <c r="CB249">
        <v>44833.949476000002</v>
      </c>
      <c r="CC249">
        <v>0</v>
      </c>
      <c r="CD249">
        <v>81566.049287999995</v>
      </c>
      <c r="CE249">
        <v>143058.762678</v>
      </c>
      <c r="CF249">
        <v>49020.927630999999</v>
      </c>
      <c r="CG249">
        <v>17172.95</v>
      </c>
      <c r="CH249">
        <v>277265.50235999998</v>
      </c>
      <c r="CI249">
        <v>2894009.9927380001</v>
      </c>
      <c r="CJ249">
        <v>777795.6</v>
      </c>
    </row>
    <row r="250" spans="58:88" x14ac:dyDescent="0.45">
      <c r="BF250" t="s">
        <v>122</v>
      </c>
      <c r="BG250" t="s">
        <v>165</v>
      </c>
      <c r="BH250" t="s">
        <v>124</v>
      </c>
      <c r="BI250" t="s">
        <v>164</v>
      </c>
      <c r="BJ250" t="s">
        <v>134</v>
      </c>
      <c r="BK250" t="s">
        <v>127</v>
      </c>
      <c r="BL250" t="s">
        <v>128</v>
      </c>
      <c r="BM250" t="s">
        <v>132</v>
      </c>
      <c r="BN250" t="s">
        <v>130</v>
      </c>
      <c r="BO250">
        <v>38.585000000000001</v>
      </c>
      <c r="BP250">
        <v>2</v>
      </c>
      <c r="BQ250">
        <v>265121.87581300002</v>
      </c>
      <c r="BR250">
        <v>27188.655907</v>
      </c>
      <c r="BS250">
        <v>47686.206539999999</v>
      </c>
      <c r="BT250">
        <v>14513.577023</v>
      </c>
      <c r="BU250">
        <v>92421.741697999998</v>
      </c>
      <c r="BV250">
        <v>8878.0433909999992</v>
      </c>
      <c r="BW250">
        <v>36192.105981000001</v>
      </c>
      <c r="BX250">
        <v>45070.149372</v>
      </c>
      <c r="BY250">
        <v>41702.232929999998</v>
      </c>
      <c r="BZ250">
        <v>185178.09761</v>
      </c>
      <c r="CA250">
        <v>226880.33054</v>
      </c>
      <c r="CB250">
        <v>38241.545273000003</v>
      </c>
      <c r="CC250">
        <v>0</v>
      </c>
      <c r="CD250">
        <v>81566.049287999995</v>
      </c>
      <c r="CE250">
        <v>143058.762678</v>
      </c>
      <c r="CF250">
        <v>49020.927630999999</v>
      </c>
      <c r="CG250">
        <v>17172.95</v>
      </c>
      <c r="CH250">
        <v>277265.50235999998</v>
      </c>
      <c r="CI250">
        <v>2894009.9927380001</v>
      </c>
      <c r="CJ250">
        <v>777795.6</v>
      </c>
    </row>
    <row r="251" spans="58:88" x14ac:dyDescent="0.45">
      <c r="BF251" t="s">
        <v>122</v>
      </c>
      <c r="BG251" t="s">
        <v>165</v>
      </c>
      <c r="BH251" t="s">
        <v>124</v>
      </c>
      <c r="BI251" t="s">
        <v>164</v>
      </c>
      <c r="BJ251" t="s">
        <v>135</v>
      </c>
      <c r="BK251" t="s">
        <v>0</v>
      </c>
      <c r="BL251" t="s">
        <v>136</v>
      </c>
      <c r="BM251" t="s">
        <v>129</v>
      </c>
      <c r="BN251" t="s">
        <v>137</v>
      </c>
      <c r="BO251">
        <v>61.251994000000003</v>
      </c>
      <c r="BP251">
        <v>2</v>
      </c>
      <c r="BQ251">
        <v>473835.47213499999</v>
      </c>
      <c r="BR251">
        <v>33985.572367000001</v>
      </c>
      <c r="BS251">
        <v>74768.357501000006</v>
      </c>
      <c r="BT251">
        <v>37107.964109</v>
      </c>
      <c r="BU251">
        <v>134586.580373</v>
      </c>
      <c r="BV251">
        <v>12501.674109</v>
      </c>
      <c r="BW251">
        <v>45353.695928000001</v>
      </c>
      <c r="BX251">
        <v>57855.370037000001</v>
      </c>
      <c r="BY251">
        <v>71093.536475999994</v>
      </c>
      <c r="BZ251">
        <v>267210.30791099998</v>
      </c>
      <c r="CA251">
        <v>338303.84438700002</v>
      </c>
      <c r="CB251">
        <v>135531.627748</v>
      </c>
      <c r="CC251">
        <v>61.251994000000003</v>
      </c>
      <c r="CD251">
        <v>135942.289468</v>
      </c>
      <c r="CE251">
        <v>299073.43000200001</v>
      </c>
      <c r="CF251">
        <v>102231.745505</v>
      </c>
      <c r="CG251">
        <v>29003</v>
      </c>
      <c r="CH251">
        <v>672932.90186400001</v>
      </c>
      <c r="CI251">
        <v>2894009.9927380001</v>
      </c>
      <c r="CJ251">
        <v>777795.6</v>
      </c>
    </row>
    <row r="252" spans="58:88" x14ac:dyDescent="0.45">
      <c r="BF252" t="s">
        <v>122</v>
      </c>
      <c r="BG252" t="s">
        <v>165</v>
      </c>
      <c r="BH252" t="s">
        <v>124</v>
      </c>
      <c r="BI252" t="s">
        <v>164</v>
      </c>
      <c r="BJ252" t="s">
        <v>135</v>
      </c>
      <c r="BK252" t="s">
        <v>0</v>
      </c>
      <c r="BL252" t="s">
        <v>136</v>
      </c>
      <c r="BM252" t="s">
        <v>131</v>
      </c>
      <c r="BN252" t="s">
        <v>130</v>
      </c>
      <c r="BO252">
        <v>48.75</v>
      </c>
      <c r="BP252">
        <v>2</v>
      </c>
      <c r="BQ252">
        <v>347885.60625000001</v>
      </c>
      <c r="BR252">
        <v>27188.457893999999</v>
      </c>
      <c r="BS252">
        <v>59814.686000000002</v>
      </c>
      <c r="BT252">
        <v>18309.910082999999</v>
      </c>
      <c r="BU252">
        <v>134586.580373</v>
      </c>
      <c r="BV252">
        <v>12501.674109</v>
      </c>
      <c r="BW252">
        <v>45353.695928000001</v>
      </c>
      <c r="BX252">
        <v>57855.370037000001</v>
      </c>
      <c r="BY252">
        <v>45498.367977000002</v>
      </c>
      <c r="BZ252">
        <v>252256.63641000001</v>
      </c>
      <c r="CA252">
        <v>297755.00438699999</v>
      </c>
      <c r="CB252">
        <v>50130.601863000004</v>
      </c>
      <c r="CC252">
        <v>0</v>
      </c>
      <c r="CD252">
        <v>135942.289468</v>
      </c>
      <c r="CE252">
        <v>299073.43000200001</v>
      </c>
      <c r="CF252">
        <v>102231.745505</v>
      </c>
      <c r="CG252">
        <v>29003</v>
      </c>
      <c r="CH252">
        <v>672932.90186400001</v>
      </c>
      <c r="CI252">
        <v>2894009.9927380001</v>
      </c>
      <c r="CJ252">
        <v>777795.6</v>
      </c>
    </row>
    <row r="253" spans="58:88" x14ac:dyDescent="0.45">
      <c r="BF253" t="s">
        <v>122</v>
      </c>
      <c r="BG253" t="s">
        <v>165</v>
      </c>
      <c r="BH253" t="s">
        <v>124</v>
      </c>
      <c r="BI253" t="s">
        <v>164</v>
      </c>
      <c r="BJ253" t="s">
        <v>135</v>
      </c>
      <c r="BK253" t="s">
        <v>0</v>
      </c>
      <c r="BL253" t="s">
        <v>136</v>
      </c>
      <c r="BM253" t="s">
        <v>132</v>
      </c>
      <c r="BN253" t="s">
        <v>130</v>
      </c>
      <c r="BO253">
        <v>47.72</v>
      </c>
      <c r="BP253">
        <v>2</v>
      </c>
      <c r="BQ253">
        <v>340535.40779999999</v>
      </c>
      <c r="BR253">
        <v>27188.457893999999</v>
      </c>
      <c r="BS253">
        <v>59814.686000000002</v>
      </c>
      <c r="BT253">
        <v>17923.065158000001</v>
      </c>
      <c r="BU253">
        <v>134586.580373</v>
      </c>
      <c r="BV253">
        <v>12501.674109</v>
      </c>
      <c r="BW253">
        <v>45353.695928000001</v>
      </c>
      <c r="BX253">
        <v>57855.370037000001</v>
      </c>
      <c r="BY253">
        <v>45111.523051999997</v>
      </c>
      <c r="BZ253">
        <v>252256.63641000001</v>
      </c>
      <c r="CA253">
        <v>297368.15946200001</v>
      </c>
      <c r="CB253">
        <v>43167.248337999998</v>
      </c>
      <c r="CC253">
        <v>0</v>
      </c>
      <c r="CD253">
        <v>135942.289468</v>
      </c>
      <c r="CE253">
        <v>299073.43000200001</v>
      </c>
      <c r="CF253">
        <v>102231.745505</v>
      </c>
      <c r="CG253">
        <v>29003</v>
      </c>
      <c r="CH253">
        <v>672932.90186400001</v>
      </c>
      <c r="CI253">
        <v>2894009.9927380001</v>
      </c>
      <c r="CJ253">
        <v>777795.6</v>
      </c>
    </row>
    <row r="254" spans="58:88" x14ac:dyDescent="0.45">
      <c r="BF254" t="s">
        <v>122</v>
      </c>
      <c r="BG254" t="s">
        <v>165</v>
      </c>
      <c r="BH254" t="s">
        <v>124</v>
      </c>
      <c r="BI254" t="s">
        <v>164</v>
      </c>
      <c r="BJ254" t="s">
        <v>135</v>
      </c>
      <c r="BK254" t="s">
        <v>0</v>
      </c>
      <c r="BL254" t="s">
        <v>138</v>
      </c>
      <c r="BM254" t="s">
        <v>139</v>
      </c>
      <c r="BN254" t="s">
        <v>130</v>
      </c>
      <c r="BO254">
        <v>64.718264000000005</v>
      </c>
      <c r="BP254">
        <v>2</v>
      </c>
      <c r="BQ254">
        <v>500649.97358599998</v>
      </c>
      <c r="BR254">
        <v>23789.900656999998</v>
      </c>
      <c r="BS254">
        <v>52337.850250000003</v>
      </c>
      <c r="BT254">
        <v>39207.960938999997</v>
      </c>
      <c r="BU254">
        <v>134586.580373</v>
      </c>
      <c r="BV254">
        <v>12501.674109</v>
      </c>
      <c r="BW254">
        <v>45353.695928000001</v>
      </c>
      <c r="BX254">
        <v>57855.370037000001</v>
      </c>
      <c r="BY254">
        <v>62997.861596000002</v>
      </c>
      <c r="BZ254">
        <v>244779.80066000001</v>
      </c>
      <c r="CA254">
        <v>307777.66225599998</v>
      </c>
      <c r="CB254">
        <v>192872.31133</v>
      </c>
      <c r="CC254">
        <v>64.718264000000005</v>
      </c>
      <c r="CD254">
        <v>135942.289468</v>
      </c>
      <c r="CE254">
        <v>299073.43000200001</v>
      </c>
      <c r="CF254">
        <v>102231.745505</v>
      </c>
      <c r="CG254">
        <v>29003</v>
      </c>
      <c r="CH254">
        <v>672932.90186400001</v>
      </c>
      <c r="CI254">
        <v>2894009.9927380001</v>
      </c>
      <c r="CJ254">
        <v>777795.6</v>
      </c>
    </row>
    <row r="255" spans="58:88" x14ac:dyDescent="0.45">
      <c r="BF255" t="s">
        <v>122</v>
      </c>
      <c r="BG255" t="s">
        <v>165</v>
      </c>
      <c r="BH255" t="s">
        <v>124</v>
      </c>
      <c r="BI255" t="s">
        <v>164</v>
      </c>
      <c r="BJ255" t="s">
        <v>135</v>
      </c>
      <c r="BK255" t="s">
        <v>0</v>
      </c>
      <c r="BL255" t="s">
        <v>138</v>
      </c>
      <c r="BM255" t="s">
        <v>140</v>
      </c>
      <c r="BN255" t="s">
        <v>130</v>
      </c>
      <c r="BO255">
        <v>49.75</v>
      </c>
      <c r="BP255">
        <v>2</v>
      </c>
      <c r="BQ255">
        <v>380380.41562500002</v>
      </c>
      <c r="BR255">
        <v>23789.900656999998</v>
      </c>
      <c r="BS255">
        <v>52337.850250000003</v>
      </c>
      <c r="BT255">
        <v>18685.509515999998</v>
      </c>
      <c r="BU255">
        <v>134586.580373</v>
      </c>
      <c r="BV255">
        <v>12501.674109</v>
      </c>
      <c r="BW255">
        <v>45353.695928000001</v>
      </c>
      <c r="BX255">
        <v>57855.370037000001</v>
      </c>
      <c r="BY255">
        <v>42475.410172999997</v>
      </c>
      <c r="BZ255">
        <v>244779.80066000001</v>
      </c>
      <c r="CA255">
        <v>287255.21083300002</v>
      </c>
      <c r="CB255">
        <v>93125.204792000004</v>
      </c>
      <c r="CC255">
        <v>0</v>
      </c>
      <c r="CD255">
        <v>135942.289468</v>
      </c>
      <c r="CE255">
        <v>299073.43000200001</v>
      </c>
      <c r="CF255">
        <v>102231.745505</v>
      </c>
      <c r="CG255">
        <v>29003</v>
      </c>
      <c r="CH255">
        <v>672932.90186400001</v>
      </c>
      <c r="CI255">
        <v>2894009.9927380001</v>
      </c>
      <c r="CJ255">
        <v>777795.6</v>
      </c>
    </row>
    <row r="256" spans="58:88" x14ac:dyDescent="0.45">
      <c r="BF256" t="s">
        <v>122</v>
      </c>
      <c r="BG256" t="s">
        <v>165</v>
      </c>
      <c r="BH256" t="s">
        <v>124</v>
      </c>
      <c r="BI256" t="s">
        <v>164</v>
      </c>
      <c r="BJ256" t="s">
        <v>141</v>
      </c>
      <c r="BK256" t="s">
        <v>0</v>
      </c>
      <c r="BL256" t="s">
        <v>136</v>
      </c>
      <c r="BM256" t="s">
        <v>129</v>
      </c>
      <c r="BN256" t="s">
        <v>137</v>
      </c>
      <c r="BO256">
        <v>87.741234000000006</v>
      </c>
      <c r="BP256">
        <v>3</v>
      </c>
      <c r="BQ256">
        <v>774588.38787500001</v>
      </c>
      <c r="BR256">
        <v>50978.499301999997</v>
      </c>
      <c r="BS256">
        <v>128186.458572</v>
      </c>
      <c r="BT256">
        <v>67060.175956000006</v>
      </c>
      <c r="BU256">
        <v>225519.10447399999</v>
      </c>
      <c r="BV256">
        <v>18080.089918999998</v>
      </c>
      <c r="BW256">
        <v>65591.127504999997</v>
      </c>
      <c r="BX256">
        <v>83671.217424000002</v>
      </c>
      <c r="BY256">
        <v>118038.675258</v>
      </c>
      <c r="BZ256">
        <v>437376.78047</v>
      </c>
      <c r="CA256">
        <v>555415.45572800003</v>
      </c>
      <c r="CB256">
        <v>219172.93214700001</v>
      </c>
      <c r="CC256">
        <v>87.741234000000006</v>
      </c>
      <c r="CD256">
        <v>203913.99720799999</v>
      </c>
      <c r="CE256">
        <v>512745.83428800001</v>
      </c>
      <c r="CF256">
        <v>148320.53817399999</v>
      </c>
      <c r="CG256">
        <v>69920</v>
      </c>
      <c r="CH256">
        <v>1127595.5223679999</v>
      </c>
      <c r="CI256">
        <v>2894009.9927380001</v>
      </c>
      <c r="CJ256">
        <v>777795.6</v>
      </c>
    </row>
    <row r="257" spans="58:88" x14ac:dyDescent="0.45">
      <c r="BF257" t="s">
        <v>122</v>
      </c>
      <c r="BG257" t="s">
        <v>165</v>
      </c>
      <c r="BH257" t="s">
        <v>124</v>
      </c>
      <c r="BI257" t="s">
        <v>164</v>
      </c>
      <c r="BJ257" t="s">
        <v>141</v>
      </c>
      <c r="BK257" t="s">
        <v>0</v>
      </c>
      <c r="BL257" t="s">
        <v>136</v>
      </c>
      <c r="BM257" t="s">
        <v>131</v>
      </c>
      <c r="BN257" t="s">
        <v>130</v>
      </c>
      <c r="BO257">
        <v>71.08</v>
      </c>
      <c r="BP257">
        <v>3</v>
      </c>
      <c r="BQ257">
        <v>579697.20479999995</v>
      </c>
      <c r="BR257">
        <v>40782.799442000003</v>
      </c>
      <c r="BS257">
        <v>102549.166858</v>
      </c>
      <c r="BT257">
        <v>26781.942937</v>
      </c>
      <c r="BU257">
        <v>225519.10447399999</v>
      </c>
      <c r="BV257">
        <v>18080.089918999998</v>
      </c>
      <c r="BW257">
        <v>65591.127504999997</v>
      </c>
      <c r="BX257">
        <v>83671.217424000002</v>
      </c>
      <c r="BY257">
        <v>67564.742379000003</v>
      </c>
      <c r="BZ257">
        <v>411739.48875600001</v>
      </c>
      <c r="CA257">
        <v>479304.23113500001</v>
      </c>
      <c r="CB257">
        <v>100392.973665</v>
      </c>
      <c r="CC257">
        <v>0</v>
      </c>
      <c r="CD257">
        <v>203913.99720799999</v>
      </c>
      <c r="CE257">
        <v>512745.83428800001</v>
      </c>
      <c r="CF257">
        <v>148320.53817399999</v>
      </c>
      <c r="CG257">
        <v>69920</v>
      </c>
      <c r="CH257">
        <v>1127595.5223679999</v>
      </c>
      <c r="CI257">
        <v>2894009.9927380001</v>
      </c>
      <c r="CJ257">
        <v>777795.6</v>
      </c>
    </row>
    <row r="258" spans="58:88" x14ac:dyDescent="0.45">
      <c r="BF258" t="s">
        <v>122</v>
      </c>
      <c r="BG258" t="s">
        <v>165</v>
      </c>
      <c r="BH258" t="s">
        <v>124</v>
      </c>
      <c r="BI258" t="s">
        <v>164</v>
      </c>
      <c r="BJ258" t="s">
        <v>141</v>
      </c>
      <c r="BK258" t="s">
        <v>0</v>
      </c>
      <c r="BL258" t="s">
        <v>136</v>
      </c>
      <c r="BM258" t="s">
        <v>132</v>
      </c>
      <c r="BN258" t="s">
        <v>130</v>
      </c>
      <c r="BO258">
        <v>70.05</v>
      </c>
      <c r="BP258">
        <v>3</v>
      </c>
      <c r="BQ258">
        <v>571296.978</v>
      </c>
      <c r="BR258">
        <v>40782.799442000003</v>
      </c>
      <c r="BS258">
        <v>102549.166858</v>
      </c>
      <c r="BT258">
        <v>26393.936409000002</v>
      </c>
      <c r="BU258">
        <v>225519.10447399999</v>
      </c>
      <c r="BV258">
        <v>18080.089918999998</v>
      </c>
      <c r="BW258">
        <v>65591.127504999997</v>
      </c>
      <c r="BX258">
        <v>83671.217424000002</v>
      </c>
      <c r="BY258">
        <v>67176.735851000005</v>
      </c>
      <c r="BZ258">
        <v>411739.48875600001</v>
      </c>
      <c r="CA258">
        <v>478916.22460700001</v>
      </c>
      <c r="CB258">
        <v>92380.753393000006</v>
      </c>
      <c r="CC258">
        <v>0</v>
      </c>
      <c r="CD258">
        <v>203913.99720799999</v>
      </c>
      <c r="CE258">
        <v>512745.83428800001</v>
      </c>
      <c r="CF258">
        <v>148320.53817399999</v>
      </c>
      <c r="CG258">
        <v>69920</v>
      </c>
      <c r="CH258">
        <v>1127595.5223679999</v>
      </c>
      <c r="CI258">
        <v>2894009.9927380001</v>
      </c>
      <c r="CJ258">
        <v>777795.6</v>
      </c>
    </row>
    <row r="259" spans="58:88" x14ac:dyDescent="0.45">
      <c r="BF259" t="s">
        <v>122</v>
      </c>
      <c r="BG259" t="s">
        <v>165</v>
      </c>
      <c r="BH259" t="s">
        <v>124</v>
      </c>
      <c r="BI259" t="s">
        <v>164</v>
      </c>
      <c r="BJ259" t="s">
        <v>141</v>
      </c>
      <c r="BK259" t="s">
        <v>0</v>
      </c>
      <c r="BL259" t="s">
        <v>138</v>
      </c>
      <c r="BM259" t="s">
        <v>139</v>
      </c>
      <c r="BN259" t="s">
        <v>130</v>
      </c>
      <c r="BO259">
        <v>92.693455999999998</v>
      </c>
      <c r="BP259">
        <v>3</v>
      </c>
      <c r="BQ259">
        <v>818307.09891399997</v>
      </c>
      <c r="BR259">
        <v>35684.949510999999</v>
      </c>
      <c r="BS259">
        <v>89730.520999999993</v>
      </c>
      <c r="BT259">
        <v>70845.142565999995</v>
      </c>
      <c r="BU259">
        <v>225519.10447399999</v>
      </c>
      <c r="BV259">
        <v>18080.089918999998</v>
      </c>
      <c r="BW259">
        <v>65591.127504999997</v>
      </c>
      <c r="BX259">
        <v>83671.217424000002</v>
      </c>
      <c r="BY259">
        <v>106530.09207699999</v>
      </c>
      <c r="BZ259">
        <v>398920.84289799997</v>
      </c>
      <c r="CA259">
        <v>505450.93497499998</v>
      </c>
      <c r="CB259">
        <v>312856.16393899999</v>
      </c>
      <c r="CC259">
        <v>92.693455999999998</v>
      </c>
      <c r="CD259">
        <v>203913.99720799999</v>
      </c>
      <c r="CE259">
        <v>512745.83428800001</v>
      </c>
      <c r="CF259">
        <v>148320.53817399999</v>
      </c>
      <c r="CG259">
        <v>69920</v>
      </c>
      <c r="CH259">
        <v>1127595.5223679999</v>
      </c>
      <c r="CI259">
        <v>2894009.9927380001</v>
      </c>
      <c r="CJ259">
        <v>777795.6</v>
      </c>
    </row>
    <row r="260" spans="58:88" x14ac:dyDescent="0.45">
      <c r="BF260" t="s">
        <v>122</v>
      </c>
      <c r="BG260" t="s">
        <v>165</v>
      </c>
      <c r="BH260" t="s">
        <v>124</v>
      </c>
      <c r="BI260" t="s">
        <v>164</v>
      </c>
      <c r="BJ260" t="s">
        <v>141</v>
      </c>
      <c r="BK260" t="s">
        <v>0</v>
      </c>
      <c r="BL260" t="s">
        <v>138</v>
      </c>
      <c r="BM260" t="s">
        <v>140</v>
      </c>
      <c r="BN260" t="s">
        <v>130</v>
      </c>
      <c r="BO260">
        <v>72.08</v>
      </c>
      <c r="BP260">
        <v>3</v>
      </c>
      <c r="BQ260">
        <v>629842.24800000002</v>
      </c>
      <c r="BR260">
        <v>35684.949510999999</v>
      </c>
      <c r="BS260">
        <v>89730.520999999993</v>
      </c>
      <c r="BT260">
        <v>27158.825424999999</v>
      </c>
      <c r="BU260">
        <v>225519.10447399999</v>
      </c>
      <c r="BV260">
        <v>18080.089918999998</v>
      </c>
      <c r="BW260">
        <v>65591.127504999997</v>
      </c>
      <c r="BX260">
        <v>83671.217424000002</v>
      </c>
      <c r="BY260">
        <v>62843.774936000002</v>
      </c>
      <c r="BZ260">
        <v>398920.84289799997</v>
      </c>
      <c r="CA260">
        <v>461764.61783399998</v>
      </c>
      <c r="CB260">
        <v>168077.63016599999</v>
      </c>
      <c r="CC260">
        <v>0</v>
      </c>
      <c r="CD260">
        <v>203913.99720799999</v>
      </c>
      <c r="CE260">
        <v>512745.83428800001</v>
      </c>
      <c r="CF260">
        <v>148320.53817399999</v>
      </c>
      <c r="CG260">
        <v>69920</v>
      </c>
      <c r="CH260">
        <v>1127595.5223679999</v>
      </c>
      <c r="CI260">
        <v>2894009.9927380001</v>
      </c>
      <c r="CJ260">
        <v>777795.6</v>
      </c>
    </row>
    <row r="261" spans="58:88" x14ac:dyDescent="0.45">
      <c r="BF261" t="s">
        <v>122</v>
      </c>
      <c r="BG261" t="s">
        <v>165</v>
      </c>
      <c r="BH261" t="s">
        <v>124</v>
      </c>
      <c r="BI261" t="s">
        <v>164</v>
      </c>
      <c r="BJ261" t="s">
        <v>142</v>
      </c>
      <c r="BK261" t="s">
        <v>0</v>
      </c>
      <c r="BL261" t="s">
        <v>136</v>
      </c>
      <c r="BM261" t="s">
        <v>129</v>
      </c>
      <c r="BN261" t="s">
        <v>137</v>
      </c>
      <c r="BO261">
        <v>57.616993999999998</v>
      </c>
      <c r="BP261">
        <v>2</v>
      </c>
      <c r="BQ261">
        <v>436725.29112100002</v>
      </c>
      <c r="BR261">
        <v>33985.572367000001</v>
      </c>
      <c r="BS261">
        <v>70307.168455999999</v>
      </c>
      <c r="BT261">
        <v>33995.681203</v>
      </c>
      <c r="BU261">
        <v>121901.58205</v>
      </c>
      <c r="BV261">
        <v>11831.500771999999</v>
      </c>
      <c r="BW261">
        <v>42922.434522000003</v>
      </c>
      <c r="BX261">
        <v>54753.935294000003</v>
      </c>
      <c r="BY261">
        <v>67981.253570000001</v>
      </c>
      <c r="BZ261">
        <v>246962.68580000001</v>
      </c>
      <c r="CA261">
        <v>314943.93936999998</v>
      </c>
      <c r="CB261">
        <v>121781.35175099999</v>
      </c>
      <c r="CC261">
        <v>57.616993999999998</v>
      </c>
      <c r="CD261">
        <v>135942.289468</v>
      </c>
      <c r="CE261">
        <v>281228.67382199998</v>
      </c>
      <c r="CF261">
        <v>96785.225993</v>
      </c>
      <c r="CG261">
        <v>25395.45</v>
      </c>
      <c r="CH261">
        <v>609507.91024999996</v>
      </c>
      <c r="CI261">
        <v>2894009.9927380001</v>
      </c>
      <c r="CJ261">
        <v>777795.6</v>
      </c>
    </row>
    <row r="262" spans="58:88" x14ac:dyDescent="0.45">
      <c r="BF262" t="s">
        <v>122</v>
      </c>
      <c r="BG262" t="s">
        <v>165</v>
      </c>
      <c r="BH262" t="s">
        <v>124</v>
      </c>
      <c r="BI262" t="s">
        <v>164</v>
      </c>
      <c r="BJ262" t="s">
        <v>142</v>
      </c>
      <c r="BK262" t="s">
        <v>0</v>
      </c>
      <c r="BL262" t="s">
        <v>136</v>
      </c>
      <c r="BM262" t="s">
        <v>131</v>
      </c>
      <c r="BN262" t="s">
        <v>130</v>
      </c>
      <c r="BO262">
        <v>46.704999999999998</v>
      </c>
      <c r="BP262">
        <v>2</v>
      </c>
      <c r="BQ262">
        <v>326490.36839999998</v>
      </c>
      <c r="BR262">
        <v>27188.457893999999</v>
      </c>
      <c r="BS262">
        <v>56245.734764000001</v>
      </c>
      <c r="BT262">
        <v>17547.935753999998</v>
      </c>
      <c r="BU262">
        <v>121901.58205</v>
      </c>
      <c r="BV262">
        <v>11831.500771999999</v>
      </c>
      <c r="BW262">
        <v>42922.434522000003</v>
      </c>
      <c r="BX262">
        <v>54753.935294000003</v>
      </c>
      <c r="BY262">
        <v>44736.393647999997</v>
      </c>
      <c r="BZ262">
        <v>232901.25210799999</v>
      </c>
      <c r="CA262">
        <v>277637.64575600001</v>
      </c>
      <c r="CB262">
        <v>48852.722644000001</v>
      </c>
      <c r="CC262">
        <v>0</v>
      </c>
      <c r="CD262">
        <v>135942.289468</v>
      </c>
      <c r="CE262">
        <v>281228.67382199998</v>
      </c>
      <c r="CF262">
        <v>96785.225993</v>
      </c>
      <c r="CG262">
        <v>25395.45</v>
      </c>
      <c r="CH262">
        <v>609507.91024999996</v>
      </c>
      <c r="CI262">
        <v>2894009.9927380001</v>
      </c>
      <c r="CJ262">
        <v>777795.6</v>
      </c>
    </row>
    <row r="263" spans="58:88" x14ac:dyDescent="0.45">
      <c r="BF263" t="s">
        <v>122</v>
      </c>
      <c r="BG263" t="s">
        <v>165</v>
      </c>
      <c r="BH263" t="s">
        <v>124</v>
      </c>
      <c r="BI263" t="s">
        <v>164</v>
      </c>
      <c r="BJ263" t="s">
        <v>142</v>
      </c>
      <c r="BK263" t="s">
        <v>0</v>
      </c>
      <c r="BL263" t="s">
        <v>136</v>
      </c>
      <c r="BM263" t="s">
        <v>132</v>
      </c>
      <c r="BN263" t="s">
        <v>130</v>
      </c>
      <c r="BO263">
        <v>45.69</v>
      </c>
      <c r="BP263">
        <v>2</v>
      </c>
      <c r="BQ263">
        <v>319395.03120000003</v>
      </c>
      <c r="BR263">
        <v>27188.457893999999</v>
      </c>
      <c r="BS263">
        <v>56245.734764000001</v>
      </c>
      <c r="BT263">
        <v>17166.601964000001</v>
      </c>
      <c r="BU263">
        <v>121901.58205</v>
      </c>
      <c r="BV263">
        <v>11831.500771999999</v>
      </c>
      <c r="BW263">
        <v>42922.434522000003</v>
      </c>
      <c r="BX263">
        <v>54753.935294000003</v>
      </c>
      <c r="BY263">
        <v>44355.059858000001</v>
      </c>
      <c r="BZ263">
        <v>232901.25210799999</v>
      </c>
      <c r="CA263">
        <v>277256.31196600001</v>
      </c>
      <c r="CB263">
        <v>42138.719233999997</v>
      </c>
      <c r="CC263">
        <v>0</v>
      </c>
      <c r="CD263">
        <v>135942.289468</v>
      </c>
      <c r="CE263">
        <v>281228.67382199998</v>
      </c>
      <c r="CF263">
        <v>96785.225993</v>
      </c>
      <c r="CG263">
        <v>25395.45</v>
      </c>
      <c r="CH263">
        <v>609507.91024999996</v>
      </c>
      <c r="CI263">
        <v>2894009.9927380001</v>
      </c>
      <c r="CJ263">
        <v>777795.6</v>
      </c>
    </row>
    <row r="264" spans="58:88" x14ac:dyDescent="0.45">
      <c r="BF264" t="s">
        <v>122</v>
      </c>
      <c r="BG264" t="s">
        <v>165</v>
      </c>
      <c r="BH264" t="s">
        <v>124</v>
      </c>
      <c r="BI264" t="s">
        <v>164</v>
      </c>
      <c r="BJ264" t="s">
        <v>142</v>
      </c>
      <c r="BK264" t="s">
        <v>0</v>
      </c>
      <c r="BL264" t="s">
        <v>138</v>
      </c>
      <c r="BM264" t="s">
        <v>139</v>
      </c>
      <c r="BN264" t="s">
        <v>130</v>
      </c>
      <c r="BO264">
        <v>60.882193000000001</v>
      </c>
      <c r="BP264">
        <v>2</v>
      </c>
      <c r="BQ264">
        <v>461474.84650099999</v>
      </c>
      <c r="BR264">
        <v>23789.900656999998</v>
      </c>
      <c r="BS264">
        <v>49215.017918999998</v>
      </c>
      <c r="BT264">
        <v>35922.205566999997</v>
      </c>
      <c r="BU264">
        <v>121901.58205</v>
      </c>
      <c r="BV264">
        <v>11831.500771999999</v>
      </c>
      <c r="BW264">
        <v>42922.434522000003</v>
      </c>
      <c r="BX264">
        <v>54753.935294000003</v>
      </c>
      <c r="BY264">
        <v>59712.106224000003</v>
      </c>
      <c r="BZ264">
        <v>225870.535263</v>
      </c>
      <c r="CA264">
        <v>285582.64148699999</v>
      </c>
      <c r="CB264">
        <v>175892.20501400001</v>
      </c>
      <c r="CC264">
        <v>60.882193000000001</v>
      </c>
      <c r="CD264">
        <v>135942.289468</v>
      </c>
      <c r="CE264">
        <v>281228.67382199998</v>
      </c>
      <c r="CF264">
        <v>96785.225993</v>
      </c>
      <c r="CG264">
        <v>25395.45</v>
      </c>
      <c r="CH264">
        <v>609507.91024999996</v>
      </c>
      <c r="CI264">
        <v>2894009.9927380001</v>
      </c>
      <c r="CJ264">
        <v>777795.6</v>
      </c>
    </row>
    <row r="265" spans="58:88" x14ac:dyDescent="0.45">
      <c r="BF265" t="s">
        <v>122</v>
      </c>
      <c r="BG265" t="s">
        <v>165</v>
      </c>
      <c r="BH265" t="s">
        <v>124</v>
      </c>
      <c r="BI265" t="s">
        <v>164</v>
      </c>
      <c r="BJ265" t="s">
        <v>142</v>
      </c>
      <c r="BK265" t="s">
        <v>0</v>
      </c>
      <c r="BL265" t="s">
        <v>138</v>
      </c>
      <c r="BM265" t="s">
        <v>140</v>
      </c>
      <c r="BN265" t="s">
        <v>130</v>
      </c>
      <c r="BO265">
        <v>46.704999999999998</v>
      </c>
      <c r="BP265">
        <v>2</v>
      </c>
      <c r="BQ265">
        <v>349811.109</v>
      </c>
      <c r="BR265">
        <v>23789.900656999998</v>
      </c>
      <c r="BS265">
        <v>49215.017918999998</v>
      </c>
      <c r="BT265">
        <v>17547.935753999998</v>
      </c>
      <c r="BU265">
        <v>121901.58205</v>
      </c>
      <c r="BV265">
        <v>11831.500771999999</v>
      </c>
      <c r="BW265">
        <v>42922.434522000003</v>
      </c>
      <c r="BX265">
        <v>54753.935294000003</v>
      </c>
      <c r="BY265">
        <v>41337.836410999997</v>
      </c>
      <c r="BZ265">
        <v>225870.535263</v>
      </c>
      <c r="CA265">
        <v>267208.37167399999</v>
      </c>
      <c r="CB265">
        <v>82602.737326000002</v>
      </c>
      <c r="CC265">
        <v>0</v>
      </c>
      <c r="CD265">
        <v>135942.289468</v>
      </c>
      <c r="CE265">
        <v>281228.67382199998</v>
      </c>
      <c r="CF265">
        <v>96785.225993</v>
      </c>
      <c r="CG265">
        <v>25395.45</v>
      </c>
      <c r="CH265">
        <v>609507.91024999996</v>
      </c>
      <c r="CI265">
        <v>2894009.9927380001</v>
      </c>
      <c r="CJ265">
        <v>777795.6</v>
      </c>
    </row>
    <row r="266" spans="58:88" x14ac:dyDescent="0.45">
      <c r="BF266" t="s">
        <v>122</v>
      </c>
      <c r="BG266" t="s">
        <v>165</v>
      </c>
      <c r="BH266" t="s">
        <v>124</v>
      </c>
      <c r="BI266" t="s">
        <v>164</v>
      </c>
      <c r="BJ266" t="s">
        <v>143</v>
      </c>
      <c r="BK266" t="s">
        <v>144</v>
      </c>
      <c r="BL266" t="s">
        <v>145</v>
      </c>
      <c r="BM266" t="s">
        <v>129</v>
      </c>
      <c r="BN266" t="s">
        <v>137</v>
      </c>
      <c r="BO266">
        <v>62.592962999999997</v>
      </c>
      <c r="BP266">
        <v>2</v>
      </c>
      <c r="BQ266">
        <v>480122.45234000002</v>
      </c>
      <c r="BR266">
        <v>33985.572367000001</v>
      </c>
      <c r="BS266">
        <v>73630.536689</v>
      </c>
      <c r="BT266">
        <v>37428.867924999999</v>
      </c>
      <c r="BU266">
        <v>134413.464821</v>
      </c>
      <c r="BV266">
        <v>12907.149154000001</v>
      </c>
      <c r="BW266">
        <v>46318.803230999998</v>
      </c>
      <c r="BX266">
        <v>59225.952384999997</v>
      </c>
      <c r="BY266">
        <v>71414.440291999999</v>
      </c>
      <c r="BZ266">
        <v>267269.95389499998</v>
      </c>
      <c r="CA266">
        <v>338684.394187</v>
      </c>
      <c r="CB266">
        <v>141438.05815299999</v>
      </c>
      <c r="CC266">
        <v>62.592962999999997</v>
      </c>
      <c r="CD266">
        <v>135942.289468</v>
      </c>
      <c r="CE266">
        <v>294522.14675399999</v>
      </c>
      <c r="CF266">
        <v>104327.25363200001</v>
      </c>
      <c r="CG266">
        <v>28661.45</v>
      </c>
      <c r="CH266">
        <v>672067.32410500001</v>
      </c>
      <c r="CI266">
        <v>2894009.9927380001</v>
      </c>
      <c r="CJ266">
        <v>777795.6</v>
      </c>
    </row>
    <row r="267" spans="58:88" x14ac:dyDescent="0.45">
      <c r="BF267" t="s">
        <v>122</v>
      </c>
      <c r="BG267" t="s">
        <v>165</v>
      </c>
      <c r="BH267" t="s">
        <v>124</v>
      </c>
      <c r="BI267" t="s">
        <v>164</v>
      </c>
      <c r="BJ267" t="s">
        <v>143</v>
      </c>
      <c r="BK267" t="s">
        <v>144</v>
      </c>
      <c r="BL267" t="s">
        <v>145</v>
      </c>
      <c r="BM267" t="s">
        <v>131</v>
      </c>
      <c r="BN267" t="s">
        <v>130</v>
      </c>
      <c r="BO267">
        <v>49.765000000000001</v>
      </c>
      <c r="BP267">
        <v>2</v>
      </c>
      <c r="BQ267">
        <v>352096.33270000003</v>
      </c>
      <c r="BR267">
        <v>27188.457893999999</v>
      </c>
      <c r="BS267">
        <v>58904.429350999999</v>
      </c>
      <c r="BT267">
        <v>18676.873599999999</v>
      </c>
      <c r="BU267">
        <v>134413.464821</v>
      </c>
      <c r="BV267">
        <v>12907.149154000001</v>
      </c>
      <c r="BW267">
        <v>46318.803230999998</v>
      </c>
      <c r="BX267">
        <v>59225.952384999997</v>
      </c>
      <c r="BY267">
        <v>45865.331493999998</v>
      </c>
      <c r="BZ267">
        <v>252543.84655700001</v>
      </c>
      <c r="CA267">
        <v>298409.178051</v>
      </c>
      <c r="CB267">
        <v>53687.154648999996</v>
      </c>
      <c r="CC267">
        <v>0</v>
      </c>
      <c r="CD267">
        <v>135942.289468</v>
      </c>
      <c r="CE267">
        <v>294522.14675399999</v>
      </c>
      <c r="CF267">
        <v>104327.25363200001</v>
      </c>
      <c r="CG267">
        <v>28661.45</v>
      </c>
      <c r="CH267">
        <v>672067.32410500001</v>
      </c>
      <c r="CI267">
        <v>2894009.9927380001</v>
      </c>
      <c r="CJ267">
        <v>777795.6</v>
      </c>
    </row>
    <row r="268" spans="58:88" x14ac:dyDescent="0.45">
      <c r="BF268" t="s">
        <v>122</v>
      </c>
      <c r="BG268" t="s">
        <v>165</v>
      </c>
      <c r="BH268" t="s">
        <v>124</v>
      </c>
      <c r="BI268" t="s">
        <v>164</v>
      </c>
      <c r="BJ268" t="s">
        <v>143</v>
      </c>
      <c r="BK268" t="s">
        <v>144</v>
      </c>
      <c r="BL268" t="s">
        <v>145</v>
      </c>
      <c r="BM268" t="s">
        <v>132</v>
      </c>
      <c r="BN268" t="s">
        <v>130</v>
      </c>
      <c r="BO268">
        <v>48.734999999999999</v>
      </c>
      <c r="BP268">
        <v>2</v>
      </c>
      <c r="BQ268">
        <v>344808.89730000001</v>
      </c>
      <c r="BR268">
        <v>27188.457893999999</v>
      </c>
      <c r="BS268">
        <v>58904.429350999999</v>
      </c>
      <c r="BT268">
        <v>18290.341124999999</v>
      </c>
      <c r="BU268">
        <v>134413.464821</v>
      </c>
      <c r="BV268">
        <v>12907.149154000001</v>
      </c>
      <c r="BW268">
        <v>46318.803230999998</v>
      </c>
      <c r="BX268">
        <v>59225.952384999997</v>
      </c>
      <c r="BY268">
        <v>45478.799018999998</v>
      </c>
      <c r="BZ268">
        <v>252543.84655700001</v>
      </c>
      <c r="CA268">
        <v>298022.64557599998</v>
      </c>
      <c r="CB268">
        <v>46786.251724000002</v>
      </c>
      <c r="CC268">
        <v>0</v>
      </c>
      <c r="CD268">
        <v>135942.289468</v>
      </c>
      <c r="CE268">
        <v>294522.14675399999</v>
      </c>
      <c r="CF268">
        <v>104327.25363200001</v>
      </c>
      <c r="CG268">
        <v>28661.45</v>
      </c>
      <c r="CH268">
        <v>672067.32410500001</v>
      </c>
      <c r="CI268">
        <v>2894009.9927380001</v>
      </c>
      <c r="CJ268">
        <v>777795.6</v>
      </c>
    </row>
    <row r="269" spans="58:88" x14ac:dyDescent="0.45">
      <c r="BF269" t="s">
        <v>122</v>
      </c>
      <c r="BG269" t="s">
        <v>165</v>
      </c>
      <c r="BH269" t="s">
        <v>124</v>
      </c>
      <c r="BI269" t="s">
        <v>164</v>
      </c>
      <c r="BJ269" t="s">
        <v>143</v>
      </c>
      <c r="BK269" t="s">
        <v>144</v>
      </c>
      <c r="BL269" t="s">
        <v>146</v>
      </c>
      <c r="BM269" t="s">
        <v>139</v>
      </c>
      <c r="BN269" t="s">
        <v>130</v>
      </c>
      <c r="BO269">
        <v>66.123868999999999</v>
      </c>
      <c r="BP269">
        <v>2</v>
      </c>
      <c r="BQ269">
        <v>507206.44335800002</v>
      </c>
      <c r="BR269">
        <v>23789.900656999998</v>
      </c>
      <c r="BS269">
        <v>51541.375681999998</v>
      </c>
      <c r="BT269">
        <v>39540.244936000003</v>
      </c>
      <c r="BU269">
        <v>134413.464821</v>
      </c>
      <c r="BV269">
        <v>12907.149154000001</v>
      </c>
      <c r="BW269">
        <v>46318.803230999998</v>
      </c>
      <c r="BX269">
        <v>59225.952384999997</v>
      </c>
      <c r="BY269">
        <v>63330.145593000001</v>
      </c>
      <c r="BZ269">
        <v>245180.792888</v>
      </c>
      <c r="CA269">
        <v>308510.93848100002</v>
      </c>
      <c r="CB269">
        <v>198695.504877</v>
      </c>
      <c r="CC269">
        <v>66.123868999999999</v>
      </c>
      <c r="CD269">
        <v>135942.289468</v>
      </c>
      <c r="CE269">
        <v>294522.14675399999</v>
      </c>
      <c r="CF269">
        <v>104327.25363200001</v>
      </c>
      <c r="CG269">
        <v>28661.45</v>
      </c>
      <c r="CH269">
        <v>672067.32410500001</v>
      </c>
      <c r="CI269">
        <v>2894009.9927380001</v>
      </c>
      <c r="CJ269">
        <v>777795.6</v>
      </c>
    </row>
    <row r="270" spans="58:88" x14ac:dyDescent="0.45">
      <c r="BF270" t="s">
        <v>122</v>
      </c>
      <c r="BG270" t="s">
        <v>165</v>
      </c>
      <c r="BH270" t="s">
        <v>124</v>
      </c>
      <c r="BI270" t="s">
        <v>164</v>
      </c>
      <c r="BJ270" t="s">
        <v>143</v>
      </c>
      <c r="BK270" t="s">
        <v>144</v>
      </c>
      <c r="BL270" t="s">
        <v>146</v>
      </c>
      <c r="BM270" t="s">
        <v>140</v>
      </c>
      <c r="BN270" t="s">
        <v>130</v>
      </c>
      <c r="BO270">
        <v>50.765000000000001</v>
      </c>
      <c r="BP270">
        <v>2</v>
      </c>
      <c r="BQ270">
        <v>384826.62075</v>
      </c>
      <c r="BR270">
        <v>23789.900656999998</v>
      </c>
      <c r="BS270">
        <v>51541.375681999998</v>
      </c>
      <c r="BT270">
        <v>19052.138730999999</v>
      </c>
      <c r="BU270">
        <v>134413.464821</v>
      </c>
      <c r="BV270">
        <v>12907.149154000001</v>
      </c>
      <c r="BW270">
        <v>46318.803230999998</v>
      </c>
      <c r="BX270">
        <v>59225.952384999997</v>
      </c>
      <c r="BY270">
        <v>42842.039387999997</v>
      </c>
      <c r="BZ270">
        <v>245180.792888</v>
      </c>
      <c r="CA270">
        <v>288022.832276</v>
      </c>
      <c r="CB270">
        <v>96803.788474000001</v>
      </c>
      <c r="CC270">
        <v>0</v>
      </c>
      <c r="CD270">
        <v>135942.289468</v>
      </c>
      <c r="CE270">
        <v>294522.14675399999</v>
      </c>
      <c r="CF270">
        <v>104327.25363200001</v>
      </c>
      <c r="CG270">
        <v>28661.45</v>
      </c>
      <c r="CH270">
        <v>672067.32410500001</v>
      </c>
      <c r="CI270">
        <v>2894009.9927380001</v>
      </c>
      <c r="CJ270">
        <v>777795.6</v>
      </c>
    </row>
    <row r="271" spans="58:88" x14ac:dyDescent="0.45">
      <c r="BF271" t="s">
        <v>122</v>
      </c>
      <c r="BG271" t="s">
        <v>165</v>
      </c>
      <c r="BH271" t="s">
        <v>124</v>
      </c>
      <c r="BI271" t="s">
        <v>164</v>
      </c>
      <c r="BJ271" t="s">
        <v>147</v>
      </c>
      <c r="BK271" t="s">
        <v>144</v>
      </c>
      <c r="BL271" t="s">
        <v>145</v>
      </c>
      <c r="BM271" t="s">
        <v>129</v>
      </c>
      <c r="BN271" t="s">
        <v>137</v>
      </c>
      <c r="BO271">
        <v>80.804742000000005</v>
      </c>
      <c r="BP271">
        <v>3</v>
      </c>
      <c r="BQ271">
        <v>670335.93844699999</v>
      </c>
      <c r="BR271">
        <v>50978.360833999999</v>
      </c>
      <c r="BS271">
        <v>121281.280054</v>
      </c>
      <c r="BT271">
        <v>53740.561065000002</v>
      </c>
      <c r="BU271">
        <v>221543.06477900001</v>
      </c>
      <c r="BV271">
        <v>19346.836712</v>
      </c>
      <c r="BW271">
        <v>69428.369669000007</v>
      </c>
      <c r="BX271">
        <v>88775.206380999996</v>
      </c>
      <c r="BY271">
        <v>104718.92189899999</v>
      </c>
      <c r="BZ271">
        <v>431599.55121399998</v>
      </c>
      <c r="CA271">
        <v>536318.47311300004</v>
      </c>
      <c r="CB271">
        <v>134017.46533400001</v>
      </c>
      <c r="CC271">
        <v>80.804742000000005</v>
      </c>
      <c r="CD271">
        <v>176725.31411199999</v>
      </c>
      <c r="CE271">
        <v>420442.55567999999</v>
      </c>
      <c r="CF271">
        <v>135750.86744599999</v>
      </c>
      <c r="CG271">
        <v>48050.45</v>
      </c>
      <c r="CH271">
        <v>960020.907396</v>
      </c>
      <c r="CI271">
        <v>2894009.9927380001</v>
      </c>
      <c r="CJ271">
        <v>777795.6</v>
      </c>
    </row>
    <row r="272" spans="58:88" x14ac:dyDescent="0.45">
      <c r="BF272" t="s">
        <v>122</v>
      </c>
      <c r="BG272" t="s">
        <v>165</v>
      </c>
      <c r="BH272" t="s">
        <v>124</v>
      </c>
      <c r="BI272" t="s">
        <v>164</v>
      </c>
      <c r="BJ272" t="s">
        <v>147</v>
      </c>
      <c r="BK272" t="s">
        <v>144</v>
      </c>
      <c r="BL272" t="s">
        <v>145</v>
      </c>
      <c r="BM272" t="s">
        <v>131</v>
      </c>
      <c r="BN272" t="s">
        <v>130</v>
      </c>
      <c r="BO272">
        <v>64.989999999999995</v>
      </c>
      <c r="BP272">
        <v>2</v>
      </c>
      <c r="BQ272">
        <v>497738.913</v>
      </c>
      <c r="BR272">
        <v>27188.482674999999</v>
      </c>
      <c r="BS272">
        <v>64683.405421000003</v>
      </c>
      <c r="BT272">
        <v>24430.812113</v>
      </c>
      <c r="BU272">
        <v>147695.37651900001</v>
      </c>
      <c r="BV272">
        <v>12897.891142</v>
      </c>
      <c r="BW272">
        <v>46285.579779</v>
      </c>
      <c r="BX272">
        <v>59183.470921</v>
      </c>
      <c r="BY272">
        <v>51619.294787999999</v>
      </c>
      <c r="BZ272">
        <v>271562.25286100002</v>
      </c>
      <c r="CA272">
        <v>323181.54764900001</v>
      </c>
      <c r="CB272">
        <v>174557.36535099999</v>
      </c>
      <c r="CC272">
        <v>0</v>
      </c>
      <c r="CD272">
        <v>176725.31411199999</v>
      </c>
      <c r="CE272">
        <v>420442.55567999999</v>
      </c>
      <c r="CF272">
        <v>135750.86744599999</v>
      </c>
      <c r="CG272">
        <v>48050.45</v>
      </c>
      <c r="CH272">
        <v>960020.907396</v>
      </c>
      <c r="CI272">
        <v>2894009.9927380001</v>
      </c>
      <c r="CJ272">
        <v>777795.6</v>
      </c>
    </row>
    <row r="273" spans="58:88" x14ac:dyDescent="0.45">
      <c r="BF273" t="s">
        <v>122</v>
      </c>
      <c r="BG273" t="s">
        <v>165</v>
      </c>
      <c r="BH273" t="s">
        <v>124</v>
      </c>
      <c r="BI273" t="s">
        <v>164</v>
      </c>
      <c r="BJ273" t="s">
        <v>147</v>
      </c>
      <c r="BK273" t="s">
        <v>144</v>
      </c>
      <c r="BL273" t="s">
        <v>145</v>
      </c>
      <c r="BM273" t="s">
        <v>132</v>
      </c>
      <c r="BN273" t="s">
        <v>130</v>
      </c>
      <c r="BO273">
        <v>63.96</v>
      </c>
      <c r="BP273">
        <v>2</v>
      </c>
      <c r="BQ273">
        <v>489850.45199999999</v>
      </c>
      <c r="BR273">
        <v>27188.482674999999</v>
      </c>
      <c r="BS273">
        <v>64683.405421000003</v>
      </c>
      <c r="BT273">
        <v>24043.650639</v>
      </c>
      <c r="BU273">
        <v>147695.37651900001</v>
      </c>
      <c r="BV273">
        <v>12897.891142</v>
      </c>
      <c r="BW273">
        <v>46285.579779</v>
      </c>
      <c r="BX273">
        <v>59183.470921</v>
      </c>
      <c r="BY273">
        <v>51232.133313999999</v>
      </c>
      <c r="BZ273">
        <v>271562.25286100002</v>
      </c>
      <c r="CA273">
        <v>322794.38617499999</v>
      </c>
      <c r="CB273">
        <v>167056.065825</v>
      </c>
      <c r="CC273">
        <v>0</v>
      </c>
      <c r="CD273">
        <v>176725.31411199999</v>
      </c>
      <c r="CE273">
        <v>420442.55567999999</v>
      </c>
      <c r="CF273">
        <v>135750.86744599999</v>
      </c>
      <c r="CG273">
        <v>48050.45</v>
      </c>
      <c r="CH273">
        <v>960020.907396</v>
      </c>
      <c r="CI273">
        <v>2894009.9927380001</v>
      </c>
      <c r="CJ273">
        <v>777795.6</v>
      </c>
    </row>
    <row r="274" spans="58:88" x14ac:dyDescent="0.45">
      <c r="BF274" t="s">
        <v>122</v>
      </c>
      <c r="BG274" t="s">
        <v>165</v>
      </c>
      <c r="BH274" t="s">
        <v>124</v>
      </c>
      <c r="BI274" t="s">
        <v>164</v>
      </c>
      <c r="BJ274" t="s">
        <v>147</v>
      </c>
      <c r="BK274" t="s">
        <v>144</v>
      </c>
      <c r="BL274" t="s">
        <v>146</v>
      </c>
      <c r="BM274" t="s">
        <v>139</v>
      </c>
      <c r="BN274" t="s">
        <v>130</v>
      </c>
      <c r="BO274">
        <v>85.373632999999998</v>
      </c>
      <c r="BP274">
        <v>3</v>
      </c>
      <c r="BQ274">
        <v>708238.31596000004</v>
      </c>
      <c r="BR274">
        <v>35684.905600999999</v>
      </c>
      <c r="BS274">
        <v>84897.022171000004</v>
      </c>
      <c r="BT274">
        <v>56779.132061999997</v>
      </c>
      <c r="BU274">
        <v>221543.06477900001</v>
      </c>
      <c r="BV274">
        <v>19346.836712</v>
      </c>
      <c r="BW274">
        <v>69428.369669000007</v>
      </c>
      <c r="BX274">
        <v>88775.206380999996</v>
      </c>
      <c r="BY274">
        <v>92464.037662999996</v>
      </c>
      <c r="BZ274">
        <v>395215.29333100002</v>
      </c>
      <c r="CA274">
        <v>487679.33099400002</v>
      </c>
      <c r="CB274">
        <v>220558.98496599999</v>
      </c>
      <c r="CC274">
        <v>85.373632999999998</v>
      </c>
      <c r="CD274">
        <v>176725.31411199999</v>
      </c>
      <c r="CE274">
        <v>420442.55567999999</v>
      </c>
      <c r="CF274">
        <v>135750.86744599999</v>
      </c>
      <c r="CG274">
        <v>48050.45</v>
      </c>
      <c r="CH274">
        <v>960020.907396</v>
      </c>
      <c r="CI274">
        <v>2894009.9927380001</v>
      </c>
      <c r="CJ274">
        <v>777795.6</v>
      </c>
    </row>
    <row r="275" spans="58:88" x14ac:dyDescent="0.45">
      <c r="BF275" t="s">
        <v>122</v>
      </c>
      <c r="BG275" t="s">
        <v>165</v>
      </c>
      <c r="BH275" t="s">
        <v>124</v>
      </c>
      <c r="BI275" t="s">
        <v>164</v>
      </c>
      <c r="BJ275" t="s">
        <v>147</v>
      </c>
      <c r="BK275" t="s">
        <v>144</v>
      </c>
      <c r="BL275" t="s">
        <v>146</v>
      </c>
      <c r="BM275" t="s">
        <v>140</v>
      </c>
      <c r="BN275" t="s">
        <v>130</v>
      </c>
      <c r="BO275">
        <v>65.989999999999995</v>
      </c>
      <c r="BP275">
        <v>3</v>
      </c>
      <c r="BQ275">
        <v>541497.4425</v>
      </c>
      <c r="BR275">
        <v>35684.905600999999</v>
      </c>
      <c r="BS275">
        <v>84897.022171000004</v>
      </c>
      <c r="BT275">
        <v>24806.706264</v>
      </c>
      <c r="BU275">
        <v>221543.06477900001</v>
      </c>
      <c r="BV275">
        <v>19346.836712</v>
      </c>
      <c r="BW275">
        <v>69428.369669000007</v>
      </c>
      <c r="BX275">
        <v>88775.206380999996</v>
      </c>
      <c r="BY275">
        <v>60491.611864999999</v>
      </c>
      <c r="BZ275">
        <v>395215.29333100002</v>
      </c>
      <c r="CA275">
        <v>455706.90519600001</v>
      </c>
      <c r="CB275">
        <v>85790.537303999998</v>
      </c>
      <c r="CC275">
        <v>0</v>
      </c>
      <c r="CD275">
        <v>176725.31411199999</v>
      </c>
      <c r="CE275">
        <v>420442.55567999999</v>
      </c>
      <c r="CF275">
        <v>135750.86744599999</v>
      </c>
      <c r="CG275">
        <v>48050.45</v>
      </c>
      <c r="CH275">
        <v>960020.907396</v>
      </c>
      <c r="CI275">
        <v>2894009.9927380001</v>
      </c>
      <c r="CJ275">
        <v>777795.6</v>
      </c>
    </row>
    <row r="276" spans="58:88" x14ac:dyDescent="0.45">
      <c r="BF276" t="s">
        <v>122</v>
      </c>
      <c r="BG276" t="s">
        <v>165</v>
      </c>
      <c r="BH276" t="s">
        <v>124</v>
      </c>
      <c r="BI276" t="s">
        <v>164</v>
      </c>
      <c r="BJ276" t="s">
        <v>148</v>
      </c>
      <c r="BK276" t="s">
        <v>144</v>
      </c>
      <c r="BL276" t="s">
        <v>145</v>
      </c>
      <c r="BM276" t="s">
        <v>129</v>
      </c>
      <c r="BN276" t="s">
        <v>137</v>
      </c>
      <c r="BO276">
        <v>73.560697000000005</v>
      </c>
      <c r="BP276">
        <v>2</v>
      </c>
      <c r="BQ276">
        <v>581497.30978500005</v>
      </c>
      <c r="BR276">
        <v>34708.561377999999</v>
      </c>
      <c r="BS276">
        <v>76951.051896999998</v>
      </c>
      <c r="BT276">
        <v>45261.212662999998</v>
      </c>
      <c r="BU276">
        <v>136013.60096099999</v>
      </c>
      <c r="BV276">
        <v>12689.676584000001</v>
      </c>
      <c r="BW276">
        <v>45538.377665</v>
      </c>
      <c r="BX276">
        <v>58228.054249000001</v>
      </c>
      <c r="BY276">
        <v>79969.774040999997</v>
      </c>
      <c r="BZ276">
        <v>271192.70710699999</v>
      </c>
      <c r="CA276">
        <v>351162.48114799999</v>
      </c>
      <c r="CB276">
        <v>230334.828637</v>
      </c>
      <c r="CC276">
        <v>73.560697000000005</v>
      </c>
      <c r="CD276">
        <v>163130.972564</v>
      </c>
      <c r="CE276">
        <v>361671.57144000003</v>
      </c>
      <c r="CF276">
        <v>123181.196719</v>
      </c>
      <c r="CG276">
        <v>36262.949999999997</v>
      </c>
      <c r="CH276">
        <v>816084.87010599999</v>
      </c>
      <c r="CI276">
        <v>2894009.9927380001</v>
      </c>
      <c r="CJ276">
        <v>777795.6</v>
      </c>
    </row>
    <row r="277" spans="58:88" x14ac:dyDescent="0.45">
      <c r="BF277" t="s">
        <v>122</v>
      </c>
      <c r="BG277" t="s">
        <v>165</v>
      </c>
      <c r="BH277" t="s">
        <v>124</v>
      </c>
      <c r="BI277" t="s">
        <v>164</v>
      </c>
      <c r="BJ277" t="s">
        <v>148</v>
      </c>
      <c r="BK277" t="s">
        <v>144</v>
      </c>
      <c r="BL277" t="s">
        <v>145</v>
      </c>
      <c r="BM277" t="s">
        <v>131</v>
      </c>
      <c r="BN277" t="s">
        <v>130</v>
      </c>
      <c r="BO277">
        <v>58.9</v>
      </c>
      <c r="BP277">
        <v>2</v>
      </c>
      <c r="BQ277">
        <v>429616.6</v>
      </c>
      <c r="BR277">
        <v>27766.849102</v>
      </c>
      <c r="BS277">
        <v>61560.841518000001</v>
      </c>
      <c r="BT277">
        <v>22122.727025</v>
      </c>
      <c r="BU277">
        <v>136013.60096099999</v>
      </c>
      <c r="BV277">
        <v>12689.676584000001</v>
      </c>
      <c r="BW277">
        <v>45538.377665</v>
      </c>
      <c r="BX277">
        <v>58228.054249000001</v>
      </c>
      <c r="BY277">
        <v>49889.576127</v>
      </c>
      <c r="BZ277">
        <v>255802.496728</v>
      </c>
      <c r="CA277">
        <v>305692.07285499998</v>
      </c>
      <c r="CB277">
        <v>123924.527145</v>
      </c>
      <c r="CC277">
        <v>0</v>
      </c>
      <c r="CD277">
        <v>163130.972564</v>
      </c>
      <c r="CE277">
        <v>361671.57144000003</v>
      </c>
      <c r="CF277">
        <v>123181.196719</v>
      </c>
      <c r="CG277">
        <v>36262.949999999997</v>
      </c>
      <c r="CH277">
        <v>816084.87010599999</v>
      </c>
      <c r="CI277">
        <v>2894009.9927380001</v>
      </c>
      <c r="CJ277">
        <v>777795.6</v>
      </c>
    </row>
    <row r="278" spans="58:88" x14ac:dyDescent="0.45">
      <c r="BF278" t="s">
        <v>122</v>
      </c>
      <c r="BG278" t="s">
        <v>165</v>
      </c>
      <c r="BH278" t="s">
        <v>124</v>
      </c>
      <c r="BI278" t="s">
        <v>164</v>
      </c>
      <c r="BJ278" t="s">
        <v>148</v>
      </c>
      <c r="BK278" t="s">
        <v>144</v>
      </c>
      <c r="BL278" t="s">
        <v>145</v>
      </c>
      <c r="BM278" t="s">
        <v>132</v>
      </c>
      <c r="BN278" t="s">
        <v>130</v>
      </c>
      <c r="BO278">
        <v>57.87</v>
      </c>
      <c r="BP278">
        <v>2</v>
      </c>
      <c r="BQ278">
        <v>422103.78</v>
      </c>
      <c r="BR278">
        <v>27766.849102</v>
      </c>
      <c r="BS278">
        <v>61560.841518000001</v>
      </c>
      <c r="BT278">
        <v>21735.814886</v>
      </c>
      <c r="BU278">
        <v>136013.60096099999</v>
      </c>
      <c r="BV278">
        <v>12689.676584000001</v>
      </c>
      <c r="BW278">
        <v>45538.377665</v>
      </c>
      <c r="BX278">
        <v>58228.054249000001</v>
      </c>
      <c r="BY278">
        <v>49502.663988</v>
      </c>
      <c r="BZ278">
        <v>255802.496728</v>
      </c>
      <c r="CA278">
        <v>305305.16071600001</v>
      </c>
      <c r="CB278">
        <v>116798.619284</v>
      </c>
      <c r="CC278">
        <v>0</v>
      </c>
      <c r="CD278">
        <v>163130.972564</v>
      </c>
      <c r="CE278">
        <v>361671.57144000003</v>
      </c>
      <c r="CF278">
        <v>123181.196719</v>
      </c>
      <c r="CG278">
        <v>36262.949999999997</v>
      </c>
      <c r="CH278">
        <v>816084.87010599999</v>
      </c>
      <c r="CI278">
        <v>2894009.9927380001</v>
      </c>
      <c r="CJ278">
        <v>777795.6</v>
      </c>
    </row>
    <row r="279" spans="58:88" x14ac:dyDescent="0.45">
      <c r="BF279" t="s">
        <v>122</v>
      </c>
      <c r="BG279" t="s">
        <v>165</v>
      </c>
      <c r="BH279" t="s">
        <v>124</v>
      </c>
      <c r="BI279" t="s">
        <v>164</v>
      </c>
      <c r="BJ279" t="s">
        <v>148</v>
      </c>
      <c r="BK279" t="s">
        <v>144</v>
      </c>
      <c r="BL279" t="s">
        <v>146</v>
      </c>
      <c r="BM279" t="s">
        <v>139</v>
      </c>
      <c r="BN279" t="s">
        <v>130</v>
      </c>
      <c r="BO279">
        <v>77.728922999999995</v>
      </c>
      <c r="BP279">
        <v>3</v>
      </c>
      <c r="BQ279">
        <v>614447.13631500001</v>
      </c>
      <c r="BR279">
        <v>36444.111794999997</v>
      </c>
      <c r="BS279">
        <v>80798.875746000005</v>
      </c>
      <c r="BT279">
        <v>47825.803027000002</v>
      </c>
      <c r="BU279">
        <v>204021.217527</v>
      </c>
      <c r="BV279">
        <v>19034.591014000001</v>
      </c>
      <c r="BW279">
        <v>68307.839730000007</v>
      </c>
      <c r="BX279">
        <v>87342.430743999998</v>
      </c>
      <c r="BY279">
        <v>84269.914822000006</v>
      </c>
      <c r="BZ279">
        <v>372162.52401699999</v>
      </c>
      <c r="CA279">
        <v>456432.43883900001</v>
      </c>
      <c r="CB279">
        <v>158014.697476</v>
      </c>
      <c r="CC279">
        <v>77.728922999999995</v>
      </c>
      <c r="CD279">
        <v>163130.972564</v>
      </c>
      <c r="CE279">
        <v>361671.57144000003</v>
      </c>
      <c r="CF279">
        <v>123181.196719</v>
      </c>
      <c r="CG279">
        <v>36262.949999999997</v>
      </c>
      <c r="CH279">
        <v>816084.87010599999</v>
      </c>
      <c r="CI279">
        <v>2894009.9927380001</v>
      </c>
      <c r="CJ279">
        <v>777795.6</v>
      </c>
    </row>
    <row r="280" spans="58:88" x14ac:dyDescent="0.45">
      <c r="BF280" t="s">
        <v>122</v>
      </c>
      <c r="BG280" t="s">
        <v>165</v>
      </c>
      <c r="BH280" t="s">
        <v>124</v>
      </c>
      <c r="BI280" t="s">
        <v>164</v>
      </c>
      <c r="BJ280" t="s">
        <v>148</v>
      </c>
      <c r="BK280" t="s">
        <v>144</v>
      </c>
      <c r="BL280" t="s">
        <v>146</v>
      </c>
      <c r="BM280" t="s">
        <v>140</v>
      </c>
      <c r="BN280" t="s">
        <v>130</v>
      </c>
      <c r="BO280">
        <v>59.9</v>
      </c>
      <c r="BP280">
        <v>3</v>
      </c>
      <c r="BQ280">
        <v>468118.5</v>
      </c>
      <c r="BR280">
        <v>36444.111794999997</v>
      </c>
      <c r="BS280">
        <v>80798.875746000005</v>
      </c>
      <c r="BT280">
        <v>22498.306494</v>
      </c>
      <c r="BU280">
        <v>204021.217527</v>
      </c>
      <c r="BV280">
        <v>19034.591014000001</v>
      </c>
      <c r="BW280">
        <v>68307.839730000007</v>
      </c>
      <c r="BX280">
        <v>87342.430743999998</v>
      </c>
      <c r="BY280">
        <v>58942.418289000001</v>
      </c>
      <c r="BZ280">
        <v>372162.52401699999</v>
      </c>
      <c r="CA280">
        <v>431104.94230599998</v>
      </c>
      <c r="CB280">
        <v>37013.557694000003</v>
      </c>
      <c r="CC280">
        <v>0</v>
      </c>
      <c r="CD280">
        <v>163130.972564</v>
      </c>
      <c r="CE280">
        <v>361671.57144000003</v>
      </c>
      <c r="CF280">
        <v>123181.196719</v>
      </c>
      <c r="CG280">
        <v>36262.949999999997</v>
      </c>
      <c r="CH280">
        <v>816084.87010599999</v>
      </c>
      <c r="CI280">
        <v>2894009.9927380001</v>
      </c>
      <c r="CJ280">
        <v>777795.6</v>
      </c>
    </row>
    <row r="281" spans="58:88" x14ac:dyDescent="0.45">
      <c r="BF281" t="s">
        <v>122</v>
      </c>
      <c r="BG281" t="s">
        <v>165</v>
      </c>
      <c r="BH281" t="s">
        <v>124</v>
      </c>
      <c r="BI281" t="s">
        <v>164</v>
      </c>
      <c r="BJ281" t="s">
        <v>149</v>
      </c>
      <c r="BK281" t="s">
        <v>144</v>
      </c>
      <c r="BL281" t="s">
        <v>145</v>
      </c>
      <c r="BM281" t="s">
        <v>129</v>
      </c>
      <c r="BN281" t="s">
        <v>137</v>
      </c>
      <c r="BO281">
        <v>95.228054999999998</v>
      </c>
      <c r="BP281">
        <v>3</v>
      </c>
      <c r="BQ281">
        <v>842082.64475400001</v>
      </c>
      <c r="BR281">
        <v>50978.499301999997</v>
      </c>
      <c r="BS281">
        <v>131866.83644399999</v>
      </c>
      <c r="BT281">
        <v>74019.088342000003</v>
      </c>
      <c r="BU281">
        <v>244529.72655200001</v>
      </c>
      <c r="BV281">
        <v>19748.921548999999</v>
      </c>
      <c r="BW281">
        <v>70871.297787000003</v>
      </c>
      <c r="BX281">
        <v>90620.219335999995</v>
      </c>
      <c r="BY281">
        <v>124997.587644</v>
      </c>
      <c r="BZ281">
        <v>467016.78233199997</v>
      </c>
      <c r="CA281">
        <v>592014.36997600005</v>
      </c>
      <c r="CB281">
        <v>250068.27477799999</v>
      </c>
      <c r="CC281">
        <v>95.228054999999998</v>
      </c>
      <c r="CD281">
        <v>203913.99720799999</v>
      </c>
      <c r="CE281">
        <v>527467.34577599994</v>
      </c>
      <c r="CF281">
        <v>160051.33004500001</v>
      </c>
      <c r="CG281">
        <v>78534.649999999994</v>
      </c>
      <c r="CH281">
        <v>1222648.632762</v>
      </c>
      <c r="CI281">
        <v>2894009.9927380001</v>
      </c>
      <c r="CJ281">
        <v>777795.6</v>
      </c>
    </row>
    <row r="282" spans="58:88" x14ac:dyDescent="0.45">
      <c r="BF282" t="s">
        <v>122</v>
      </c>
      <c r="BG282" t="s">
        <v>165</v>
      </c>
      <c r="BH282" t="s">
        <v>124</v>
      </c>
      <c r="BI282" t="s">
        <v>164</v>
      </c>
      <c r="BJ282" t="s">
        <v>149</v>
      </c>
      <c r="BK282" t="s">
        <v>144</v>
      </c>
      <c r="BL282" t="s">
        <v>145</v>
      </c>
      <c r="BM282" t="s">
        <v>131</v>
      </c>
      <c r="BN282" t="s">
        <v>130</v>
      </c>
      <c r="BO282">
        <v>77.17</v>
      </c>
      <c r="BP282">
        <v>3</v>
      </c>
      <c r="BQ282">
        <v>630423.33759999997</v>
      </c>
      <c r="BR282">
        <v>40782.799442000003</v>
      </c>
      <c r="BS282">
        <v>105493.469155</v>
      </c>
      <c r="BT282">
        <v>29038.753014999998</v>
      </c>
      <c r="BU282">
        <v>244529.72655200001</v>
      </c>
      <c r="BV282">
        <v>19748.921548999999</v>
      </c>
      <c r="BW282">
        <v>70871.297787000003</v>
      </c>
      <c r="BX282">
        <v>90620.219335999995</v>
      </c>
      <c r="BY282">
        <v>69821.552456999998</v>
      </c>
      <c r="BZ282">
        <v>440643.41504300002</v>
      </c>
      <c r="CA282">
        <v>510464.96750000003</v>
      </c>
      <c r="CB282">
        <v>119958.3701</v>
      </c>
      <c r="CC282">
        <v>0</v>
      </c>
      <c r="CD282">
        <v>203913.99720799999</v>
      </c>
      <c r="CE282">
        <v>527467.34577599994</v>
      </c>
      <c r="CF282">
        <v>160051.33004500001</v>
      </c>
      <c r="CG282">
        <v>78534.649999999994</v>
      </c>
      <c r="CH282">
        <v>1222648.632762</v>
      </c>
      <c r="CI282">
        <v>2894009.9927380001</v>
      </c>
      <c r="CJ282">
        <v>777795.6</v>
      </c>
    </row>
    <row r="283" spans="58:88" x14ac:dyDescent="0.45">
      <c r="BF283" t="s">
        <v>122</v>
      </c>
      <c r="BG283" t="s">
        <v>165</v>
      </c>
      <c r="BH283" t="s">
        <v>124</v>
      </c>
      <c r="BI283" t="s">
        <v>164</v>
      </c>
      <c r="BJ283" t="s">
        <v>149</v>
      </c>
      <c r="BK283" t="s">
        <v>144</v>
      </c>
      <c r="BL283" t="s">
        <v>145</v>
      </c>
      <c r="BM283" t="s">
        <v>132</v>
      </c>
      <c r="BN283" t="s">
        <v>130</v>
      </c>
      <c r="BO283">
        <v>75.14</v>
      </c>
      <c r="BP283">
        <v>3</v>
      </c>
      <c r="BQ283">
        <v>613839.69920000003</v>
      </c>
      <c r="BR283">
        <v>40782.799442000003</v>
      </c>
      <c r="BS283">
        <v>105493.469155</v>
      </c>
      <c r="BT283">
        <v>28274.828017</v>
      </c>
      <c r="BU283">
        <v>244529.72655200001</v>
      </c>
      <c r="BV283">
        <v>19748.921548999999</v>
      </c>
      <c r="BW283">
        <v>70871.297787000003</v>
      </c>
      <c r="BX283">
        <v>90620.219335999995</v>
      </c>
      <c r="BY283">
        <v>69057.627458999996</v>
      </c>
      <c r="BZ283">
        <v>440643.41504300002</v>
      </c>
      <c r="CA283">
        <v>509701.042502</v>
      </c>
      <c r="CB283">
        <v>104138.65669800001</v>
      </c>
      <c r="CC283">
        <v>0</v>
      </c>
      <c r="CD283">
        <v>203913.99720799999</v>
      </c>
      <c r="CE283">
        <v>527467.34577599994</v>
      </c>
      <c r="CF283">
        <v>160051.33004500001</v>
      </c>
      <c r="CG283">
        <v>78534.649999999994</v>
      </c>
      <c r="CH283">
        <v>1222648.632762</v>
      </c>
      <c r="CI283">
        <v>2894009.9927380001</v>
      </c>
      <c r="CJ283">
        <v>777795.6</v>
      </c>
    </row>
    <row r="284" spans="58:88" x14ac:dyDescent="0.45">
      <c r="BF284" t="s">
        <v>122</v>
      </c>
      <c r="BG284" t="s">
        <v>165</v>
      </c>
      <c r="BH284" t="s">
        <v>124</v>
      </c>
      <c r="BI284" t="s">
        <v>164</v>
      </c>
      <c r="BJ284" t="s">
        <v>149</v>
      </c>
      <c r="BK284" t="s">
        <v>144</v>
      </c>
      <c r="BL284" t="s">
        <v>146</v>
      </c>
      <c r="BM284" t="s">
        <v>139</v>
      </c>
      <c r="BN284" t="s">
        <v>130</v>
      </c>
      <c r="BO284">
        <v>100.625128</v>
      </c>
      <c r="BP284">
        <v>3</v>
      </c>
      <c r="BQ284">
        <v>889807.88187799999</v>
      </c>
      <c r="BR284">
        <v>35684.949510999999</v>
      </c>
      <c r="BS284">
        <v>92306.785510999995</v>
      </c>
      <c r="BT284">
        <v>78214.159018999999</v>
      </c>
      <c r="BU284">
        <v>244529.72655200001</v>
      </c>
      <c r="BV284">
        <v>19748.921548999999</v>
      </c>
      <c r="BW284">
        <v>70871.297787000003</v>
      </c>
      <c r="BX284">
        <v>90620.219335999995</v>
      </c>
      <c r="BY284">
        <v>113899.10853</v>
      </c>
      <c r="BZ284">
        <v>427456.73139899998</v>
      </c>
      <c r="CA284">
        <v>541355.83992900001</v>
      </c>
      <c r="CB284">
        <v>348452.04194899998</v>
      </c>
      <c r="CC284">
        <v>100.625128</v>
      </c>
      <c r="CD284">
        <v>203913.99720799999</v>
      </c>
      <c r="CE284">
        <v>527467.34577599994</v>
      </c>
      <c r="CF284">
        <v>160051.33004500001</v>
      </c>
      <c r="CG284">
        <v>78534.649999999994</v>
      </c>
      <c r="CH284">
        <v>1222648.632762</v>
      </c>
      <c r="CI284">
        <v>2894009.9927380001</v>
      </c>
      <c r="CJ284">
        <v>777795.6</v>
      </c>
    </row>
    <row r="285" spans="58:88" x14ac:dyDescent="0.45">
      <c r="BF285" t="s">
        <v>122</v>
      </c>
      <c r="BG285" t="s">
        <v>165</v>
      </c>
      <c r="BH285" t="s">
        <v>124</v>
      </c>
      <c r="BI285" t="s">
        <v>164</v>
      </c>
      <c r="BJ285" t="s">
        <v>149</v>
      </c>
      <c r="BK285" t="s">
        <v>144</v>
      </c>
      <c r="BL285" t="s">
        <v>146</v>
      </c>
      <c r="BM285" t="s">
        <v>140</v>
      </c>
      <c r="BN285" t="s">
        <v>130</v>
      </c>
      <c r="BO285">
        <v>77.17</v>
      </c>
      <c r="BP285">
        <v>3</v>
      </c>
      <c r="BQ285">
        <v>675453.576</v>
      </c>
      <c r="BR285">
        <v>35684.949510999999</v>
      </c>
      <c r="BS285">
        <v>92306.785510999995</v>
      </c>
      <c r="BT285">
        <v>29038.753014999998</v>
      </c>
      <c r="BU285">
        <v>244529.72655200001</v>
      </c>
      <c r="BV285">
        <v>19748.921548999999</v>
      </c>
      <c r="BW285">
        <v>70871.297787000003</v>
      </c>
      <c r="BX285">
        <v>90620.219335999995</v>
      </c>
      <c r="BY285">
        <v>64723.702526000001</v>
      </c>
      <c r="BZ285">
        <v>427456.73139899998</v>
      </c>
      <c r="CA285">
        <v>492180.43392500002</v>
      </c>
      <c r="CB285">
        <v>183273.14207500001</v>
      </c>
      <c r="CC285">
        <v>0</v>
      </c>
      <c r="CD285">
        <v>203913.99720799999</v>
      </c>
      <c r="CE285">
        <v>527467.34577599994</v>
      </c>
      <c r="CF285">
        <v>160051.33004500001</v>
      </c>
      <c r="CG285">
        <v>78534.649999999994</v>
      </c>
      <c r="CH285">
        <v>1222648.632762</v>
      </c>
      <c r="CI285">
        <v>2894009.9927380001</v>
      </c>
      <c r="CJ285">
        <v>777795.6</v>
      </c>
    </row>
    <row r="286" spans="58:88" x14ac:dyDescent="0.45">
      <c r="BF286" t="s">
        <v>122</v>
      </c>
      <c r="BG286" t="s">
        <v>165</v>
      </c>
      <c r="BH286" t="s">
        <v>124</v>
      </c>
      <c r="BI286" t="s">
        <v>164</v>
      </c>
      <c r="BJ286" t="s">
        <v>150</v>
      </c>
      <c r="BK286" t="s">
        <v>151</v>
      </c>
      <c r="BL286" t="s">
        <v>152</v>
      </c>
      <c r="BM286" t="s">
        <v>153</v>
      </c>
      <c r="BN286" t="s">
        <v>130</v>
      </c>
      <c r="BO286">
        <v>46.478135000000002</v>
      </c>
      <c r="BP286">
        <v>2</v>
      </c>
      <c r="BQ286">
        <v>283206.61433999997</v>
      </c>
      <c r="BR286">
        <v>26805.371391000001</v>
      </c>
      <c r="BS286">
        <v>47324.717869</v>
      </c>
      <c r="BT286">
        <v>26558.117321000002</v>
      </c>
      <c r="BU286">
        <v>70147.486185000002</v>
      </c>
      <c r="BV286">
        <v>7992.52945</v>
      </c>
      <c r="BW286">
        <v>33085.341631000003</v>
      </c>
      <c r="BX286">
        <v>41077.871080999998</v>
      </c>
      <c r="BY286">
        <v>53363.488711999998</v>
      </c>
      <c r="BZ286">
        <v>158550.07513499999</v>
      </c>
      <c r="CA286">
        <v>211913.56384700001</v>
      </c>
      <c r="CB286">
        <v>71293.050493000002</v>
      </c>
      <c r="CC286">
        <v>46.478135000000002</v>
      </c>
      <c r="CD286">
        <v>108753.60637199999</v>
      </c>
      <c r="CE286">
        <v>192003.82131</v>
      </c>
      <c r="CF286">
        <v>59496.216244000003</v>
      </c>
      <c r="CG286">
        <v>25263.200000000001</v>
      </c>
      <c r="CH286">
        <v>350737.430926</v>
      </c>
      <c r="CI286">
        <v>2894009.9927380001</v>
      </c>
      <c r="CJ286">
        <v>777795.6</v>
      </c>
    </row>
    <row r="287" spans="58:88" x14ac:dyDescent="0.45">
      <c r="BF287" t="s">
        <v>122</v>
      </c>
      <c r="BG287" t="s">
        <v>165</v>
      </c>
      <c r="BH287" t="s">
        <v>124</v>
      </c>
      <c r="BI287" t="s">
        <v>164</v>
      </c>
      <c r="BJ287" t="s">
        <v>150</v>
      </c>
      <c r="BK287" t="s">
        <v>151</v>
      </c>
      <c r="BL287" t="s">
        <v>152</v>
      </c>
      <c r="BM287" t="s">
        <v>154</v>
      </c>
      <c r="BN287" t="s">
        <v>130</v>
      </c>
      <c r="BO287">
        <v>35.54</v>
      </c>
      <c r="BP287">
        <v>2</v>
      </c>
      <c r="BQ287">
        <v>213358.34820000001</v>
      </c>
      <c r="BR287">
        <v>26805.371391000001</v>
      </c>
      <c r="BS287">
        <v>47324.717869</v>
      </c>
      <c r="BT287">
        <v>10649.049257000001</v>
      </c>
      <c r="BU287">
        <v>70147.486185000002</v>
      </c>
      <c r="BV287">
        <v>7992.52945</v>
      </c>
      <c r="BW287">
        <v>33085.341631000003</v>
      </c>
      <c r="BX287">
        <v>41077.871080999998</v>
      </c>
      <c r="BY287">
        <v>37454.420647999999</v>
      </c>
      <c r="BZ287">
        <v>158550.07513499999</v>
      </c>
      <c r="CA287">
        <v>196004.49578299999</v>
      </c>
      <c r="CB287">
        <v>17353.852416999998</v>
      </c>
      <c r="CC287">
        <v>0</v>
      </c>
      <c r="CD287">
        <v>108753.60637199999</v>
      </c>
      <c r="CE287">
        <v>192003.82131</v>
      </c>
      <c r="CF287">
        <v>59496.216244000003</v>
      </c>
      <c r="CG287">
        <v>25263.200000000001</v>
      </c>
      <c r="CH287">
        <v>350737.430926</v>
      </c>
      <c r="CI287">
        <v>2894009.9927380001</v>
      </c>
      <c r="CJ287">
        <v>777795.6</v>
      </c>
    </row>
    <row r="288" spans="58:88" x14ac:dyDescent="0.45">
      <c r="BF288" t="s">
        <v>122</v>
      </c>
      <c r="BG288" t="s">
        <v>165</v>
      </c>
      <c r="BH288" t="s">
        <v>124</v>
      </c>
      <c r="BI288" t="s">
        <v>164</v>
      </c>
      <c r="BJ288" t="s">
        <v>150</v>
      </c>
      <c r="BK288" t="s">
        <v>151</v>
      </c>
      <c r="BL288" t="s">
        <v>155</v>
      </c>
      <c r="BM288" t="s">
        <v>129</v>
      </c>
      <c r="BN288" t="s">
        <v>130</v>
      </c>
      <c r="BO288">
        <v>46.478135000000002</v>
      </c>
      <c r="BP288">
        <v>2</v>
      </c>
      <c r="BQ288">
        <v>329710.544704</v>
      </c>
      <c r="BR288">
        <v>18380.882027</v>
      </c>
      <c r="BS288">
        <v>32451.333855000001</v>
      </c>
      <c r="BT288">
        <v>26558.117321000002</v>
      </c>
      <c r="BU288">
        <v>70147.486185000002</v>
      </c>
      <c r="BV288">
        <v>7992.52945</v>
      </c>
      <c r="BW288">
        <v>33085.341631000003</v>
      </c>
      <c r="BX288">
        <v>41077.871080999998</v>
      </c>
      <c r="BY288">
        <v>44938.999347999998</v>
      </c>
      <c r="BZ288">
        <v>143676.69112100001</v>
      </c>
      <c r="CA288">
        <v>188615.69046899999</v>
      </c>
      <c r="CB288">
        <v>141094.85423500001</v>
      </c>
      <c r="CC288">
        <v>46.478135000000002</v>
      </c>
      <c r="CD288">
        <v>108753.60637199999</v>
      </c>
      <c r="CE288">
        <v>192003.82131</v>
      </c>
      <c r="CF288">
        <v>59496.216244000003</v>
      </c>
      <c r="CG288">
        <v>25263.200000000001</v>
      </c>
      <c r="CH288">
        <v>350737.430926</v>
      </c>
      <c r="CI288">
        <v>2894009.9927380001</v>
      </c>
      <c r="CJ288">
        <v>777795.6</v>
      </c>
    </row>
    <row r="289" spans="58:88" x14ac:dyDescent="0.45">
      <c r="BF289" t="s">
        <v>122</v>
      </c>
      <c r="BG289" t="s">
        <v>165</v>
      </c>
      <c r="BH289" t="s">
        <v>124</v>
      </c>
      <c r="BI289" t="s">
        <v>164</v>
      </c>
      <c r="BJ289" t="s">
        <v>150</v>
      </c>
      <c r="BK289" t="s">
        <v>151</v>
      </c>
      <c r="BL289" t="s">
        <v>155</v>
      </c>
      <c r="BM289" t="s">
        <v>131</v>
      </c>
      <c r="BN289" t="s">
        <v>130</v>
      </c>
      <c r="BO289">
        <v>35.54</v>
      </c>
      <c r="BP289">
        <v>2</v>
      </c>
      <c r="BQ289">
        <v>248918.0729</v>
      </c>
      <c r="BR289">
        <v>18380.882027</v>
      </c>
      <c r="BS289">
        <v>32451.333855000001</v>
      </c>
      <c r="BT289">
        <v>10649.049257000001</v>
      </c>
      <c r="BU289">
        <v>70147.486185000002</v>
      </c>
      <c r="BV289">
        <v>7992.52945</v>
      </c>
      <c r="BW289">
        <v>33085.341631000003</v>
      </c>
      <c r="BX289">
        <v>41077.871080999998</v>
      </c>
      <c r="BY289">
        <v>29029.931283999998</v>
      </c>
      <c r="BZ289">
        <v>143676.69112100001</v>
      </c>
      <c r="CA289">
        <v>172706.622405</v>
      </c>
      <c r="CB289">
        <v>76211.450494999997</v>
      </c>
      <c r="CC289">
        <v>0</v>
      </c>
      <c r="CD289">
        <v>108753.60637199999</v>
      </c>
      <c r="CE289">
        <v>192003.82131</v>
      </c>
      <c r="CF289">
        <v>59496.216244000003</v>
      </c>
      <c r="CG289">
        <v>25263.200000000001</v>
      </c>
      <c r="CH289">
        <v>350737.430926</v>
      </c>
      <c r="CI289">
        <v>2894009.9927380001</v>
      </c>
      <c r="CJ289">
        <v>777795.6</v>
      </c>
    </row>
    <row r="290" spans="58:88" x14ac:dyDescent="0.45">
      <c r="BF290" t="s">
        <v>122</v>
      </c>
      <c r="BG290" t="s">
        <v>165</v>
      </c>
      <c r="BH290" t="s">
        <v>124</v>
      </c>
      <c r="BI290" t="s">
        <v>164</v>
      </c>
      <c r="BJ290" t="s">
        <v>150</v>
      </c>
      <c r="BK290" t="s">
        <v>151</v>
      </c>
      <c r="BL290" t="s">
        <v>155</v>
      </c>
      <c r="BM290" t="s">
        <v>132</v>
      </c>
      <c r="BN290" t="s">
        <v>130</v>
      </c>
      <c r="BO290">
        <v>34.524999999999999</v>
      </c>
      <c r="BP290">
        <v>2</v>
      </c>
      <c r="BQ290">
        <v>241809.129625</v>
      </c>
      <c r="BR290">
        <v>18380.882027</v>
      </c>
      <c r="BS290">
        <v>32451.333855000001</v>
      </c>
      <c r="BT290">
        <v>10344.904599</v>
      </c>
      <c r="BU290">
        <v>70147.486185000002</v>
      </c>
      <c r="BV290">
        <v>7992.52945</v>
      </c>
      <c r="BW290">
        <v>33085.341631000003</v>
      </c>
      <c r="BX290">
        <v>41077.871080999998</v>
      </c>
      <c r="BY290">
        <v>28725.786626000001</v>
      </c>
      <c r="BZ290">
        <v>143676.69112100001</v>
      </c>
      <c r="CA290">
        <v>172402.477747</v>
      </c>
      <c r="CB290">
        <v>69406.651878000004</v>
      </c>
      <c r="CC290">
        <v>0</v>
      </c>
      <c r="CD290">
        <v>108753.60637199999</v>
      </c>
      <c r="CE290">
        <v>192003.82131</v>
      </c>
      <c r="CF290">
        <v>59496.216244000003</v>
      </c>
      <c r="CG290">
        <v>25263.200000000001</v>
      </c>
      <c r="CH290">
        <v>350737.430926</v>
      </c>
      <c r="CI290">
        <v>2894009.9927380001</v>
      </c>
      <c r="CJ290">
        <v>777795.6</v>
      </c>
    </row>
    <row r="291" spans="58:88" x14ac:dyDescent="0.45">
      <c r="BF291" t="s">
        <v>122</v>
      </c>
      <c r="BG291" t="s">
        <v>165</v>
      </c>
      <c r="BH291" t="s">
        <v>124</v>
      </c>
      <c r="BI291" t="s">
        <v>164</v>
      </c>
      <c r="BJ291" t="s">
        <v>156</v>
      </c>
      <c r="BK291" t="s">
        <v>151</v>
      </c>
      <c r="BL291" t="s">
        <v>155</v>
      </c>
      <c r="BM291" t="s">
        <v>132</v>
      </c>
      <c r="BN291" t="s">
        <v>130</v>
      </c>
      <c r="BO291">
        <v>44.674999999999997</v>
      </c>
      <c r="BP291">
        <v>2</v>
      </c>
      <c r="BQ291">
        <v>338704.62937500002</v>
      </c>
      <c r="BR291">
        <v>18380.882027</v>
      </c>
      <c r="BS291">
        <v>42848.246782000002</v>
      </c>
      <c r="BT291">
        <v>13383.727715000001</v>
      </c>
      <c r="BU291">
        <v>108760.799506</v>
      </c>
      <c r="BV291">
        <v>10245.825777</v>
      </c>
      <c r="BW291">
        <v>42412.936758999997</v>
      </c>
      <c r="BX291">
        <v>52658.762536000002</v>
      </c>
      <c r="BY291">
        <v>31764.609742000001</v>
      </c>
      <c r="BZ291">
        <v>204267.80882400001</v>
      </c>
      <c r="CA291">
        <v>236032.41856600001</v>
      </c>
      <c r="CB291">
        <v>102672.210809</v>
      </c>
      <c r="CC291">
        <v>0</v>
      </c>
      <c r="CD291">
        <v>108753.60637199999</v>
      </c>
      <c r="CE291">
        <v>253518.92022</v>
      </c>
      <c r="CF291">
        <v>76255.777214000002</v>
      </c>
      <c r="CG291">
        <v>42103.8</v>
      </c>
      <c r="CH291">
        <v>543803.99753199995</v>
      </c>
      <c r="CI291">
        <v>2894009.9927380001</v>
      </c>
      <c r="CJ291">
        <v>777795.6</v>
      </c>
    </row>
    <row r="292" spans="58:88" x14ac:dyDescent="0.45">
      <c r="BF292" t="s">
        <v>122</v>
      </c>
      <c r="BG292" t="s">
        <v>165</v>
      </c>
      <c r="BH292" t="s">
        <v>124</v>
      </c>
      <c r="BI292" t="s">
        <v>164</v>
      </c>
      <c r="BJ292" t="s">
        <v>156</v>
      </c>
      <c r="BK292" t="s">
        <v>151</v>
      </c>
      <c r="BL292" t="s">
        <v>155</v>
      </c>
      <c r="BM292" t="s">
        <v>131</v>
      </c>
      <c r="BN292" t="s">
        <v>130</v>
      </c>
      <c r="BO292">
        <v>45.69</v>
      </c>
      <c r="BP292">
        <v>2</v>
      </c>
      <c r="BQ292">
        <v>346399.87725000002</v>
      </c>
      <c r="BR292">
        <v>18380.882027</v>
      </c>
      <c r="BS292">
        <v>42848.246782000002</v>
      </c>
      <c r="BT292">
        <v>13687.835754</v>
      </c>
      <c r="BU292">
        <v>108760.799506</v>
      </c>
      <c r="BV292">
        <v>10245.825777</v>
      </c>
      <c r="BW292">
        <v>42412.936758999997</v>
      </c>
      <c r="BX292">
        <v>52658.762536000002</v>
      </c>
      <c r="BY292">
        <v>32068.717780999999</v>
      </c>
      <c r="BZ292">
        <v>204267.80882400001</v>
      </c>
      <c r="CA292">
        <v>236336.52660499999</v>
      </c>
      <c r="CB292">
        <v>110063.350645</v>
      </c>
      <c r="CC292">
        <v>0</v>
      </c>
      <c r="CD292">
        <v>108753.60637199999</v>
      </c>
      <c r="CE292">
        <v>253518.92022</v>
      </c>
      <c r="CF292">
        <v>76255.777214000002</v>
      </c>
      <c r="CG292">
        <v>42103.8</v>
      </c>
      <c r="CH292">
        <v>543803.99753199995</v>
      </c>
      <c r="CI292">
        <v>2894009.9927380001</v>
      </c>
      <c r="CJ292">
        <v>777795.6</v>
      </c>
    </row>
    <row r="293" spans="58:88" x14ac:dyDescent="0.45">
      <c r="BF293" t="s">
        <v>122</v>
      </c>
      <c r="BG293" t="s">
        <v>165</v>
      </c>
      <c r="BH293" t="s">
        <v>124</v>
      </c>
      <c r="BI293" t="s">
        <v>164</v>
      </c>
      <c r="BJ293" t="s">
        <v>156</v>
      </c>
      <c r="BK293" t="s">
        <v>151</v>
      </c>
      <c r="BL293" t="s">
        <v>152</v>
      </c>
      <c r="BM293" t="s">
        <v>153</v>
      </c>
      <c r="BN293" t="s">
        <v>130</v>
      </c>
      <c r="BO293">
        <v>59.243082999999999</v>
      </c>
      <c r="BP293">
        <v>2</v>
      </c>
      <c r="BQ293">
        <v>390320.09019100002</v>
      </c>
      <c r="BR293">
        <v>26805.371391000001</v>
      </c>
      <c r="BS293">
        <v>62486.836417999999</v>
      </c>
      <c r="BT293">
        <v>38799.974611999998</v>
      </c>
      <c r="BU293">
        <v>108760.799506</v>
      </c>
      <c r="BV293">
        <v>10245.825777</v>
      </c>
      <c r="BW293">
        <v>42412.936758999997</v>
      </c>
      <c r="BX293">
        <v>52658.762536000002</v>
      </c>
      <c r="BY293">
        <v>65605.346002999999</v>
      </c>
      <c r="BZ293">
        <v>223906.39846</v>
      </c>
      <c r="CA293">
        <v>289511.74446299998</v>
      </c>
      <c r="CB293">
        <v>100808.345728</v>
      </c>
      <c r="CC293">
        <v>59.243082999999999</v>
      </c>
      <c r="CD293">
        <v>108753.60637199999</v>
      </c>
      <c r="CE293">
        <v>253518.92022</v>
      </c>
      <c r="CF293">
        <v>76255.777214000002</v>
      </c>
      <c r="CG293">
        <v>42103.8</v>
      </c>
      <c r="CH293">
        <v>543803.99753199995</v>
      </c>
      <c r="CI293">
        <v>2894009.9927380001</v>
      </c>
      <c r="CJ293">
        <v>777795.6</v>
      </c>
    </row>
    <row r="294" spans="58:88" x14ac:dyDescent="0.45">
      <c r="BF294" t="s">
        <v>122</v>
      </c>
      <c r="BG294" t="s">
        <v>165</v>
      </c>
      <c r="BH294" t="s">
        <v>124</v>
      </c>
      <c r="BI294" t="s">
        <v>164</v>
      </c>
      <c r="BJ294" t="s">
        <v>156</v>
      </c>
      <c r="BK294" t="s">
        <v>151</v>
      </c>
      <c r="BL294" t="s">
        <v>152</v>
      </c>
      <c r="BM294" t="s">
        <v>154</v>
      </c>
      <c r="BN294" t="s">
        <v>130</v>
      </c>
      <c r="BO294">
        <v>45.69</v>
      </c>
      <c r="BP294">
        <v>2</v>
      </c>
      <c r="BQ294">
        <v>296914.18050000002</v>
      </c>
      <c r="BR294">
        <v>26805.371391000001</v>
      </c>
      <c r="BS294">
        <v>62486.836417999999</v>
      </c>
      <c r="BT294">
        <v>13687.835754</v>
      </c>
      <c r="BU294">
        <v>108760.799506</v>
      </c>
      <c r="BV294">
        <v>10245.825777</v>
      </c>
      <c r="BW294">
        <v>42412.936758999997</v>
      </c>
      <c r="BX294">
        <v>52658.762536000002</v>
      </c>
      <c r="BY294">
        <v>40493.207145</v>
      </c>
      <c r="BZ294">
        <v>223906.39846</v>
      </c>
      <c r="CA294">
        <v>264399.60560499999</v>
      </c>
      <c r="CB294">
        <v>32514.574895000002</v>
      </c>
      <c r="CC294">
        <v>0</v>
      </c>
      <c r="CD294">
        <v>108753.60637199999</v>
      </c>
      <c r="CE294">
        <v>253518.92022</v>
      </c>
      <c r="CF294">
        <v>76255.777214000002</v>
      </c>
      <c r="CG294">
        <v>42103.8</v>
      </c>
      <c r="CH294">
        <v>543803.99753199995</v>
      </c>
      <c r="CI294">
        <v>2894009.9927380001</v>
      </c>
      <c r="CJ294">
        <v>777795.6</v>
      </c>
    </row>
    <row r="295" spans="58:88" x14ac:dyDescent="0.45">
      <c r="BF295" t="s">
        <v>122</v>
      </c>
      <c r="BG295" t="s">
        <v>165</v>
      </c>
      <c r="BH295" t="s">
        <v>124</v>
      </c>
      <c r="BI295" t="s">
        <v>164</v>
      </c>
      <c r="BJ295" t="s">
        <v>156</v>
      </c>
      <c r="BK295" t="s">
        <v>151</v>
      </c>
      <c r="BL295" t="s">
        <v>155</v>
      </c>
      <c r="BM295" t="s">
        <v>129</v>
      </c>
      <c r="BN295" t="s">
        <v>130</v>
      </c>
      <c r="BO295">
        <v>59.243082999999999</v>
      </c>
      <c r="BP295">
        <v>2</v>
      </c>
      <c r="BQ295">
        <v>454484.79231200001</v>
      </c>
      <c r="BR295">
        <v>18380.882027</v>
      </c>
      <c r="BS295">
        <v>42848.246782000002</v>
      </c>
      <c r="BT295">
        <v>38799.974611999998</v>
      </c>
      <c r="BU295">
        <v>108760.799506</v>
      </c>
      <c r="BV295">
        <v>10245.825777</v>
      </c>
      <c r="BW295">
        <v>42412.936758999997</v>
      </c>
      <c r="BX295">
        <v>52658.762536000002</v>
      </c>
      <c r="BY295">
        <v>57180.856638999998</v>
      </c>
      <c r="BZ295">
        <v>204267.80882400001</v>
      </c>
      <c r="CA295">
        <v>261448.66546300001</v>
      </c>
      <c r="CB295">
        <v>193036.12684899999</v>
      </c>
      <c r="CC295">
        <v>59.243082999999999</v>
      </c>
      <c r="CD295">
        <v>108753.60637199999</v>
      </c>
      <c r="CE295">
        <v>253518.92022</v>
      </c>
      <c r="CF295">
        <v>76255.777214000002</v>
      </c>
      <c r="CG295">
        <v>42103.8</v>
      </c>
      <c r="CH295">
        <v>543803.99753199995</v>
      </c>
      <c r="CI295">
        <v>2894009.9927380001</v>
      </c>
      <c r="CJ295">
        <v>777795.6</v>
      </c>
    </row>
    <row r="296" spans="58:88" x14ac:dyDescent="0.45">
      <c r="BF296" t="s">
        <v>122</v>
      </c>
      <c r="BG296" t="s">
        <v>165</v>
      </c>
      <c r="BH296" t="s">
        <v>124</v>
      </c>
      <c r="BI296" t="s">
        <v>164</v>
      </c>
      <c r="BJ296" t="s">
        <v>157</v>
      </c>
      <c r="BK296" t="s">
        <v>158</v>
      </c>
      <c r="BL296" t="s">
        <v>159</v>
      </c>
      <c r="BM296" t="s">
        <v>129</v>
      </c>
      <c r="BN296" t="s">
        <v>130</v>
      </c>
      <c r="BO296">
        <v>51.592495</v>
      </c>
      <c r="BP296">
        <v>2</v>
      </c>
      <c r="BQ296">
        <v>397783.94060600002</v>
      </c>
      <c r="BR296">
        <v>27188.655907</v>
      </c>
      <c r="BS296">
        <v>65118.826424999999</v>
      </c>
      <c r="BT296">
        <v>41165.524675000001</v>
      </c>
      <c r="BU296">
        <v>126208.896567</v>
      </c>
      <c r="BV296">
        <v>9951.1151300000001</v>
      </c>
      <c r="BW296">
        <v>36040.093052999997</v>
      </c>
      <c r="BX296">
        <v>45991.208183000002</v>
      </c>
      <c r="BY296">
        <v>68354.180582000001</v>
      </c>
      <c r="BZ296">
        <v>237318.93117500001</v>
      </c>
      <c r="CA296">
        <v>305673.11175699998</v>
      </c>
      <c r="CB296">
        <v>92110.828848999998</v>
      </c>
      <c r="CC296">
        <v>51.592495</v>
      </c>
      <c r="CD296">
        <v>81566.049287999995</v>
      </c>
      <c r="CE296">
        <v>195356.67463200001</v>
      </c>
      <c r="CF296">
        <v>49020.927630999999</v>
      </c>
      <c r="CG296">
        <v>21677.5</v>
      </c>
      <c r="CH296">
        <v>378627.06832899997</v>
      </c>
      <c r="CI296">
        <v>2894009.9927380001</v>
      </c>
      <c r="CJ296">
        <v>777795.6</v>
      </c>
    </row>
    <row r="297" spans="58:88" x14ac:dyDescent="0.45">
      <c r="BF297" t="s">
        <v>122</v>
      </c>
      <c r="BG297" t="s">
        <v>165</v>
      </c>
      <c r="BH297" t="s">
        <v>124</v>
      </c>
      <c r="BI297" t="s">
        <v>164</v>
      </c>
      <c r="BJ297" t="s">
        <v>157</v>
      </c>
      <c r="BK297" t="s">
        <v>158</v>
      </c>
      <c r="BL297" t="s">
        <v>159</v>
      </c>
      <c r="BM297" t="s">
        <v>131</v>
      </c>
      <c r="BN297" t="s">
        <v>130</v>
      </c>
      <c r="BO297">
        <v>39.6</v>
      </c>
      <c r="BP297">
        <v>2</v>
      </c>
      <c r="BQ297">
        <v>301756.45500000002</v>
      </c>
      <c r="BR297">
        <v>27188.655907</v>
      </c>
      <c r="BS297">
        <v>65118.826424999999</v>
      </c>
      <c r="BT297">
        <v>14958.098795</v>
      </c>
      <c r="BU297">
        <v>126208.896567</v>
      </c>
      <c r="BV297">
        <v>9951.1151300000001</v>
      </c>
      <c r="BW297">
        <v>36040.093052999997</v>
      </c>
      <c r="BX297">
        <v>45991.208183000002</v>
      </c>
      <c r="BY297">
        <v>42146.754701999998</v>
      </c>
      <c r="BZ297">
        <v>237318.93117500001</v>
      </c>
      <c r="CA297">
        <v>279465.68587699998</v>
      </c>
      <c r="CB297">
        <v>22290.769122999998</v>
      </c>
      <c r="CC297">
        <v>0</v>
      </c>
      <c r="CD297">
        <v>81566.049287999995</v>
      </c>
      <c r="CE297">
        <v>195356.67463200001</v>
      </c>
      <c r="CF297">
        <v>49020.927630999999</v>
      </c>
      <c r="CG297">
        <v>21677.5</v>
      </c>
      <c r="CH297">
        <v>378627.06832899997</v>
      </c>
      <c r="CI297">
        <v>2894009.9927380001</v>
      </c>
      <c r="CJ297">
        <v>777795.6</v>
      </c>
    </row>
    <row r="298" spans="58:88" x14ac:dyDescent="0.45">
      <c r="BF298" t="s">
        <v>122</v>
      </c>
      <c r="BG298" t="s">
        <v>165</v>
      </c>
      <c r="BH298" t="s">
        <v>124</v>
      </c>
      <c r="BI298" t="s">
        <v>164</v>
      </c>
      <c r="BJ298" t="s">
        <v>157</v>
      </c>
      <c r="BK298" t="s">
        <v>158</v>
      </c>
      <c r="BL298" t="s">
        <v>159</v>
      </c>
      <c r="BM298" t="s">
        <v>132</v>
      </c>
      <c r="BN298" t="s">
        <v>130</v>
      </c>
      <c r="BO298">
        <v>38.585000000000001</v>
      </c>
      <c r="BP298">
        <v>2</v>
      </c>
      <c r="BQ298">
        <v>294022.040813</v>
      </c>
      <c r="BR298">
        <v>27188.655907</v>
      </c>
      <c r="BS298">
        <v>65118.826424999999</v>
      </c>
      <c r="BT298">
        <v>14574.706120000001</v>
      </c>
      <c r="BU298">
        <v>126208.896567</v>
      </c>
      <c r="BV298">
        <v>9951.1151300000001</v>
      </c>
      <c r="BW298">
        <v>36040.093052999997</v>
      </c>
      <c r="BX298">
        <v>45991.208183000002</v>
      </c>
      <c r="BY298">
        <v>41763.362027000003</v>
      </c>
      <c r="BZ298">
        <v>237318.93117500001</v>
      </c>
      <c r="CA298">
        <v>279082.29320199997</v>
      </c>
      <c r="CB298">
        <v>14939.747611000001</v>
      </c>
      <c r="CC298">
        <v>0</v>
      </c>
      <c r="CD298">
        <v>81566.049287999995</v>
      </c>
      <c r="CE298">
        <v>195356.67463200001</v>
      </c>
      <c r="CF298">
        <v>49020.927630999999</v>
      </c>
      <c r="CG298">
        <v>21677.5</v>
      </c>
      <c r="CH298">
        <v>378627.06832899997</v>
      </c>
      <c r="CI298">
        <v>2894009.9927380001</v>
      </c>
      <c r="CJ298">
        <v>777795.6</v>
      </c>
    </row>
    <row r="299" spans="58:88" x14ac:dyDescent="0.45">
      <c r="BF299" t="s">
        <v>122</v>
      </c>
      <c r="BG299" t="s">
        <v>165</v>
      </c>
      <c r="BH299" t="s">
        <v>124</v>
      </c>
      <c r="BI299" t="s">
        <v>164</v>
      </c>
      <c r="BJ299" t="s">
        <v>160</v>
      </c>
      <c r="BK299" t="s">
        <v>158</v>
      </c>
      <c r="BL299" t="s">
        <v>159</v>
      </c>
      <c r="BM299" t="s">
        <v>129</v>
      </c>
      <c r="BN299" t="s">
        <v>130</v>
      </c>
      <c r="BO299">
        <v>60.374009999999998</v>
      </c>
      <c r="BP299">
        <v>2</v>
      </c>
      <c r="BQ299">
        <v>496160.859061</v>
      </c>
      <c r="BR299">
        <v>27188.655907</v>
      </c>
      <c r="BS299">
        <v>78223.924178000001</v>
      </c>
      <c r="BT299">
        <v>57626.184171000001</v>
      </c>
      <c r="BU299">
        <v>169036.902073</v>
      </c>
      <c r="BV299">
        <v>11714.078712</v>
      </c>
      <c r="BW299">
        <v>42425.042950000003</v>
      </c>
      <c r="BX299">
        <v>54139.121661999998</v>
      </c>
      <c r="BY299">
        <v>84814.840077999994</v>
      </c>
      <c r="BZ299">
        <v>301399.94791300001</v>
      </c>
      <c r="CA299">
        <v>386214.78799099999</v>
      </c>
      <c r="CB299">
        <v>109946.07107000001</v>
      </c>
      <c r="CC299">
        <v>60.374009999999998</v>
      </c>
      <c r="CD299">
        <v>81566.049287999995</v>
      </c>
      <c r="CE299">
        <v>234672.00720600001</v>
      </c>
      <c r="CF299">
        <v>57819.584540000003</v>
      </c>
      <c r="CG299">
        <v>34776</v>
      </c>
      <c r="CH299">
        <v>507111.21333100001</v>
      </c>
      <c r="CI299">
        <v>2894009.9927380001</v>
      </c>
      <c r="CJ299">
        <v>777795.6</v>
      </c>
    </row>
    <row r="300" spans="58:88" x14ac:dyDescent="0.45">
      <c r="BF300" t="s">
        <v>122</v>
      </c>
      <c r="BG300" t="s">
        <v>165</v>
      </c>
      <c r="BH300" t="s">
        <v>124</v>
      </c>
      <c r="BI300" t="s">
        <v>164</v>
      </c>
      <c r="BJ300" t="s">
        <v>160</v>
      </c>
      <c r="BK300" t="s">
        <v>158</v>
      </c>
      <c r="BL300" t="s">
        <v>159</v>
      </c>
      <c r="BM300" t="s">
        <v>131</v>
      </c>
      <c r="BN300" t="s">
        <v>130</v>
      </c>
      <c r="BO300">
        <v>46.704999999999998</v>
      </c>
      <c r="BP300">
        <v>2</v>
      </c>
      <c r="BQ300">
        <v>379623.84460000001</v>
      </c>
      <c r="BR300">
        <v>27188.655907</v>
      </c>
      <c r="BS300">
        <v>78223.924178000001</v>
      </c>
      <c r="BT300">
        <v>17676.719024999999</v>
      </c>
      <c r="BU300">
        <v>169036.902073</v>
      </c>
      <c r="BV300">
        <v>11714.078712</v>
      </c>
      <c r="BW300">
        <v>42425.042950000003</v>
      </c>
      <c r="BX300">
        <v>54139.121661999998</v>
      </c>
      <c r="BY300">
        <v>44865.374931999999</v>
      </c>
      <c r="BZ300">
        <v>301399.94791300001</v>
      </c>
      <c r="CA300">
        <v>346265.32284500002</v>
      </c>
      <c r="CB300">
        <v>33358.521755000002</v>
      </c>
      <c r="CC300">
        <v>0</v>
      </c>
      <c r="CD300">
        <v>81566.049287999995</v>
      </c>
      <c r="CE300">
        <v>234672.00720600001</v>
      </c>
      <c r="CF300">
        <v>57819.584540000003</v>
      </c>
      <c r="CG300">
        <v>34776</v>
      </c>
      <c r="CH300">
        <v>507111.21333100001</v>
      </c>
      <c r="CI300">
        <v>2894009.9927380001</v>
      </c>
      <c r="CJ300">
        <v>777795.6</v>
      </c>
    </row>
    <row r="301" spans="58:88" x14ac:dyDescent="0.45">
      <c r="BF301" t="s">
        <v>122</v>
      </c>
      <c r="BG301" t="s">
        <v>165</v>
      </c>
      <c r="BH301" t="s">
        <v>124</v>
      </c>
      <c r="BI301" t="s">
        <v>164</v>
      </c>
      <c r="BJ301" t="s">
        <v>160</v>
      </c>
      <c r="BK301" t="s">
        <v>158</v>
      </c>
      <c r="BL301" t="s">
        <v>159</v>
      </c>
      <c r="BM301" t="s">
        <v>132</v>
      </c>
      <c r="BN301" t="s">
        <v>130</v>
      </c>
      <c r="BO301">
        <v>45.69</v>
      </c>
      <c r="BP301">
        <v>2</v>
      </c>
      <c r="BQ301">
        <v>371373.8028</v>
      </c>
      <c r="BR301">
        <v>27188.655907</v>
      </c>
      <c r="BS301">
        <v>78223.924178000001</v>
      </c>
      <c r="BT301">
        <v>17292.565705000001</v>
      </c>
      <c r="BU301">
        <v>169036.902073</v>
      </c>
      <c r="BV301">
        <v>11714.078712</v>
      </c>
      <c r="BW301">
        <v>42425.042950000003</v>
      </c>
      <c r="BX301">
        <v>54139.121661999998</v>
      </c>
      <c r="BY301">
        <v>44481.221612000001</v>
      </c>
      <c r="BZ301">
        <v>301399.94791300001</v>
      </c>
      <c r="CA301">
        <v>345881.16952499998</v>
      </c>
      <c r="CB301">
        <v>25492.633275</v>
      </c>
      <c r="CC301">
        <v>0</v>
      </c>
      <c r="CD301">
        <v>81566.049287999995</v>
      </c>
      <c r="CE301">
        <v>234672.00720600001</v>
      </c>
      <c r="CF301">
        <v>57819.584540000003</v>
      </c>
      <c r="CG301">
        <v>34776</v>
      </c>
      <c r="CH301">
        <v>507111.21333100001</v>
      </c>
      <c r="CI301">
        <v>2894009.9927380001</v>
      </c>
      <c r="CJ301">
        <v>777795.6</v>
      </c>
    </row>
    <row r="302" spans="58:88" x14ac:dyDescent="0.45">
      <c r="BF302" t="s">
        <v>122</v>
      </c>
      <c r="BG302" t="s">
        <v>166</v>
      </c>
      <c r="BH302" t="s">
        <v>124</v>
      </c>
      <c r="BI302" t="s">
        <v>164</v>
      </c>
      <c r="BJ302" t="s">
        <v>126</v>
      </c>
      <c r="BK302" t="s">
        <v>127</v>
      </c>
      <c r="BL302" t="s">
        <v>128</v>
      </c>
      <c r="BM302" t="s">
        <v>129</v>
      </c>
      <c r="BN302" t="s">
        <v>130</v>
      </c>
      <c r="BO302">
        <v>36.183875999999998</v>
      </c>
      <c r="BP302">
        <v>2</v>
      </c>
      <c r="BQ302">
        <v>248451.156973</v>
      </c>
      <c r="BR302">
        <v>23678.075133999999</v>
      </c>
      <c r="BS302">
        <v>49059.469454999999</v>
      </c>
      <c r="BT302">
        <v>28163.077098000002</v>
      </c>
      <c r="BU302">
        <v>98438.974113999997</v>
      </c>
      <c r="BV302">
        <v>7377.2167639999998</v>
      </c>
      <c r="BW302">
        <v>38748.836692999997</v>
      </c>
      <c r="BX302">
        <v>46126.053457000002</v>
      </c>
      <c r="BY302">
        <v>51841.152232</v>
      </c>
      <c r="BZ302">
        <v>193624.497026</v>
      </c>
      <c r="CA302">
        <v>245465.64925799999</v>
      </c>
      <c r="CB302">
        <v>2985.5077150000002</v>
      </c>
      <c r="CC302">
        <v>36.183875999999998</v>
      </c>
      <c r="CD302">
        <v>71034.296436000004</v>
      </c>
      <c r="CE302">
        <v>147178.55554500001</v>
      </c>
      <c r="CF302">
        <v>42691.378770000003</v>
      </c>
      <c r="CG302">
        <v>14419.1</v>
      </c>
      <c r="CH302">
        <v>295317.21765900002</v>
      </c>
      <c r="CI302">
        <v>3092074.3478999999</v>
      </c>
      <c r="CJ302">
        <v>642526.80000000005</v>
      </c>
    </row>
    <row r="303" spans="58:88" x14ac:dyDescent="0.45">
      <c r="BF303" t="s">
        <v>122</v>
      </c>
      <c r="BG303" t="s">
        <v>166</v>
      </c>
      <c r="BH303" t="s">
        <v>124</v>
      </c>
      <c r="BI303" t="s">
        <v>164</v>
      </c>
      <c r="BJ303" t="s">
        <v>126</v>
      </c>
      <c r="BK303" t="s">
        <v>127</v>
      </c>
      <c r="BL303" t="s">
        <v>128</v>
      </c>
      <c r="BM303" t="s">
        <v>131</v>
      </c>
      <c r="BN303" t="s">
        <v>130</v>
      </c>
      <c r="BO303">
        <v>38.6</v>
      </c>
      <c r="BP303">
        <v>2</v>
      </c>
      <c r="BQ303">
        <v>261567.11</v>
      </c>
      <c r="BR303">
        <v>23678.075133999999</v>
      </c>
      <c r="BS303">
        <v>49059.469454999999</v>
      </c>
      <c r="BT303">
        <v>14661.713668</v>
      </c>
      <c r="BU303">
        <v>98438.974113999997</v>
      </c>
      <c r="BV303">
        <v>7377.2167639999998</v>
      </c>
      <c r="BW303">
        <v>38748.836692999997</v>
      </c>
      <c r="BX303">
        <v>46126.053457000002</v>
      </c>
      <c r="BY303">
        <v>38339.788802000003</v>
      </c>
      <c r="BZ303">
        <v>193624.497026</v>
      </c>
      <c r="CA303">
        <v>231964.28582799999</v>
      </c>
      <c r="CB303">
        <v>29602.824172000001</v>
      </c>
      <c r="CC303">
        <v>0</v>
      </c>
      <c r="CD303">
        <v>71034.296436000004</v>
      </c>
      <c r="CE303">
        <v>147178.55554500001</v>
      </c>
      <c r="CF303">
        <v>42691.378770000003</v>
      </c>
      <c r="CG303">
        <v>14419.1</v>
      </c>
      <c r="CH303">
        <v>295317.21765900002</v>
      </c>
      <c r="CI303">
        <v>3092074.3478999999</v>
      </c>
      <c r="CJ303">
        <v>642526.80000000005</v>
      </c>
    </row>
    <row r="304" spans="58:88" x14ac:dyDescent="0.45">
      <c r="BF304" t="s">
        <v>122</v>
      </c>
      <c r="BG304" t="s">
        <v>166</v>
      </c>
      <c r="BH304" t="s">
        <v>124</v>
      </c>
      <c r="BI304" t="s">
        <v>164</v>
      </c>
      <c r="BJ304" t="s">
        <v>126</v>
      </c>
      <c r="BK304" t="s">
        <v>127</v>
      </c>
      <c r="BL304" t="s">
        <v>128</v>
      </c>
      <c r="BM304" t="s">
        <v>132</v>
      </c>
      <c r="BN304" t="s">
        <v>130</v>
      </c>
      <c r="BO304">
        <v>37.61</v>
      </c>
      <c r="BP304">
        <v>2</v>
      </c>
      <c r="BQ304">
        <v>254858.52350000001</v>
      </c>
      <c r="BR304">
        <v>23678.075133999999</v>
      </c>
      <c r="BS304">
        <v>49059.469454999999</v>
      </c>
      <c r="BT304">
        <v>14285.645312000001</v>
      </c>
      <c r="BU304">
        <v>98438.974113999997</v>
      </c>
      <c r="BV304">
        <v>7377.2167639999998</v>
      </c>
      <c r="BW304">
        <v>38748.836692999997</v>
      </c>
      <c r="BX304">
        <v>46126.053457000002</v>
      </c>
      <c r="BY304">
        <v>37963.720445999999</v>
      </c>
      <c r="BZ304">
        <v>193624.497026</v>
      </c>
      <c r="CA304">
        <v>231588.21747199999</v>
      </c>
      <c r="CB304">
        <v>23270.306027999999</v>
      </c>
      <c r="CC304">
        <v>0</v>
      </c>
      <c r="CD304">
        <v>71034.296436000004</v>
      </c>
      <c r="CE304">
        <v>147178.55554500001</v>
      </c>
      <c r="CF304">
        <v>42691.378770000003</v>
      </c>
      <c r="CG304">
        <v>14419.1</v>
      </c>
      <c r="CH304">
        <v>295317.21765900002</v>
      </c>
      <c r="CI304">
        <v>3092074.3478999999</v>
      </c>
      <c r="CJ304">
        <v>642526.80000000005</v>
      </c>
    </row>
    <row r="305" spans="58:88" x14ac:dyDescent="0.45">
      <c r="BF305" t="s">
        <v>122</v>
      </c>
      <c r="BG305" t="s">
        <v>166</v>
      </c>
      <c r="BH305" t="s">
        <v>124</v>
      </c>
      <c r="BI305" t="s">
        <v>164</v>
      </c>
      <c r="BJ305" t="s">
        <v>133</v>
      </c>
      <c r="BK305" t="s">
        <v>127</v>
      </c>
      <c r="BL305" t="s">
        <v>128</v>
      </c>
      <c r="BM305" t="s">
        <v>129</v>
      </c>
      <c r="BN305" t="s">
        <v>130</v>
      </c>
      <c r="BO305">
        <v>45.271498999999999</v>
      </c>
      <c r="BP305">
        <v>2</v>
      </c>
      <c r="BQ305">
        <v>326996.03727700002</v>
      </c>
      <c r="BR305">
        <v>23678.075133999999</v>
      </c>
      <c r="BS305">
        <v>60629.813535000001</v>
      </c>
      <c r="BT305">
        <v>37867.890702999997</v>
      </c>
      <c r="BU305">
        <v>139811.84862599999</v>
      </c>
      <c r="BV305">
        <v>9142.7063749999998</v>
      </c>
      <c r="BW305">
        <v>48022.072224000003</v>
      </c>
      <c r="BX305">
        <v>57164.778598999997</v>
      </c>
      <c r="BY305">
        <v>61545.965837000003</v>
      </c>
      <c r="BZ305">
        <v>257606.44076</v>
      </c>
      <c r="CA305">
        <v>319152.40659700002</v>
      </c>
      <c r="CB305">
        <v>7843.6306800000002</v>
      </c>
      <c r="CC305">
        <v>45.271498999999999</v>
      </c>
      <c r="CD305">
        <v>71034.296436000004</v>
      </c>
      <c r="CE305">
        <v>181889.62249499999</v>
      </c>
      <c r="CF305">
        <v>52908.479388</v>
      </c>
      <c r="CG305">
        <v>20672</v>
      </c>
      <c r="CH305">
        <v>419435.96531399997</v>
      </c>
      <c r="CI305">
        <v>3092074.3478999999</v>
      </c>
      <c r="CJ305">
        <v>642526.80000000005</v>
      </c>
    </row>
    <row r="306" spans="58:88" x14ac:dyDescent="0.45">
      <c r="BF306" t="s">
        <v>122</v>
      </c>
      <c r="BG306" t="s">
        <v>166</v>
      </c>
      <c r="BH306" t="s">
        <v>124</v>
      </c>
      <c r="BI306" t="s">
        <v>164</v>
      </c>
      <c r="BJ306" t="s">
        <v>133</v>
      </c>
      <c r="BK306" t="s">
        <v>127</v>
      </c>
      <c r="BL306" t="s">
        <v>128</v>
      </c>
      <c r="BM306" t="s">
        <v>131</v>
      </c>
      <c r="BN306" t="s">
        <v>130</v>
      </c>
      <c r="BO306">
        <v>47.5</v>
      </c>
      <c r="BP306">
        <v>2</v>
      </c>
      <c r="BQ306">
        <v>338817.5</v>
      </c>
      <c r="BR306">
        <v>23678.075133999999</v>
      </c>
      <c r="BS306">
        <v>60629.813535000001</v>
      </c>
      <c r="BT306">
        <v>18042.373465000001</v>
      </c>
      <c r="BU306">
        <v>139811.84862599999</v>
      </c>
      <c r="BV306">
        <v>9142.7063749999998</v>
      </c>
      <c r="BW306">
        <v>48022.072224000003</v>
      </c>
      <c r="BX306">
        <v>57164.778598999997</v>
      </c>
      <c r="BY306">
        <v>41720.448599000003</v>
      </c>
      <c r="BZ306">
        <v>257606.44076</v>
      </c>
      <c r="CA306">
        <v>299326.88935900002</v>
      </c>
      <c r="CB306">
        <v>39490.610640999999</v>
      </c>
      <c r="CC306">
        <v>0</v>
      </c>
      <c r="CD306">
        <v>71034.296436000004</v>
      </c>
      <c r="CE306">
        <v>181889.62249499999</v>
      </c>
      <c r="CF306">
        <v>52908.479388</v>
      </c>
      <c r="CG306">
        <v>20672</v>
      </c>
      <c r="CH306">
        <v>419435.96531399997</v>
      </c>
      <c r="CI306">
        <v>3092074.3478999999</v>
      </c>
      <c r="CJ306">
        <v>642526.80000000005</v>
      </c>
    </row>
    <row r="307" spans="58:88" x14ac:dyDescent="0.45">
      <c r="BF307" t="s">
        <v>122</v>
      </c>
      <c r="BG307" t="s">
        <v>166</v>
      </c>
      <c r="BH307" t="s">
        <v>124</v>
      </c>
      <c r="BI307" t="s">
        <v>164</v>
      </c>
      <c r="BJ307" t="s">
        <v>133</v>
      </c>
      <c r="BK307" t="s">
        <v>127</v>
      </c>
      <c r="BL307" t="s">
        <v>128</v>
      </c>
      <c r="BM307" t="s">
        <v>132</v>
      </c>
      <c r="BN307" t="s">
        <v>130</v>
      </c>
      <c r="BO307">
        <v>46.52</v>
      </c>
      <c r="BP307">
        <v>2</v>
      </c>
      <c r="BQ307">
        <v>331827.15999999997</v>
      </c>
      <c r="BR307">
        <v>23678.075133999999</v>
      </c>
      <c r="BS307">
        <v>60629.813535000001</v>
      </c>
      <c r="BT307">
        <v>17670.109403999999</v>
      </c>
      <c r="BU307">
        <v>139811.84862599999</v>
      </c>
      <c r="BV307">
        <v>9142.7063749999998</v>
      </c>
      <c r="BW307">
        <v>48022.072224000003</v>
      </c>
      <c r="BX307">
        <v>57164.778598999997</v>
      </c>
      <c r="BY307">
        <v>41348.184538000001</v>
      </c>
      <c r="BZ307">
        <v>257606.44076</v>
      </c>
      <c r="CA307">
        <v>298954.625298</v>
      </c>
      <c r="CB307">
        <v>32872.534701999997</v>
      </c>
      <c r="CC307">
        <v>0</v>
      </c>
      <c r="CD307">
        <v>71034.296436000004</v>
      </c>
      <c r="CE307">
        <v>181889.62249499999</v>
      </c>
      <c r="CF307">
        <v>52908.479388</v>
      </c>
      <c r="CG307">
        <v>20672</v>
      </c>
      <c r="CH307">
        <v>419435.96531399997</v>
      </c>
      <c r="CI307">
        <v>3092074.3478999999</v>
      </c>
      <c r="CJ307">
        <v>642526.80000000005</v>
      </c>
    </row>
    <row r="308" spans="58:88" x14ac:dyDescent="0.45">
      <c r="BF308" t="s">
        <v>122</v>
      </c>
      <c r="BG308" t="s">
        <v>166</v>
      </c>
      <c r="BH308" t="s">
        <v>124</v>
      </c>
      <c r="BI308" t="s">
        <v>164</v>
      </c>
      <c r="BJ308" t="s">
        <v>134</v>
      </c>
      <c r="BK308" t="s">
        <v>127</v>
      </c>
      <c r="BL308" t="s">
        <v>128</v>
      </c>
      <c r="BM308" t="s">
        <v>129</v>
      </c>
      <c r="BN308" t="s">
        <v>130</v>
      </c>
      <c r="BO308">
        <v>36.191560000000003</v>
      </c>
      <c r="BP308">
        <v>2</v>
      </c>
      <c r="BQ308">
        <v>248503.91800599999</v>
      </c>
      <c r="BR308">
        <v>23678.075133999999</v>
      </c>
      <c r="BS308">
        <v>49088.742026</v>
      </c>
      <c r="BT308">
        <v>27932.290902000001</v>
      </c>
      <c r="BU308">
        <v>98497.711041000002</v>
      </c>
      <c r="BV308">
        <v>7377.7186160000001</v>
      </c>
      <c r="BW308">
        <v>38751.472668000002</v>
      </c>
      <c r="BX308">
        <v>46129.191284</v>
      </c>
      <c r="BY308">
        <v>51610.366035999999</v>
      </c>
      <c r="BZ308">
        <v>193715.644351</v>
      </c>
      <c r="CA308">
        <v>245326.01038699999</v>
      </c>
      <c r="CB308">
        <v>3177.9076190000001</v>
      </c>
      <c r="CC308">
        <v>36.191560000000003</v>
      </c>
      <c r="CD308">
        <v>71034.296436000004</v>
      </c>
      <c r="CE308">
        <v>147266.373345</v>
      </c>
      <c r="CF308">
        <v>42691.378770000003</v>
      </c>
      <c r="CG308">
        <v>14186.35</v>
      </c>
      <c r="CH308">
        <v>295493.428617</v>
      </c>
      <c r="CI308">
        <v>3092074.3478999999</v>
      </c>
      <c r="CJ308">
        <v>642526.80000000005</v>
      </c>
    </row>
    <row r="309" spans="58:88" x14ac:dyDescent="0.45">
      <c r="BF309" t="s">
        <v>122</v>
      </c>
      <c r="BG309" t="s">
        <v>166</v>
      </c>
      <c r="BH309" t="s">
        <v>124</v>
      </c>
      <c r="BI309" t="s">
        <v>164</v>
      </c>
      <c r="BJ309" t="s">
        <v>134</v>
      </c>
      <c r="BK309" t="s">
        <v>127</v>
      </c>
      <c r="BL309" t="s">
        <v>128</v>
      </c>
      <c r="BM309" t="s">
        <v>131</v>
      </c>
      <c r="BN309" t="s">
        <v>130</v>
      </c>
      <c r="BO309">
        <v>38.6</v>
      </c>
      <c r="BP309">
        <v>2</v>
      </c>
      <c r="BQ309">
        <v>261567.11</v>
      </c>
      <c r="BR309">
        <v>23678.075133999999</v>
      </c>
      <c r="BS309">
        <v>49088.742026</v>
      </c>
      <c r="BT309">
        <v>14660.689075</v>
      </c>
      <c r="BU309">
        <v>98497.711041000002</v>
      </c>
      <c r="BV309">
        <v>7377.7186160000001</v>
      </c>
      <c r="BW309">
        <v>38751.472668000002</v>
      </c>
      <c r="BX309">
        <v>46129.191284</v>
      </c>
      <c r="BY309">
        <v>38338.764209000001</v>
      </c>
      <c r="BZ309">
        <v>193715.644351</v>
      </c>
      <c r="CA309">
        <v>232054.40856000001</v>
      </c>
      <c r="CB309">
        <v>29512.701440000001</v>
      </c>
      <c r="CC309">
        <v>0</v>
      </c>
      <c r="CD309">
        <v>71034.296436000004</v>
      </c>
      <c r="CE309">
        <v>147266.373345</v>
      </c>
      <c r="CF309">
        <v>42691.378770000003</v>
      </c>
      <c r="CG309">
        <v>14186.35</v>
      </c>
      <c r="CH309">
        <v>295493.428617</v>
      </c>
      <c r="CI309">
        <v>3092074.3478999999</v>
      </c>
      <c r="CJ309">
        <v>642526.80000000005</v>
      </c>
    </row>
    <row r="310" spans="58:88" x14ac:dyDescent="0.45">
      <c r="BF310" t="s">
        <v>122</v>
      </c>
      <c r="BG310" t="s">
        <v>166</v>
      </c>
      <c r="BH310" t="s">
        <v>124</v>
      </c>
      <c r="BI310" t="s">
        <v>164</v>
      </c>
      <c r="BJ310" t="s">
        <v>134</v>
      </c>
      <c r="BK310" t="s">
        <v>127</v>
      </c>
      <c r="BL310" t="s">
        <v>128</v>
      </c>
      <c r="BM310" t="s">
        <v>132</v>
      </c>
      <c r="BN310" t="s">
        <v>130</v>
      </c>
      <c r="BO310">
        <v>37.61</v>
      </c>
      <c r="BP310">
        <v>2</v>
      </c>
      <c r="BQ310">
        <v>254858.52350000001</v>
      </c>
      <c r="BR310">
        <v>23678.075133999999</v>
      </c>
      <c r="BS310">
        <v>49088.742026</v>
      </c>
      <c r="BT310">
        <v>14284.663411</v>
      </c>
      <c r="BU310">
        <v>98497.711041000002</v>
      </c>
      <c r="BV310">
        <v>7377.7186160000001</v>
      </c>
      <c r="BW310">
        <v>38751.472668000002</v>
      </c>
      <c r="BX310">
        <v>46129.191284</v>
      </c>
      <c r="BY310">
        <v>37962.738545</v>
      </c>
      <c r="BZ310">
        <v>193715.644351</v>
      </c>
      <c r="CA310">
        <v>231678.382896</v>
      </c>
      <c r="CB310">
        <v>23180.140604</v>
      </c>
      <c r="CC310">
        <v>0</v>
      </c>
      <c r="CD310">
        <v>71034.296436000004</v>
      </c>
      <c r="CE310">
        <v>147266.373345</v>
      </c>
      <c r="CF310">
        <v>42691.378770000003</v>
      </c>
      <c r="CG310">
        <v>14186.35</v>
      </c>
      <c r="CH310">
        <v>295493.428617</v>
      </c>
      <c r="CI310">
        <v>3092074.3478999999</v>
      </c>
      <c r="CJ310">
        <v>642526.80000000005</v>
      </c>
    </row>
    <row r="311" spans="58:88" x14ac:dyDescent="0.45">
      <c r="BF311" t="s">
        <v>122</v>
      </c>
      <c r="BG311" t="s">
        <v>166</v>
      </c>
      <c r="BH311" t="s">
        <v>124</v>
      </c>
      <c r="BI311" t="s">
        <v>164</v>
      </c>
      <c r="BJ311" t="s">
        <v>135</v>
      </c>
      <c r="BK311" t="s">
        <v>0</v>
      </c>
      <c r="BL311" t="s">
        <v>136</v>
      </c>
      <c r="BM311" t="s">
        <v>129</v>
      </c>
      <c r="BN311" t="s">
        <v>137</v>
      </c>
      <c r="BO311">
        <v>46.373803000000002</v>
      </c>
      <c r="BP311">
        <v>2</v>
      </c>
      <c r="BQ311">
        <v>352860.58571700001</v>
      </c>
      <c r="BR311">
        <v>29597.378359999999</v>
      </c>
      <c r="BS311">
        <v>76967.426839000007</v>
      </c>
      <c r="BT311">
        <v>29738.243114000001</v>
      </c>
      <c r="BU311">
        <v>142911.44950300001</v>
      </c>
      <c r="BV311">
        <v>10307.917379</v>
      </c>
      <c r="BW311">
        <v>48455.497581000003</v>
      </c>
      <c r="BX311">
        <v>58763.414960000002</v>
      </c>
      <c r="BY311">
        <v>59335.621474</v>
      </c>
      <c r="BZ311">
        <v>278642.291302</v>
      </c>
      <c r="CA311">
        <v>337977.91277599998</v>
      </c>
      <c r="CB311">
        <v>14882.672941000001</v>
      </c>
      <c r="CC311">
        <v>46.373803000000002</v>
      </c>
      <c r="CD311">
        <v>118389.51343799999</v>
      </c>
      <c r="CE311">
        <v>307869.70735500002</v>
      </c>
      <c r="CF311">
        <v>89031.652002000003</v>
      </c>
      <c r="CG311">
        <v>23959</v>
      </c>
      <c r="CH311">
        <v>714557.24751500005</v>
      </c>
      <c r="CI311">
        <v>3092074.3478999999</v>
      </c>
      <c r="CJ311">
        <v>642526.80000000005</v>
      </c>
    </row>
    <row r="312" spans="58:88" x14ac:dyDescent="0.45">
      <c r="BF312" t="s">
        <v>122</v>
      </c>
      <c r="BG312" t="s">
        <v>166</v>
      </c>
      <c r="BH312" t="s">
        <v>124</v>
      </c>
      <c r="BI312" t="s">
        <v>164</v>
      </c>
      <c r="BJ312" t="s">
        <v>135</v>
      </c>
      <c r="BK312" t="s">
        <v>0</v>
      </c>
      <c r="BL312" t="s">
        <v>136</v>
      </c>
      <c r="BM312" t="s">
        <v>131</v>
      </c>
      <c r="BN312" t="s">
        <v>130</v>
      </c>
      <c r="BO312">
        <v>47.5</v>
      </c>
      <c r="BP312">
        <v>2</v>
      </c>
      <c r="BQ312">
        <v>333344.55</v>
      </c>
      <c r="BR312">
        <v>23677.902687999998</v>
      </c>
      <c r="BS312">
        <v>61573.941470999998</v>
      </c>
      <c r="BT312">
        <v>18053.571297999999</v>
      </c>
      <c r="BU312">
        <v>142911.44950300001</v>
      </c>
      <c r="BV312">
        <v>10307.917379</v>
      </c>
      <c r="BW312">
        <v>48455.497581000003</v>
      </c>
      <c r="BX312">
        <v>58763.414960000002</v>
      </c>
      <c r="BY312">
        <v>41731.473985999997</v>
      </c>
      <c r="BZ312">
        <v>263248.805934</v>
      </c>
      <c r="CA312">
        <v>304980.27992</v>
      </c>
      <c r="CB312">
        <v>28364.270079999998</v>
      </c>
      <c r="CC312">
        <v>0</v>
      </c>
      <c r="CD312">
        <v>118389.51343799999</v>
      </c>
      <c r="CE312">
        <v>307869.70735500002</v>
      </c>
      <c r="CF312">
        <v>89031.652002000003</v>
      </c>
      <c r="CG312">
        <v>23959</v>
      </c>
      <c r="CH312">
        <v>714557.24751500005</v>
      </c>
      <c r="CI312">
        <v>3092074.3478999999</v>
      </c>
      <c r="CJ312">
        <v>642526.80000000005</v>
      </c>
    </row>
    <row r="313" spans="58:88" x14ac:dyDescent="0.45">
      <c r="BF313" t="s">
        <v>122</v>
      </c>
      <c r="BG313" t="s">
        <v>166</v>
      </c>
      <c r="BH313" t="s">
        <v>124</v>
      </c>
      <c r="BI313" t="s">
        <v>164</v>
      </c>
      <c r="BJ313" t="s">
        <v>135</v>
      </c>
      <c r="BK313" t="s">
        <v>0</v>
      </c>
      <c r="BL313" t="s">
        <v>136</v>
      </c>
      <c r="BM313" t="s">
        <v>132</v>
      </c>
      <c r="BN313" t="s">
        <v>130</v>
      </c>
      <c r="BO313">
        <v>46.52</v>
      </c>
      <c r="BP313">
        <v>2</v>
      </c>
      <c r="BQ313">
        <v>326467.12560000003</v>
      </c>
      <c r="BR313">
        <v>23677.902687999998</v>
      </c>
      <c r="BS313">
        <v>61573.941470999998</v>
      </c>
      <c r="BT313">
        <v>17681.062866</v>
      </c>
      <c r="BU313">
        <v>142911.44950300001</v>
      </c>
      <c r="BV313">
        <v>10307.917379</v>
      </c>
      <c r="BW313">
        <v>48455.497581000003</v>
      </c>
      <c r="BX313">
        <v>58763.414960000002</v>
      </c>
      <c r="BY313">
        <v>41358.965554000002</v>
      </c>
      <c r="BZ313">
        <v>263248.805934</v>
      </c>
      <c r="CA313">
        <v>304607.771488</v>
      </c>
      <c r="CB313">
        <v>21859.354112000001</v>
      </c>
      <c r="CC313">
        <v>0</v>
      </c>
      <c r="CD313">
        <v>118389.51343799999</v>
      </c>
      <c r="CE313">
        <v>307869.70735500002</v>
      </c>
      <c r="CF313">
        <v>89031.652002000003</v>
      </c>
      <c r="CG313">
        <v>23959</v>
      </c>
      <c r="CH313">
        <v>714557.24751500005</v>
      </c>
      <c r="CI313">
        <v>3092074.3478999999</v>
      </c>
      <c r="CJ313">
        <v>642526.80000000005</v>
      </c>
    </row>
    <row r="314" spans="58:88" x14ac:dyDescent="0.45">
      <c r="BF314" t="s">
        <v>122</v>
      </c>
      <c r="BG314" t="s">
        <v>166</v>
      </c>
      <c r="BH314" t="s">
        <v>124</v>
      </c>
      <c r="BI314" t="s">
        <v>164</v>
      </c>
      <c r="BJ314" t="s">
        <v>135</v>
      </c>
      <c r="BK314" t="s">
        <v>0</v>
      </c>
      <c r="BL314" t="s">
        <v>138</v>
      </c>
      <c r="BM314" t="s">
        <v>139</v>
      </c>
      <c r="BN314" t="s">
        <v>130</v>
      </c>
      <c r="BO314">
        <v>45.353453999999999</v>
      </c>
      <c r="BP314">
        <v>2</v>
      </c>
      <c r="BQ314">
        <v>345096.69915900001</v>
      </c>
      <c r="BR314">
        <v>20718.164852000002</v>
      </c>
      <c r="BS314">
        <v>53877.198787000001</v>
      </c>
      <c r="BT314">
        <v>29083.925281</v>
      </c>
      <c r="BU314">
        <v>142911.44950300001</v>
      </c>
      <c r="BV314">
        <v>10307.917379</v>
      </c>
      <c r="BW314">
        <v>48455.497581000003</v>
      </c>
      <c r="BX314">
        <v>58763.414960000002</v>
      </c>
      <c r="BY314">
        <v>49802.090132999998</v>
      </c>
      <c r="BZ314">
        <v>255552.06325000001</v>
      </c>
      <c r="CA314">
        <v>305354.153383</v>
      </c>
      <c r="CB314">
        <v>39742.545775999999</v>
      </c>
      <c r="CC314">
        <v>45.353453999999999</v>
      </c>
      <c r="CD314">
        <v>118389.51343799999</v>
      </c>
      <c r="CE314">
        <v>307869.70735500002</v>
      </c>
      <c r="CF314">
        <v>89031.652002000003</v>
      </c>
      <c r="CG314">
        <v>23959</v>
      </c>
      <c r="CH314">
        <v>714557.24751500005</v>
      </c>
      <c r="CI314">
        <v>3092074.3478999999</v>
      </c>
      <c r="CJ314">
        <v>642526.80000000005</v>
      </c>
    </row>
    <row r="315" spans="58:88" x14ac:dyDescent="0.45">
      <c r="BF315" t="s">
        <v>122</v>
      </c>
      <c r="BG315" t="s">
        <v>166</v>
      </c>
      <c r="BH315" t="s">
        <v>124</v>
      </c>
      <c r="BI315" t="s">
        <v>164</v>
      </c>
      <c r="BJ315" t="s">
        <v>135</v>
      </c>
      <c r="BK315" t="s">
        <v>0</v>
      </c>
      <c r="BL315" t="s">
        <v>138</v>
      </c>
      <c r="BM315" t="s">
        <v>140</v>
      </c>
      <c r="BN315" t="s">
        <v>130</v>
      </c>
      <c r="BO315">
        <v>48.5</v>
      </c>
      <c r="BP315">
        <v>2</v>
      </c>
      <c r="BQ315">
        <v>364673.92499999999</v>
      </c>
      <c r="BR315">
        <v>20718.164852000002</v>
      </c>
      <c r="BS315">
        <v>53877.198787000001</v>
      </c>
      <c r="BT315">
        <v>18433.647420000001</v>
      </c>
      <c r="BU315">
        <v>142911.44950300001</v>
      </c>
      <c r="BV315">
        <v>10307.917379</v>
      </c>
      <c r="BW315">
        <v>48455.497581000003</v>
      </c>
      <c r="BX315">
        <v>58763.414960000002</v>
      </c>
      <c r="BY315">
        <v>39151.812272000003</v>
      </c>
      <c r="BZ315">
        <v>255552.06325000001</v>
      </c>
      <c r="CA315">
        <v>294703.87552200002</v>
      </c>
      <c r="CB315">
        <v>69970.049478000001</v>
      </c>
      <c r="CC315">
        <v>0</v>
      </c>
      <c r="CD315">
        <v>118389.51343799999</v>
      </c>
      <c r="CE315">
        <v>307869.70735500002</v>
      </c>
      <c r="CF315">
        <v>89031.652002000003</v>
      </c>
      <c r="CG315">
        <v>23959</v>
      </c>
      <c r="CH315">
        <v>714557.24751500005</v>
      </c>
      <c r="CI315">
        <v>3092074.3478999999</v>
      </c>
      <c r="CJ315">
        <v>642526.80000000005</v>
      </c>
    </row>
    <row r="316" spans="58:88" x14ac:dyDescent="0.45">
      <c r="BF316" t="s">
        <v>122</v>
      </c>
      <c r="BG316" t="s">
        <v>166</v>
      </c>
      <c r="BH316" t="s">
        <v>124</v>
      </c>
      <c r="BI316" t="s">
        <v>164</v>
      </c>
      <c r="BJ316" t="s">
        <v>141</v>
      </c>
      <c r="BK316" t="s">
        <v>0</v>
      </c>
      <c r="BL316" t="s">
        <v>136</v>
      </c>
      <c r="BM316" t="s">
        <v>129</v>
      </c>
      <c r="BN316" t="s">
        <v>137</v>
      </c>
      <c r="BO316">
        <v>66.905471000000006</v>
      </c>
      <c r="BP316">
        <v>3</v>
      </c>
      <c r="BQ316">
        <v>580953.58578700002</v>
      </c>
      <c r="BR316">
        <v>44396.190116999998</v>
      </c>
      <c r="BS316">
        <v>131956.64853000001</v>
      </c>
      <c r="BT316">
        <v>54603.138825000002</v>
      </c>
      <c r="BU316">
        <v>239594.73801500001</v>
      </c>
      <c r="BV316">
        <v>14970.476424</v>
      </c>
      <c r="BW316">
        <v>70373.273035999999</v>
      </c>
      <c r="BX316">
        <v>85343.749460000006</v>
      </c>
      <c r="BY316">
        <v>98999.328941999993</v>
      </c>
      <c r="BZ316">
        <v>456895.13600499998</v>
      </c>
      <c r="CA316">
        <v>555894.46494700003</v>
      </c>
      <c r="CB316">
        <v>25059.12084</v>
      </c>
      <c r="CC316">
        <v>66.905471000000006</v>
      </c>
      <c r="CD316">
        <v>177584.76046799999</v>
      </c>
      <c r="CE316">
        <v>527826.59412000002</v>
      </c>
      <c r="CF316">
        <v>129169.49108399999</v>
      </c>
      <c r="CG316">
        <v>57760</v>
      </c>
      <c r="CH316">
        <v>1197973.690075</v>
      </c>
      <c r="CI316">
        <v>3092074.3478999999</v>
      </c>
      <c r="CJ316">
        <v>642526.80000000005</v>
      </c>
    </row>
    <row r="317" spans="58:88" x14ac:dyDescent="0.45">
      <c r="BF317" t="s">
        <v>122</v>
      </c>
      <c r="BG317" t="s">
        <v>166</v>
      </c>
      <c r="BH317" t="s">
        <v>124</v>
      </c>
      <c r="BI317" t="s">
        <v>164</v>
      </c>
      <c r="BJ317" t="s">
        <v>141</v>
      </c>
      <c r="BK317" t="s">
        <v>0</v>
      </c>
      <c r="BL317" t="s">
        <v>136</v>
      </c>
      <c r="BM317" t="s">
        <v>131</v>
      </c>
      <c r="BN317" t="s">
        <v>130</v>
      </c>
      <c r="BO317">
        <v>69.28</v>
      </c>
      <c r="BP317">
        <v>3</v>
      </c>
      <c r="BQ317">
        <v>555647.7696</v>
      </c>
      <c r="BR317">
        <v>35516.952094</v>
      </c>
      <c r="BS317">
        <v>105565.318824</v>
      </c>
      <c r="BT317">
        <v>26304.333503000002</v>
      </c>
      <c r="BU317">
        <v>239594.73801500001</v>
      </c>
      <c r="BV317">
        <v>14970.476424</v>
      </c>
      <c r="BW317">
        <v>70373.273035999999</v>
      </c>
      <c r="BX317">
        <v>85343.749460000006</v>
      </c>
      <c r="BY317">
        <v>61821.285597000002</v>
      </c>
      <c r="BZ317">
        <v>430503.80629899999</v>
      </c>
      <c r="CA317">
        <v>492325.09189600003</v>
      </c>
      <c r="CB317">
        <v>63322.677704000002</v>
      </c>
      <c r="CC317">
        <v>0</v>
      </c>
      <c r="CD317">
        <v>177584.76046799999</v>
      </c>
      <c r="CE317">
        <v>527826.59412000002</v>
      </c>
      <c r="CF317">
        <v>129169.49108399999</v>
      </c>
      <c r="CG317">
        <v>57760</v>
      </c>
      <c r="CH317">
        <v>1197973.690075</v>
      </c>
      <c r="CI317">
        <v>3092074.3478999999</v>
      </c>
      <c r="CJ317">
        <v>642526.80000000005</v>
      </c>
    </row>
    <row r="318" spans="58:88" x14ac:dyDescent="0.45">
      <c r="BF318" t="s">
        <v>122</v>
      </c>
      <c r="BG318" t="s">
        <v>166</v>
      </c>
      <c r="BH318" t="s">
        <v>124</v>
      </c>
      <c r="BI318" t="s">
        <v>164</v>
      </c>
      <c r="BJ318" t="s">
        <v>141</v>
      </c>
      <c r="BK318" t="s">
        <v>0</v>
      </c>
      <c r="BL318" t="s">
        <v>136</v>
      </c>
      <c r="BM318" t="s">
        <v>132</v>
      </c>
      <c r="BN318" t="s">
        <v>130</v>
      </c>
      <c r="BO318">
        <v>68.3</v>
      </c>
      <c r="BP318">
        <v>3</v>
      </c>
      <c r="BQ318">
        <v>547787.85600000003</v>
      </c>
      <c r="BR318">
        <v>35516.952094</v>
      </c>
      <c r="BS318">
        <v>105565.318824</v>
      </c>
      <c r="BT318">
        <v>25932.325368999998</v>
      </c>
      <c r="BU318">
        <v>239594.73801500001</v>
      </c>
      <c r="BV318">
        <v>14970.476424</v>
      </c>
      <c r="BW318">
        <v>70373.273035999999</v>
      </c>
      <c r="BX318">
        <v>85343.749460000006</v>
      </c>
      <c r="BY318">
        <v>61449.277462999999</v>
      </c>
      <c r="BZ318">
        <v>430503.80629899999</v>
      </c>
      <c r="CA318">
        <v>491953.08376200002</v>
      </c>
      <c r="CB318">
        <v>55834.772237999998</v>
      </c>
      <c r="CC318">
        <v>0</v>
      </c>
      <c r="CD318">
        <v>177584.76046799999</v>
      </c>
      <c r="CE318">
        <v>527826.59412000002</v>
      </c>
      <c r="CF318">
        <v>129169.49108399999</v>
      </c>
      <c r="CG318">
        <v>57760</v>
      </c>
      <c r="CH318">
        <v>1197973.690075</v>
      </c>
      <c r="CI318">
        <v>3092074.3478999999</v>
      </c>
      <c r="CJ318">
        <v>642526.80000000005</v>
      </c>
    </row>
    <row r="319" spans="58:88" x14ac:dyDescent="0.45">
      <c r="BF319" t="s">
        <v>122</v>
      </c>
      <c r="BG319" t="s">
        <v>166</v>
      </c>
      <c r="BH319" t="s">
        <v>124</v>
      </c>
      <c r="BI319" t="s">
        <v>164</v>
      </c>
      <c r="BJ319" t="s">
        <v>141</v>
      </c>
      <c r="BK319" t="s">
        <v>0</v>
      </c>
      <c r="BL319" t="s">
        <v>138</v>
      </c>
      <c r="BM319" t="s">
        <v>139</v>
      </c>
      <c r="BN319" t="s">
        <v>130</v>
      </c>
      <c r="BO319">
        <v>65.437730999999999</v>
      </c>
      <c r="BP319">
        <v>3</v>
      </c>
      <c r="BQ319">
        <v>568208.90581899998</v>
      </c>
      <c r="BR319">
        <v>31077.333082000001</v>
      </c>
      <c r="BS319">
        <v>92369.653971000007</v>
      </c>
      <c r="BT319">
        <v>53405.156310999999</v>
      </c>
      <c r="BU319">
        <v>239594.73801500001</v>
      </c>
      <c r="BV319">
        <v>14970.476424</v>
      </c>
      <c r="BW319">
        <v>70373.273035999999</v>
      </c>
      <c r="BX319">
        <v>85343.749460000006</v>
      </c>
      <c r="BY319">
        <v>84482.489392999996</v>
      </c>
      <c r="BZ319">
        <v>417308.14144600002</v>
      </c>
      <c r="CA319">
        <v>501790.63083899999</v>
      </c>
      <c r="CB319">
        <v>66418.274980000002</v>
      </c>
      <c r="CC319">
        <v>65.437730999999999</v>
      </c>
      <c r="CD319">
        <v>177584.76046799999</v>
      </c>
      <c r="CE319">
        <v>527826.59412000002</v>
      </c>
      <c r="CF319">
        <v>129169.49108399999</v>
      </c>
      <c r="CG319">
        <v>57760</v>
      </c>
      <c r="CH319">
        <v>1197973.690075</v>
      </c>
      <c r="CI319">
        <v>3092074.3478999999</v>
      </c>
      <c r="CJ319">
        <v>642526.80000000005</v>
      </c>
    </row>
    <row r="320" spans="58:88" x14ac:dyDescent="0.45">
      <c r="BF320" t="s">
        <v>122</v>
      </c>
      <c r="BG320" t="s">
        <v>166</v>
      </c>
      <c r="BH320" t="s">
        <v>124</v>
      </c>
      <c r="BI320" t="s">
        <v>164</v>
      </c>
      <c r="BJ320" t="s">
        <v>141</v>
      </c>
      <c r="BK320" t="s">
        <v>0</v>
      </c>
      <c r="BL320" t="s">
        <v>138</v>
      </c>
      <c r="BM320" t="s">
        <v>140</v>
      </c>
      <c r="BN320" t="s">
        <v>130</v>
      </c>
      <c r="BO320">
        <v>70.28</v>
      </c>
      <c r="BP320">
        <v>3</v>
      </c>
      <c r="BQ320">
        <v>603930.09600000002</v>
      </c>
      <c r="BR320">
        <v>31077.333082000001</v>
      </c>
      <c r="BS320">
        <v>92369.653971000007</v>
      </c>
      <c r="BT320">
        <v>26684.091807000001</v>
      </c>
      <c r="BU320">
        <v>239594.73801500001</v>
      </c>
      <c r="BV320">
        <v>14970.476424</v>
      </c>
      <c r="BW320">
        <v>70373.273035999999</v>
      </c>
      <c r="BX320">
        <v>85343.749460000006</v>
      </c>
      <c r="BY320">
        <v>57761.424889000002</v>
      </c>
      <c r="BZ320">
        <v>417308.14144600002</v>
      </c>
      <c r="CA320">
        <v>475069.56633499998</v>
      </c>
      <c r="CB320">
        <v>128860.52966499999</v>
      </c>
      <c r="CC320">
        <v>0</v>
      </c>
      <c r="CD320">
        <v>177584.76046799999</v>
      </c>
      <c r="CE320">
        <v>527826.59412000002</v>
      </c>
      <c r="CF320">
        <v>129169.49108399999</v>
      </c>
      <c r="CG320">
        <v>57760</v>
      </c>
      <c r="CH320">
        <v>1197973.690075</v>
      </c>
      <c r="CI320">
        <v>3092074.3478999999</v>
      </c>
      <c r="CJ320">
        <v>642526.80000000005</v>
      </c>
    </row>
    <row r="321" spans="58:88" x14ac:dyDescent="0.45">
      <c r="BF321" t="s">
        <v>122</v>
      </c>
      <c r="BG321" t="s">
        <v>166</v>
      </c>
      <c r="BH321" t="s">
        <v>124</v>
      </c>
      <c r="BI321" t="s">
        <v>164</v>
      </c>
      <c r="BJ321" t="s">
        <v>142</v>
      </c>
      <c r="BK321" t="s">
        <v>0</v>
      </c>
      <c r="BL321" t="s">
        <v>136</v>
      </c>
      <c r="BM321" t="s">
        <v>129</v>
      </c>
      <c r="BN321" t="s">
        <v>137</v>
      </c>
      <c r="BO321">
        <v>43.580238000000001</v>
      </c>
      <c r="BP321">
        <v>2</v>
      </c>
      <c r="BQ321">
        <v>324916.82243300002</v>
      </c>
      <c r="BR321">
        <v>29597.378359999999</v>
      </c>
      <c r="BS321">
        <v>72375.026350999993</v>
      </c>
      <c r="BT321">
        <v>27167.595916999999</v>
      </c>
      <c r="BU321">
        <v>129554.22715200001</v>
      </c>
      <c r="BV321">
        <v>9760.1930929999999</v>
      </c>
      <c r="BW321">
        <v>45880.753155999999</v>
      </c>
      <c r="BX321">
        <v>55640.946249000001</v>
      </c>
      <c r="BY321">
        <v>56764.974277000001</v>
      </c>
      <c r="BZ321">
        <v>257570.19975199999</v>
      </c>
      <c r="CA321">
        <v>314335.17402899999</v>
      </c>
      <c r="CB321">
        <v>10581.648404</v>
      </c>
      <c r="CC321">
        <v>43.580238000000001</v>
      </c>
      <c r="CD321">
        <v>118389.51343799999</v>
      </c>
      <c r="CE321">
        <v>289500.10540499998</v>
      </c>
      <c r="CF321">
        <v>84288.383388000002</v>
      </c>
      <c r="CG321">
        <v>20978.85</v>
      </c>
      <c r="CH321">
        <v>647771.13575899997</v>
      </c>
      <c r="CI321">
        <v>3092074.3478999999</v>
      </c>
      <c r="CJ321">
        <v>642526.80000000005</v>
      </c>
    </row>
    <row r="322" spans="58:88" x14ac:dyDescent="0.45">
      <c r="BF322" t="s">
        <v>122</v>
      </c>
      <c r="BG322" t="s">
        <v>166</v>
      </c>
      <c r="BH322" t="s">
        <v>124</v>
      </c>
      <c r="BI322" t="s">
        <v>164</v>
      </c>
      <c r="BJ322" t="s">
        <v>142</v>
      </c>
      <c r="BK322" t="s">
        <v>0</v>
      </c>
      <c r="BL322" t="s">
        <v>136</v>
      </c>
      <c r="BM322" t="s">
        <v>131</v>
      </c>
      <c r="BN322" t="s">
        <v>130</v>
      </c>
      <c r="BO322">
        <v>45.53</v>
      </c>
      <c r="BP322">
        <v>2</v>
      </c>
      <c r="BQ322">
        <v>312998.71679999999</v>
      </c>
      <c r="BR322">
        <v>23677.902687999998</v>
      </c>
      <c r="BS322">
        <v>57900.021080999999</v>
      </c>
      <c r="BT322">
        <v>17302.213612</v>
      </c>
      <c r="BU322">
        <v>129554.22715200001</v>
      </c>
      <c r="BV322">
        <v>9760.1930929999999</v>
      </c>
      <c r="BW322">
        <v>45880.753155999999</v>
      </c>
      <c r="BX322">
        <v>55640.946249000001</v>
      </c>
      <c r="BY322">
        <v>40980.116300000002</v>
      </c>
      <c r="BZ322">
        <v>243095.19448199999</v>
      </c>
      <c r="CA322">
        <v>284075.31078200002</v>
      </c>
      <c r="CB322">
        <v>28923.406018000001</v>
      </c>
      <c r="CC322">
        <v>0</v>
      </c>
      <c r="CD322">
        <v>118389.51343799999</v>
      </c>
      <c r="CE322">
        <v>289500.10540499998</v>
      </c>
      <c r="CF322">
        <v>84288.383388000002</v>
      </c>
      <c r="CG322">
        <v>20978.85</v>
      </c>
      <c r="CH322">
        <v>647771.13575899997</v>
      </c>
      <c r="CI322">
        <v>3092074.3478999999</v>
      </c>
      <c r="CJ322">
        <v>642526.80000000005</v>
      </c>
    </row>
    <row r="323" spans="58:88" x14ac:dyDescent="0.45">
      <c r="BF323" t="s">
        <v>122</v>
      </c>
      <c r="BG323" t="s">
        <v>166</v>
      </c>
      <c r="BH323" t="s">
        <v>124</v>
      </c>
      <c r="BI323" t="s">
        <v>164</v>
      </c>
      <c r="BJ323" t="s">
        <v>142</v>
      </c>
      <c r="BK323" t="s">
        <v>0</v>
      </c>
      <c r="BL323" t="s">
        <v>136</v>
      </c>
      <c r="BM323" t="s">
        <v>132</v>
      </c>
      <c r="BN323" t="s">
        <v>130</v>
      </c>
      <c r="BO323">
        <v>44.54</v>
      </c>
      <c r="BP323">
        <v>2</v>
      </c>
      <c r="BQ323">
        <v>306192.90240000002</v>
      </c>
      <c r="BR323">
        <v>23677.902687999998</v>
      </c>
      <c r="BS323">
        <v>57900.021080999999</v>
      </c>
      <c r="BT323">
        <v>16926.034556999999</v>
      </c>
      <c r="BU323">
        <v>129554.22715200001</v>
      </c>
      <c r="BV323">
        <v>9760.1930929999999</v>
      </c>
      <c r="BW323">
        <v>45880.753155999999</v>
      </c>
      <c r="BX323">
        <v>55640.946249000001</v>
      </c>
      <c r="BY323">
        <v>40603.937245000001</v>
      </c>
      <c r="BZ323">
        <v>243095.19448199999</v>
      </c>
      <c r="CA323">
        <v>283699.131727</v>
      </c>
      <c r="CB323">
        <v>22493.770672999999</v>
      </c>
      <c r="CC323">
        <v>0</v>
      </c>
      <c r="CD323">
        <v>118389.51343799999</v>
      </c>
      <c r="CE323">
        <v>289500.10540499998</v>
      </c>
      <c r="CF323">
        <v>84288.383388000002</v>
      </c>
      <c r="CG323">
        <v>20978.85</v>
      </c>
      <c r="CH323">
        <v>647771.13575899997</v>
      </c>
      <c r="CI323">
        <v>3092074.3478999999</v>
      </c>
      <c r="CJ323">
        <v>642526.80000000005</v>
      </c>
    </row>
    <row r="324" spans="58:88" x14ac:dyDescent="0.45">
      <c r="BF324" t="s">
        <v>122</v>
      </c>
      <c r="BG324" t="s">
        <v>166</v>
      </c>
      <c r="BH324" t="s">
        <v>124</v>
      </c>
      <c r="BI324" t="s">
        <v>164</v>
      </c>
      <c r="BJ324" t="s">
        <v>142</v>
      </c>
      <c r="BK324" t="s">
        <v>0</v>
      </c>
      <c r="BL324" t="s">
        <v>138</v>
      </c>
      <c r="BM324" t="s">
        <v>139</v>
      </c>
      <c r="BN324" t="s">
        <v>130</v>
      </c>
      <c r="BO324">
        <v>42.619942000000002</v>
      </c>
      <c r="BP324">
        <v>2</v>
      </c>
      <c r="BQ324">
        <v>317757.23957500001</v>
      </c>
      <c r="BR324">
        <v>20718.164852000002</v>
      </c>
      <c r="BS324">
        <v>50662.518446000002</v>
      </c>
      <c r="BT324">
        <v>26568.901849000002</v>
      </c>
      <c r="BU324">
        <v>129554.22715200001</v>
      </c>
      <c r="BV324">
        <v>9760.1930929999999</v>
      </c>
      <c r="BW324">
        <v>45880.753155999999</v>
      </c>
      <c r="BX324">
        <v>55640.946249000001</v>
      </c>
      <c r="BY324">
        <v>47287.066701000003</v>
      </c>
      <c r="BZ324">
        <v>235857.69184700001</v>
      </c>
      <c r="CA324">
        <v>283144.75854800001</v>
      </c>
      <c r="CB324">
        <v>34612.481027000002</v>
      </c>
      <c r="CC324">
        <v>42.619942000000002</v>
      </c>
      <c r="CD324">
        <v>118389.51343799999</v>
      </c>
      <c r="CE324">
        <v>289500.10540499998</v>
      </c>
      <c r="CF324">
        <v>84288.383388000002</v>
      </c>
      <c r="CG324">
        <v>20978.85</v>
      </c>
      <c r="CH324">
        <v>647771.13575899997</v>
      </c>
      <c r="CI324">
        <v>3092074.3478999999</v>
      </c>
      <c r="CJ324">
        <v>642526.80000000005</v>
      </c>
    </row>
    <row r="325" spans="58:88" x14ac:dyDescent="0.45">
      <c r="BF325" t="s">
        <v>122</v>
      </c>
      <c r="BG325" t="s">
        <v>166</v>
      </c>
      <c r="BH325" t="s">
        <v>124</v>
      </c>
      <c r="BI325" t="s">
        <v>164</v>
      </c>
      <c r="BJ325" t="s">
        <v>142</v>
      </c>
      <c r="BK325" t="s">
        <v>0</v>
      </c>
      <c r="BL325" t="s">
        <v>138</v>
      </c>
      <c r="BM325" t="s">
        <v>140</v>
      </c>
      <c r="BN325" t="s">
        <v>130</v>
      </c>
      <c r="BO325">
        <v>45.53</v>
      </c>
      <c r="BP325">
        <v>2</v>
      </c>
      <c r="BQ325">
        <v>335355.76799999998</v>
      </c>
      <c r="BR325">
        <v>20718.164852000002</v>
      </c>
      <c r="BS325">
        <v>50662.518446000002</v>
      </c>
      <c r="BT325">
        <v>17302.213612</v>
      </c>
      <c r="BU325">
        <v>129554.22715200001</v>
      </c>
      <c r="BV325">
        <v>9760.1930929999999</v>
      </c>
      <c r="BW325">
        <v>45880.753155999999</v>
      </c>
      <c r="BX325">
        <v>55640.946249000001</v>
      </c>
      <c r="BY325">
        <v>38020.378464000001</v>
      </c>
      <c r="BZ325">
        <v>235857.69184700001</v>
      </c>
      <c r="CA325">
        <v>273878.07031099999</v>
      </c>
      <c r="CB325">
        <v>61477.697689000001</v>
      </c>
      <c r="CC325">
        <v>0</v>
      </c>
      <c r="CD325">
        <v>118389.51343799999</v>
      </c>
      <c r="CE325">
        <v>289500.10540499998</v>
      </c>
      <c r="CF325">
        <v>84288.383388000002</v>
      </c>
      <c r="CG325">
        <v>20978.85</v>
      </c>
      <c r="CH325">
        <v>647771.13575899997</v>
      </c>
      <c r="CI325">
        <v>3092074.3478999999</v>
      </c>
      <c r="CJ325">
        <v>642526.80000000005</v>
      </c>
    </row>
    <row r="326" spans="58:88" x14ac:dyDescent="0.45">
      <c r="BF326" t="s">
        <v>122</v>
      </c>
      <c r="BG326" t="s">
        <v>166</v>
      </c>
      <c r="BH326" t="s">
        <v>124</v>
      </c>
      <c r="BI326" t="s">
        <v>164</v>
      </c>
      <c r="BJ326" t="s">
        <v>143</v>
      </c>
      <c r="BK326" t="s">
        <v>144</v>
      </c>
      <c r="BL326" t="s">
        <v>145</v>
      </c>
      <c r="BM326" t="s">
        <v>129</v>
      </c>
      <c r="BN326" t="s">
        <v>137</v>
      </c>
      <c r="BO326">
        <v>47.269295</v>
      </c>
      <c r="BP326">
        <v>2</v>
      </c>
      <c r="BQ326">
        <v>356391.57658200001</v>
      </c>
      <c r="BR326">
        <v>29597.378359999999</v>
      </c>
      <c r="BS326">
        <v>75796.140708999999</v>
      </c>
      <c r="BT326">
        <v>29939.688988999998</v>
      </c>
      <c r="BU326">
        <v>142682.35745899999</v>
      </c>
      <c r="BV326">
        <v>10623.194506</v>
      </c>
      <c r="BW326">
        <v>49437.036519000001</v>
      </c>
      <c r="BX326">
        <v>60060.231025000001</v>
      </c>
      <c r="BY326">
        <v>59537.067348999997</v>
      </c>
      <c r="BZ326">
        <v>278538.72919300001</v>
      </c>
      <c r="CA326">
        <v>338075.79654200003</v>
      </c>
      <c r="CB326">
        <v>18315.780040000001</v>
      </c>
      <c r="CC326">
        <v>47.269295</v>
      </c>
      <c r="CD326">
        <v>118389.51343799999</v>
      </c>
      <c r="CE326">
        <v>303184.56283499999</v>
      </c>
      <c r="CF326">
        <v>90856.589544000002</v>
      </c>
      <c r="CG326">
        <v>23676.85</v>
      </c>
      <c r="CH326">
        <v>713411.78729600005</v>
      </c>
      <c r="CI326">
        <v>3092074.3478999999</v>
      </c>
      <c r="CJ326">
        <v>642526.80000000005</v>
      </c>
    </row>
    <row r="327" spans="58:88" x14ac:dyDescent="0.45">
      <c r="BF327" t="s">
        <v>122</v>
      </c>
      <c r="BG327" t="s">
        <v>166</v>
      </c>
      <c r="BH327" t="s">
        <v>124</v>
      </c>
      <c r="BI327" t="s">
        <v>164</v>
      </c>
      <c r="BJ327" t="s">
        <v>143</v>
      </c>
      <c r="BK327" t="s">
        <v>144</v>
      </c>
      <c r="BL327" t="s">
        <v>145</v>
      </c>
      <c r="BM327" t="s">
        <v>131</v>
      </c>
      <c r="BN327" t="s">
        <v>130</v>
      </c>
      <c r="BO327">
        <v>48.49</v>
      </c>
      <c r="BP327">
        <v>2</v>
      </c>
      <c r="BQ327">
        <v>337149.03039999999</v>
      </c>
      <c r="BR327">
        <v>23677.902687999998</v>
      </c>
      <c r="BS327">
        <v>60636.912566999999</v>
      </c>
      <c r="BT327">
        <v>18434.166022000001</v>
      </c>
      <c r="BU327">
        <v>142682.35745899999</v>
      </c>
      <c r="BV327">
        <v>10623.194506</v>
      </c>
      <c r="BW327">
        <v>49437.036519000001</v>
      </c>
      <c r="BX327">
        <v>60060.231025000001</v>
      </c>
      <c r="BY327">
        <v>42112.06871</v>
      </c>
      <c r="BZ327">
        <v>263379.50105100003</v>
      </c>
      <c r="CA327">
        <v>305491.56976099999</v>
      </c>
      <c r="CB327">
        <v>31657.460639000001</v>
      </c>
      <c r="CC327">
        <v>0</v>
      </c>
      <c r="CD327">
        <v>118389.51343799999</v>
      </c>
      <c r="CE327">
        <v>303184.56283499999</v>
      </c>
      <c r="CF327">
        <v>90856.589544000002</v>
      </c>
      <c r="CG327">
        <v>23676.85</v>
      </c>
      <c r="CH327">
        <v>713411.78729600005</v>
      </c>
      <c r="CI327">
        <v>3092074.3478999999</v>
      </c>
      <c r="CJ327">
        <v>642526.80000000005</v>
      </c>
    </row>
    <row r="328" spans="58:88" x14ac:dyDescent="0.45">
      <c r="BF328" t="s">
        <v>122</v>
      </c>
      <c r="BG328" t="s">
        <v>166</v>
      </c>
      <c r="BH328" t="s">
        <v>124</v>
      </c>
      <c r="BI328" t="s">
        <v>164</v>
      </c>
      <c r="BJ328" t="s">
        <v>143</v>
      </c>
      <c r="BK328" t="s">
        <v>144</v>
      </c>
      <c r="BL328" t="s">
        <v>145</v>
      </c>
      <c r="BM328" t="s">
        <v>132</v>
      </c>
      <c r="BN328" t="s">
        <v>130</v>
      </c>
      <c r="BO328">
        <v>47.51</v>
      </c>
      <c r="BP328">
        <v>2</v>
      </c>
      <c r="BQ328">
        <v>330335.12959999999</v>
      </c>
      <c r="BR328">
        <v>23677.902687999998</v>
      </c>
      <c r="BS328">
        <v>60636.912566999999</v>
      </c>
      <c r="BT328">
        <v>18061.654005</v>
      </c>
      <c r="BU328">
        <v>142682.35745899999</v>
      </c>
      <c r="BV328">
        <v>10623.194506</v>
      </c>
      <c r="BW328">
        <v>49437.036519000001</v>
      </c>
      <c r="BX328">
        <v>60060.231025000001</v>
      </c>
      <c r="BY328">
        <v>41739.556692999999</v>
      </c>
      <c r="BZ328">
        <v>263379.50105100003</v>
      </c>
      <c r="CA328">
        <v>305119.05774399999</v>
      </c>
      <c r="CB328">
        <v>25216.071855999999</v>
      </c>
      <c r="CC328">
        <v>0</v>
      </c>
      <c r="CD328">
        <v>118389.51343799999</v>
      </c>
      <c r="CE328">
        <v>303184.56283499999</v>
      </c>
      <c r="CF328">
        <v>90856.589544000002</v>
      </c>
      <c r="CG328">
        <v>23676.85</v>
      </c>
      <c r="CH328">
        <v>713411.78729600005</v>
      </c>
      <c r="CI328">
        <v>3092074.3478999999</v>
      </c>
      <c r="CJ328">
        <v>642526.80000000005</v>
      </c>
    </row>
    <row r="329" spans="58:88" x14ac:dyDescent="0.45">
      <c r="BF329" t="s">
        <v>122</v>
      </c>
      <c r="BG329" t="s">
        <v>166</v>
      </c>
      <c r="BH329" t="s">
        <v>124</v>
      </c>
      <c r="BI329" t="s">
        <v>164</v>
      </c>
      <c r="BJ329" t="s">
        <v>143</v>
      </c>
      <c r="BK329" t="s">
        <v>144</v>
      </c>
      <c r="BL329" t="s">
        <v>146</v>
      </c>
      <c r="BM329" t="s">
        <v>139</v>
      </c>
      <c r="BN329" t="s">
        <v>130</v>
      </c>
      <c r="BO329">
        <v>46.232973999999999</v>
      </c>
      <c r="BP329">
        <v>2</v>
      </c>
      <c r="BQ329">
        <v>348578.13076999999</v>
      </c>
      <c r="BR329">
        <v>20718.164852000002</v>
      </c>
      <c r="BS329">
        <v>53057.298496000003</v>
      </c>
      <c r="BT329">
        <v>29283.324288</v>
      </c>
      <c r="BU329">
        <v>142682.35745899999</v>
      </c>
      <c r="BV329">
        <v>10623.194506</v>
      </c>
      <c r="BW329">
        <v>49437.036519000001</v>
      </c>
      <c r="BX329">
        <v>60060.231025000001</v>
      </c>
      <c r="BY329">
        <v>50001.489139999998</v>
      </c>
      <c r="BZ329">
        <v>255799.88698000001</v>
      </c>
      <c r="CA329">
        <v>305801.37611999997</v>
      </c>
      <c r="CB329">
        <v>42776.754650000003</v>
      </c>
      <c r="CC329">
        <v>46.232973999999999</v>
      </c>
      <c r="CD329">
        <v>118389.51343799999</v>
      </c>
      <c r="CE329">
        <v>303184.56283499999</v>
      </c>
      <c r="CF329">
        <v>90856.589544000002</v>
      </c>
      <c r="CG329">
        <v>23676.85</v>
      </c>
      <c r="CH329">
        <v>713411.78729600005</v>
      </c>
      <c r="CI329">
        <v>3092074.3478999999</v>
      </c>
      <c r="CJ329">
        <v>642526.80000000005</v>
      </c>
    </row>
    <row r="330" spans="58:88" x14ac:dyDescent="0.45">
      <c r="BF330" t="s">
        <v>122</v>
      </c>
      <c r="BG330" t="s">
        <v>166</v>
      </c>
      <c r="BH330" t="s">
        <v>124</v>
      </c>
      <c r="BI330" t="s">
        <v>164</v>
      </c>
      <c r="BJ330" t="s">
        <v>143</v>
      </c>
      <c r="BK330" t="s">
        <v>144</v>
      </c>
      <c r="BL330" t="s">
        <v>146</v>
      </c>
      <c r="BM330" t="s">
        <v>140</v>
      </c>
      <c r="BN330" t="s">
        <v>130</v>
      </c>
      <c r="BO330">
        <v>49.49</v>
      </c>
      <c r="BP330">
        <v>2</v>
      </c>
      <c r="BQ330">
        <v>368680.70400000003</v>
      </c>
      <c r="BR330">
        <v>20718.164852000002</v>
      </c>
      <c r="BS330">
        <v>53057.298496000003</v>
      </c>
      <c r="BT330">
        <v>18814.309992999999</v>
      </c>
      <c r="BU330">
        <v>142682.35745899999</v>
      </c>
      <c r="BV330">
        <v>10623.194506</v>
      </c>
      <c r="BW330">
        <v>49437.036519000001</v>
      </c>
      <c r="BX330">
        <v>60060.231025000001</v>
      </c>
      <c r="BY330">
        <v>39532.474844999997</v>
      </c>
      <c r="BZ330">
        <v>255799.88698000001</v>
      </c>
      <c r="CA330">
        <v>295332.36182500003</v>
      </c>
      <c r="CB330">
        <v>73348.342174999998</v>
      </c>
      <c r="CC330">
        <v>0</v>
      </c>
      <c r="CD330">
        <v>118389.51343799999</v>
      </c>
      <c r="CE330">
        <v>303184.56283499999</v>
      </c>
      <c r="CF330">
        <v>90856.589544000002</v>
      </c>
      <c r="CG330">
        <v>23676.85</v>
      </c>
      <c r="CH330">
        <v>713411.78729600005</v>
      </c>
      <c r="CI330">
        <v>3092074.3478999999</v>
      </c>
      <c r="CJ330">
        <v>642526.80000000005</v>
      </c>
    </row>
    <row r="331" spans="58:88" x14ac:dyDescent="0.45">
      <c r="BF331" t="s">
        <v>122</v>
      </c>
      <c r="BG331" t="s">
        <v>166</v>
      </c>
      <c r="BH331" t="s">
        <v>124</v>
      </c>
      <c r="BI331" t="s">
        <v>164</v>
      </c>
      <c r="BJ331" t="s">
        <v>147</v>
      </c>
      <c r="BK331" t="s">
        <v>144</v>
      </c>
      <c r="BL331" t="s">
        <v>145</v>
      </c>
      <c r="BM331" t="s">
        <v>129</v>
      </c>
      <c r="BN331" t="s">
        <v>137</v>
      </c>
      <c r="BO331">
        <v>61.226542999999999</v>
      </c>
      <c r="BP331">
        <v>3</v>
      </c>
      <c r="BQ331">
        <v>499241.23162199999</v>
      </c>
      <c r="BR331">
        <v>44396.069528</v>
      </c>
      <c r="BS331">
        <v>124848.37652599999</v>
      </c>
      <c r="BT331">
        <v>43330.835545000002</v>
      </c>
      <c r="BU331">
        <v>235168.615728</v>
      </c>
      <c r="BV331">
        <v>15958.249083999999</v>
      </c>
      <c r="BW331">
        <v>74264.717858999997</v>
      </c>
      <c r="BX331">
        <v>90222.966943000007</v>
      </c>
      <c r="BY331">
        <v>87726.905073000002</v>
      </c>
      <c r="BZ331">
        <v>450239.95919700002</v>
      </c>
      <c r="CA331">
        <v>537966.86427000002</v>
      </c>
      <c r="CB331">
        <v>-38725.632647999999</v>
      </c>
      <c r="CC331">
        <v>61.226542999999999</v>
      </c>
      <c r="CD331">
        <v>153906.66165600001</v>
      </c>
      <c r="CE331">
        <v>432808.51319999999</v>
      </c>
      <c r="CF331">
        <v>118222.807698</v>
      </c>
      <c r="CG331">
        <v>39693.85</v>
      </c>
      <c r="CH331">
        <v>1019065.020553</v>
      </c>
      <c r="CI331">
        <v>3092074.3478999999</v>
      </c>
      <c r="CJ331">
        <v>642526.80000000005</v>
      </c>
    </row>
    <row r="332" spans="58:88" x14ac:dyDescent="0.45">
      <c r="BF332" t="s">
        <v>122</v>
      </c>
      <c r="BG332" t="s">
        <v>166</v>
      </c>
      <c r="BH332" t="s">
        <v>124</v>
      </c>
      <c r="BI332" t="s">
        <v>164</v>
      </c>
      <c r="BJ332" t="s">
        <v>147</v>
      </c>
      <c r="BK332" t="s">
        <v>144</v>
      </c>
      <c r="BL332" t="s">
        <v>145</v>
      </c>
      <c r="BM332" t="s">
        <v>131</v>
      </c>
      <c r="BN332" t="s">
        <v>130</v>
      </c>
      <c r="BO332">
        <v>63.34</v>
      </c>
      <c r="BP332">
        <v>2</v>
      </c>
      <c r="BQ332">
        <v>476722.17599999998</v>
      </c>
      <c r="BR332">
        <v>23677.924268999999</v>
      </c>
      <c r="BS332">
        <v>66585.858521999995</v>
      </c>
      <c r="BT332">
        <v>24066.498739999999</v>
      </c>
      <c r="BU332">
        <v>156779.07715200001</v>
      </c>
      <c r="BV332">
        <v>10638.832723</v>
      </c>
      <c r="BW332">
        <v>49509.811906000003</v>
      </c>
      <c r="BX332">
        <v>60148.644629000002</v>
      </c>
      <c r="BY332">
        <v>47744.423008999998</v>
      </c>
      <c r="BZ332">
        <v>283513.580303</v>
      </c>
      <c r="CA332">
        <v>331258.00331200002</v>
      </c>
      <c r="CB332">
        <v>145464.17268799999</v>
      </c>
      <c r="CC332">
        <v>0</v>
      </c>
      <c r="CD332">
        <v>153906.66165600001</v>
      </c>
      <c r="CE332">
        <v>432808.51319999999</v>
      </c>
      <c r="CF332">
        <v>118222.807698</v>
      </c>
      <c r="CG332">
        <v>39693.85</v>
      </c>
      <c r="CH332">
        <v>1019065.020553</v>
      </c>
      <c r="CI332">
        <v>3092074.3478999999</v>
      </c>
      <c r="CJ332">
        <v>642526.80000000005</v>
      </c>
    </row>
    <row r="333" spans="58:88" x14ac:dyDescent="0.45">
      <c r="BF333" t="s">
        <v>122</v>
      </c>
      <c r="BG333" t="s">
        <v>166</v>
      </c>
      <c r="BH333" t="s">
        <v>124</v>
      </c>
      <c r="BI333" t="s">
        <v>164</v>
      </c>
      <c r="BJ333" t="s">
        <v>147</v>
      </c>
      <c r="BK333" t="s">
        <v>144</v>
      </c>
      <c r="BL333" t="s">
        <v>145</v>
      </c>
      <c r="BM333" t="s">
        <v>132</v>
      </c>
      <c r="BN333" t="s">
        <v>130</v>
      </c>
      <c r="BO333">
        <v>62.36</v>
      </c>
      <c r="BP333">
        <v>2</v>
      </c>
      <c r="BQ333">
        <v>469346.304</v>
      </c>
      <c r="BR333">
        <v>23677.924268999999</v>
      </c>
      <c r="BS333">
        <v>66585.858521999995</v>
      </c>
      <c r="BT333">
        <v>23694.096895999999</v>
      </c>
      <c r="BU333">
        <v>156779.07715200001</v>
      </c>
      <c r="BV333">
        <v>10638.832723</v>
      </c>
      <c r="BW333">
        <v>49509.811906000003</v>
      </c>
      <c r="BX333">
        <v>60148.644629000002</v>
      </c>
      <c r="BY333">
        <v>47372.021164999998</v>
      </c>
      <c r="BZ333">
        <v>283513.580303</v>
      </c>
      <c r="CA333">
        <v>330885.60146799998</v>
      </c>
      <c r="CB333">
        <v>138460.702532</v>
      </c>
      <c r="CC333">
        <v>0</v>
      </c>
      <c r="CD333">
        <v>153906.66165600001</v>
      </c>
      <c r="CE333">
        <v>432808.51319999999</v>
      </c>
      <c r="CF333">
        <v>118222.807698</v>
      </c>
      <c r="CG333">
        <v>39693.85</v>
      </c>
      <c r="CH333">
        <v>1019065.020553</v>
      </c>
      <c r="CI333">
        <v>3092074.3478999999</v>
      </c>
      <c r="CJ333">
        <v>642526.80000000005</v>
      </c>
    </row>
    <row r="334" spans="58:88" x14ac:dyDescent="0.45">
      <c r="BF334" t="s">
        <v>122</v>
      </c>
      <c r="BG334" t="s">
        <v>166</v>
      </c>
      <c r="BH334" t="s">
        <v>124</v>
      </c>
      <c r="BI334" t="s">
        <v>164</v>
      </c>
      <c r="BJ334" t="s">
        <v>147</v>
      </c>
      <c r="BK334" t="s">
        <v>144</v>
      </c>
      <c r="BL334" t="s">
        <v>146</v>
      </c>
      <c r="BM334" t="s">
        <v>139</v>
      </c>
      <c r="BN334" t="s">
        <v>130</v>
      </c>
      <c r="BO334">
        <v>59.880915999999999</v>
      </c>
      <c r="BP334">
        <v>3</v>
      </c>
      <c r="BQ334">
        <v>488268.98906400002</v>
      </c>
      <c r="BR334">
        <v>31077.294841999999</v>
      </c>
      <c r="BS334">
        <v>87393.993411000003</v>
      </c>
      <c r="BT334">
        <v>42378.483532999999</v>
      </c>
      <c r="BU334">
        <v>235168.615728</v>
      </c>
      <c r="BV334">
        <v>15958.249083999999</v>
      </c>
      <c r="BW334">
        <v>74264.717858999997</v>
      </c>
      <c r="BX334">
        <v>90222.966943000007</v>
      </c>
      <c r="BY334">
        <v>73455.778374999994</v>
      </c>
      <c r="BZ334">
        <v>412785.57608199999</v>
      </c>
      <c r="CA334">
        <v>486241.35445699998</v>
      </c>
      <c r="CB334">
        <v>2027.634607</v>
      </c>
      <c r="CC334">
        <v>59.880915999999999</v>
      </c>
      <c r="CD334">
        <v>153906.66165600001</v>
      </c>
      <c r="CE334">
        <v>432808.51319999999</v>
      </c>
      <c r="CF334">
        <v>118222.807698</v>
      </c>
      <c r="CG334">
        <v>39693.85</v>
      </c>
      <c r="CH334">
        <v>1019065.020553</v>
      </c>
      <c r="CI334">
        <v>3092074.3478999999</v>
      </c>
      <c r="CJ334">
        <v>642526.80000000005</v>
      </c>
    </row>
    <row r="335" spans="58:88" x14ac:dyDescent="0.45">
      <c r="BF335" t="s">
        <v>122</v>
      </c>
      <c r="BG335" t="s">
        <v>166</v>
      </c>
      <c r="BH335" t="s">
        <v>124</v>
      </c>
      <c r="BI335" t="s">
        <v>164</v>
      </c>
      <c r="BJ335" t="s">
        <v>147</v>
      </c>
      <c r="BK335" t="s">
        <v>144</v>
      </c>
      <c r="BL335" t="s">
        <v>146</v>
      </c>
      <c r="BM335" t="s">
        <v>140</v>
      </c>
      <c r="BN335" t="s">
        <v>130</v>
      </c>
      <c r="BO335">
        <v>64.34</v>
      </c>
      <c r="BP335">
        <v>3</v>
      </c>
      <c r="BQ335">
        <v>518837.76000000001</v>
      </c>
      <c r="BR335">
        <v>31077.294841999999</v>
      </c>
      <c r="BS335">
        <v>87393.993411000003</v>
      </c>
      <c r="BT335">
        <v>24446.348621000001</v>
      </c>
      <c r="BU335">
        <v>235168.615728</v>
      </c>
      <c r="BV335">
        <v>15958.249083999999</v>
      </c>
      <c r="BW335">
        <v>74264.717858999997</v>
      </c>
      <c r="BX335">
        <v>90222.966943000007</v>
      </c>
      <c r="BY335">
        <v>55523.643463</v>
      </c>
      <c r="BZ335">
        <v>412785.57608199999</v>
      </c>
      <c r="CA335">
        <v>468309.219545</v>
      </c>
      <c r="CB335">
        <v>50528.540455000002</v>
      </c>
      <c r="CC335">
        <v>0</v>
      </c>
      <c r="CD335">
        <v>153906.66165600001</v>
      </c>
      <c r="CE335">
        <v>432808.51319999999</v>
      </c>
      <c r="CF335">
        <v>118222.807698</v>
      </c>
      <c r="CG335">
        <v>39693.85</v>
      </c>
      <c r="CH335">
        <v>1019065.020553</v>
      </c>
      <c r="CI335">
        <v>3092074.3478999999</v>
      </c>
      <c r="CJ335">
        <v>642526.80000000005</v>
      </c>
    </row>
    <row r="336" spans="58:88" x14ac:dyDescent="0.45">
      <c r="BF336" t="s">
        <v>122</v>
      </c>
      <c r="BG336" t="s">
        <v>166</v>
      </c>
      <c r="BH336" t="s">
        <v>124</v>
      </c>
      <c r="BI336" t="s">
        <v>164</v>
      </c>
      <c r="BJ336" t="s">
        <v>148</v>
      </c>
      <c r="BK336" t="s">
        <v>144</v>
      </c>
      <c r="BL336" t="s">
        <v>145</v>
      </c>
      <c r="BM336" t="s">
        <v>129</v>
      </c>
      <c r="BN336" t="s">
        <v>137</v>
      </c>
      <c r="BO336">
        <v>55.632348999999998</v>
      </c>
      <c r="BP336">
        <v>2</v>
      </c>
      <c r="BQ336">
        <v>432263.35172999999</v>
      </c>
      <c r="BR336">
        <v>30227.015520000001</v>
      </c>
      <c r="BS336">
        <v>79214.31813</v>
      </c>
      <c r="BT336">
        <v>36288.636997000001</v>
      </c>
      <c r="BU336">
        <v>144417.47511299999</v>
      </c>
      <c r="BV336">
        <v>10455.284944000001</v>
      </c>
      <c r="BW336">
        <v>48655.637746</v>
      </c>
      <c r="BX336">
        <v>59110.922689999999</v>
      </c>
      <c r="BY336">
        <v>66515.652516999995</v>
      </c>
      <c r="BZ336">
        <v>282742.71593300003</v>
      </c>
      <c r="CA336">
        <v>349258.36845000001</v>
      </c>
      <c r="CB336">
        <v>83004.98328</v>
      </c>
      <c r="CC336">
        <v>55.632348999999998</v>
      </c>
      <c r="CD336">
        <v>142067.61225000001</v>
      </c>
      <c r="CE336">
        <v>372308.9706</v>
      </c>
      <c r="CF336">
        <v>107276.124312</v>
      </c>
      <c r="CG336">
        <v>29956.35</v>
      </c>
      <c r="CH336">
        <v>866508.31671200006</v>
      </c>
      <c r="CI336">
        <v>3092074.3478999999</v>
      </c>
      <c r="CJ336">
        <v>642526.80000000005</v>
      </c>
    </row>
    <row r="337" spans="58:88" x14ac:dyDescent="0.45">
      <c r="BF337" t="s">
        <v>122</v>
      </c>
      <c r="BG337" t="s">
        <v>166</v>
      </c>
      <c r="BH337" t="s">
        <v>124</v>
      </c>
      <c r="BI337" t="s">
        <v>164</v>
      </c>
      <c r="BJ337" t="s">
        <v>148</v>
      </c>
      <c r="BK337" t="s">
        <v>144</v>
      </c>
      <c r="BL337" t="s">
        <v>145</v>
      </c>
      <c r="BM337" t="s">
        <v>131</v>
      </c>
      <c r="BN337" t="s">
        <v>130</v>
      </c>
      <c r="BO337">
        <v>57.4</v>
      </c>
      <c r="BP337">
        <v>2</v>
      </c>
      <c r="BQ337">
        <v>411443.20000000001</v>
      </c>
      <c r="BR337">
        <v>24181.612416</v>
      </c>
      <c r="BS337">
        <v>63371.454504000001</v>
      </c>
      <c r="BT337">
        <v>21815.565363999998</v>
      </c>
      <c r="BU337">
        <v>144417.47511299999</v>
      </c>
      <c r="BV337">
        <v>10455.284944000001</v>
      </c>
      <c r="BW337">
        <v>48655.637746</v>
      </c>
      <c r="BX337">
        <v>59110.922689999999</v>
      </c>
      <c r="BY337">
        <v>45997.177779999998</v>
      </c>
      <c r="BZ337">
        <v>266899.85230700002</v>
      </c>
      <c r="CA337">
        <v>312897.03008699999</v>
      </c>
      <c r="CB337">
        <v>98546.169913000005</v>
      </c>
      <c r="CC337">
        <v>0</v>
      </c>
      <c r="CD337">
        <v>142067.61225000001</v>
      </c>
      <c r="CE337">
        <v>372308.9706</v>
      </c>
      <c r="CF337">
        <v>107276.124312</v>
      </c>
      <c r="CG337">
        <v>29956.35</v>
      </c>
      <c r="CH337">
        <v>866508.31671200006</v>
      </c>
      <c r="CI337">
        <v>3092074.3478999999</v>
      </c>
      <c r="CJ337">
        <v>642526.80000000005</v>
      </c>
    </row>
    <row r="338" spans="58:88" x14ac:dyDescent="0.45">
      <c r="BF338" t="s">
        <v>122</v>
      </c>
      <c r="BG338" t="s">
        <v>166</v>
      </c>
      <c r="BH338" t="s">
        <v>124</v>
      </c>
      <c r="BI338" t="s">
        <v>164</v>
      </c>
      <c r="BJ338" t="s">
        <v>148</v>
      </c>
      <c r="BK338" t="s">
        <v>144</v>
      </c>
      <c r="BL338" t="s">
        <v>145</v>
      </c>
      <c r="BM338" t="s">
        <v>132</v>
      </c>
      <c r="BN338" t="s">
        <v>130</v>
      </c>
      <c r="BO338">
        <v>56.42</v>
      </c>
      <c r="BP338">
        <v>2</v>
      </c>
      <c r="BQ338">
        <v>404418.56</v>
      </c>
      <c r="BR338">
        <v>24181.612416</v>
      </c>
      <c r="BS338">
        <v>63371.454504000001</v>
      </c>
      <c r="BT338">
        <v>21443.10266</v>
      </c>
      <c r="BU338">
        <v>144417.47511299999</v>
      </c>
      <c r="BV338">
        <v>10455.284944000001</v>
      </c>
      <c r="BW338">
        <v>48655.637746</v>
      </c>
      <c r="BX338">
        <v>59110.922689999999</v>
      </c>
      <c r="BY338">
        <v>45624.715076</v>
      </c>
      <c r="BZ338">
        <v>266899.85230700002</v>
      </c>
      <c r="CA338">
        <v>312524.56738299999</v>
      </c>
      <c r="CB338">
        <v>91893.992616999996</v>
      </c>
      <c r="CC338">
        <v>0</v>
      </c>
      <c r="CD338">
        <v>142067.61225000001</v>
      </c>
      <c r="CE338">
        <v>372308.9706</v>
      </c>
      <c r="CF338">
        <v>107276.124312</v>
      </c>
      <c r="CG338">
        <v>29956.35</v>
      </c>
      <c r="CH338">
        <v>866508.31671200006</v>
      </c>
      <c r="CI338">
        <v>3092074.3478999999</v>
      </c>
      <c r="CJ338">
        <v>642526.80000000005</v>
      </c>
    </row>
    <row r="339" spans="58:88" x14ac:dyDescent="0.45">
      <c r="BF339" t="s">
        <v>122</v>
      </c>
      <c r="BG339" t="s">
        <v>166</v>
      </c>
      <c r="BH339" t="s">
        <v>124</v>
      </c>
      <c r="BI339" t="s">
        <v>164</v>
      </c>
      <c r="BJ339" t="s">
        <v>148</v>
      </c>
      <c r="BK339" t="s">
        <v>144</v>
      </c>
      <c r="BL339" t="s">
        <v>146</v>
      </c>
      <c r="BM339" t="s">
        <v>139</v>
      </c>
      <c r="BN339" t="s">
        <v>130</v>
      </c>
      <c r="BO339">
        <v>54.406976999999998</v>
      </c>
      <c r="BP339">
        <v>3</v>
      </c>
      <c r="BQ339">
        <v>422742.21129000001</v>
      </c>
      <c r="BR339">
        <v>31738.472847000001</v>
      </c>
      <c r="BS339">
        <v>83175.313267999998</v>
      </c>
      <c r="BT339">
        <v>35489.387385000002</v>
      </c>
      <c r="BU339">
        <v>216627.07917800001</v>
      </c>
      <c r="BV339">
        <v>15682.990148000001</v>
      </c>
      <c r="BW339">
        <v>72983.748554000005</v>
      </c>
      <c r="BX339">
        <v>88666.738702000002</v>
      </c>
      <c r="BY339">
        <v>67227.860232000006</v>
      </c>
      <c r="BZ339">
        <v>388469.13114800001</v>
      </c>
      <c r="CA339">
        <v>455696.99138000002</v>
      </c>
      <c r="CB339">
        <v>-32954.78009</v>
      </c>
      <c r="CC339">
        <v>54.406976999999998</v>
      </c>
      <c r="CD339">
        <v>142067.61225000001</v>
      </c>
      <c r="CE339">
        <v>372308.9706</v>
      </c>
      <c r="CF339">
        <v>107276.124312</v>
      </c>
      <c r="CG339">
        <v>29956.35</v>
      </c>
      <c r="CH339">
        <v>866508.31671200006</v>
      </c>
      <c r="CI339">
        <v>3092074.3478999999</v>
      </c>
      <c r="CJ339">
        <v>642526.80000000005</v>
      </c>
    </row>
    <row r="340" spans="58:88" x14ac:dyDescent="0.45">
      <c r="BF340" t="s">
        <v>122</v>
      </c>
      <c r="BG340" t="s">
        <v>166</v>
      </c>
      <c r="BH340" t="s">
        <v>124</v>
      </c>
      <c r="BI340" t="s">
        <v>164</v>
      </c>
      <c r="BJ340" t="s">
        <v>148</v>
      </c>
      <c r="BK340" t="s">
        <v>144</v>
      </c>
      <c r="BL340" t="s">
        <v>146</v>
      </c>
      <c r="BM340" t="s">
        <v>140</v>
      </c>
      <c r="BN340" t="s">
        <v>130</v>
      </c>
      <c r="BO340">
        <v>58.4</v>
      </c>
      <c r="BP340">
        <v>3</v>
      </c>
      <c r="BQ340">
        <v>448512</v>
      </c>
      <c r="BR340">
        <v>31738.472847000001</v>
      </c>
      <c r="BS340">
        <v>83175.313267999998</v>
      </c>
      <c r="BT340">
        <v>22195.537396</v>
      </c>
      <c r="BU340">
        <v>216627.07917800001</v>
      </c>
      <c r="BV340">
        <v>15682.990148000001</v>
      </c>
      <c r="BW340">
        <v>72983.748554000005</v>
      </c>
      <c r="BX340">
        <v>88666.738702000002</v>
      </c>
      <c r="BY340">
        <v>53934.010242999997</v>
      </c>
      <c r="BZ340">
        <v>388469.13114800001</v>
      </c>
      <c r="CA340">
        <v>442403.14139100001</v>
      </c>
      <c r="CB340">
        <v>6108.8586089999999</v>
      </c>
      <c r="CC340">
        <v>0</v>
      </c>
      <c r="CD340">
        <v>142067.61225000001</v>
      </c>
      <c r="CE340">
        <v>372308.9706</v>
      </c>
      <c r="CF340">
        <v>107276.124312</v>
      </c>
      <c r="CG340">
        <v>29956.35</v>
      </c>
      <c r="CH340">
        <v>866508.31671200006</v>
      </c>
      <c r="CI340">
        <v>3092074.3478999999</v>
      </c>
      <c r="CJ340">
        <v>642526.80000000005</v>
      </c>
    </row>
    <row r="341" spans="58:88" x14ac:dyDescent="0.45">
      <c r="BF341" t="s">
        <v>122</v>
      </c>
      <c r="BG341" t="s">
        <v>166</v>
      </c>
      <c r="BH341" t="s">
        <v>124</v>
      </c>
      <c r="BI341" t="s">
        <v>164</v>
      </c>
      <c r="BJ341" t="s">
        <v>149</v>
      </c>
      <c r="BK341" t="s">
        <v>144</v>
      </c>
      <c r="BL341" t="s">
        <v>145</v>
      </c>
      <c r="BM341" t="s">
        <v>129</v>
      </c>
      <c r="BN341" t="s">
        <v>137</v>
      </c>
      <c r="BO341">
        <v>72.432653999999999</v>
      </c>
      <c r="BP341">
        <v>3</v>
      </c>
      <c r="BQ341">
        <v>629555.65550600004</v>
      </c>
      <c r="BR341">
        <v>44396.190116999998</v>
      </c>
      <c r="BS341">
        <v>135745.27280999999</v>
      </c>
      <c r="BT341">
        <v>60312.987107000001</v>
      </c>
      <c r="BU341">
        <v>259482.16881199999</v>
      </c>
      <c r="BV341">
        <v>16310.901507</v>
      </c>
      <c r="BW341">
        <v>75905.852329999994</v>
      </c>
      <c r="BX341">
        <v>92216.753836999997</v>
      </c>
      <c r="BY341">
        <v>104709.177224</v>
      </c>
      <c r="BZ341">
        <v>487444.19545900001</v>
      </c>
      <c r="CA341">
        <v>592153.37268300005</v>
      </c>
      <c r="CB341">
        <v>37402.282823000001</v>
      </c>
      <c r="CC341">
        <v>72.432653999999999</v>
      </c>
      <c r="CD341">
        <v>177584.76046799999</v>
      </c>
      <c r="CE341">
        <v>542981.09123999998</v>
      </c>
      <c r="CF341">
        <v>139385.61108</v>
      </c>
      <c r="CG341">
        <v>64876.45</v>
      </c>
      <c r="CH341">
        <v>1297410.844061</v>
      </c>
      <c r="CI341">
        <v>3092074.3478999999</v>
      </c>
      <c r="CJ341">
        <v>642526.80000000005</v>
      </c>
    </row>
    <row r="342" spans="58:88" x14ac:dyDescent="0.45">
      <c r="BF342" t="s">
        <v>122</v>
      </c>
      <c r="BG342" t="s">
        <v>166</v>
      </c>
      <c r="BH342" t="s">
        <v>124</v>
      </c>
      <c r="BI342" t="s">
        <v>164</v>
      </c>
      <c r="BJ342" t="s">
        <v>149</v>
      </c>
      <c r="BK342" t="s">
        <v>144</v>
      </c>
      <c r="BL342" t="s">
        <v>145</v>
      </c>
      <c r="BM342" t="s">
        <v>131</v>
      </c>
      <c r="BN342" t="s">
        <v>130</v>
      </c>
      <c r="BO342">
        <v>75.22</v>
      </c>
      <c r="BP342">
        <v>3</v>
      </c>
      <c r="BQ342">
        <v>603878.19519999996</v>
      </c>
      <c r="BR342">
        <v>35516.952094</v>
      </c>
      <c r="BS342">
        <v>108596.218248</v>
      </c>
      <c r="BT342">
        <v>28572.238258000001</v>
      </c>
      <c r="BU342">
        <v>259482.16881199999</v>
      </c>
      <c r="BV342">
        <v>16310.901507</v>
      </c>
      <c r="BW342">
        <v>75905.852329999994</v>
      </c>
      <c r="BX342">
        <v>92216.753836999997</v>
      </c>
      <c r="BY342">
        <v>64089.190351999998</v>
      </c>
      <c r="BZ342">
        <v>460295.14089699998</v>
      </c>
      <c r="CA342">
        <v>524384.33124900004</v>
      </c>
      <c r="CB342">
        <v>79493.863951000007</v>
      </c>
      <c r="CC342">
        <v>0</v>
      </c>
      <c r="CD342">
        <v>177584.76046799999</v>
      </c>
      <c r="CE342">
        <v>542981.09123999998</v>
      </c>
      <c r="CF342">
        <v>139385.61108</v>
      </c>
      <c r="CG342">
        <v>64876.45</v>
      </c>
      <c r="CH342">
        <v>1297410.844061</v>
      </c>
      <c r="CI342">
        <v>3092074.3478999999</v>
      </c>
      <c r="CJ342">
        <v>642526.80000000005</v>
      </c>
    </row>
    <row r="343" spans="58:88" x14ac:dyDescent="0.45">
      <c r="BF343" t="s">
        <v>122</v>
      </c>
      <c r="BG343" t="s">
        <v>166</v>
      </c>
      <c r="BH343" t="s">
        <v>124</v>
      </c>
      <c r="BI343" t="s">
        <v>164</v>
      </c>
      <c r="BJ343" t="s">
        <v>149</v>
      </c>
      <c r="BK343" t="s">
        <v>144</v>
      </c>
      <c r="BL343" t="s">
        <v>145</v>
      </c>
      <c r="BM343" t="s">
        <v>132</v>
      </c>
      <c r="BN343" t="s">
        <v>130</v>
      </c>
      <c r="BO343">
        <v>73.239999999999995</v>
      </c>
      <c r="BP343">
        <v>3</v>
      </c>
      <c r="BQ343">
        <v>587982.43839999998</v>
      </c>
      <c r="BR343">
        <v>35516.952094</v>
      </c>
      <c r="BS343">
        <v>108596.218248</v>
      </c>
      <c r="BT343">
        <v>27820.113501</v>
      </c>
      <c r="BU343">
        <v>259482.16881199999</v>
      </c>
      <c r="BV343">
        <v>16310.901507</v>
      </c>
      <c r="BW343">
        <v>75905.852329999994</v>
      </c>
      <c r="BX343">
        <v>92216.753836999997</v>
      </c>
      <c r="BY343">
        <v>63337.065595</v>
      </c>
      <c r="BZ343">
        <v>460295.14089699998</v>
      </c>
      <c r="CA343">
        <v>523632.20649200003</v>
      </c>
      <c r="CB343">
        <v>64350.231908000002</v>
      </c>
      <c r="CC343">
        <v>0</v>
      </c>
      <c r="CD343">
        <v>177584.76046799999</v>
      </c>
      <c r="CE343">
        <v>542981.09123999998</v>
      </c>
      <c r="CF343">
        <v>139385.61108</v>
      </c>
      <c r="CG343">
        <v>64876.45</v>
      </c>
      <c r="CH343">
        <v>1297410.844061</v>
      </c>
      <c r="CI343">
        <v>3092074.3478999999</v>
      </c>
      <c r="CJ343">
        <v>642526.80000000005</v>
      </c>
    </row>
    <row r="344" spans="58:88" x14ac:dyDescent="0.45">
      <c r="BF344" t="s">
        <v>122</v>
      </c>
      <c r="BG344" t="s">
        <v>166</v>
      </c>
      <c r="BH344" t="s">
        <v>124</v>
      </c>
      <c r="BI344" t="s">
        <v>164</v>
      </c>
      <c r="BJ344" t="s">
        <v>149</v>
      </c>
      <c r="BK344" t="s">
        <v>144</v>
      </c>
      <c r="BL344" t="s">
        <v>146</v>
      </c>
      <c r="BM344" t="s">
        <v>139</v>
      </c>
      <c r="BN344" t="s">
        <v>130</v>
      </c>
      <c r="BO344">
        <v>70.836828999999994</v>
      </c>
      <c r="BP344">
        <v>3</v>
      </c>
      <c r="BQ344">
        <v>615685.38293600001</v>
      </c>
      <c r="BR344">
        <v>31077.333082000001</v>
      </c>
      <c r="BS344">
        <v>95021.690967000002</v>
      </c>
      <c r="BT344">
        <v>58984.140308000002</v>
      </c>
      <c r="BU344">
        <v>259482.16881199999</v>
      </c>
      <c r="BV344">
        <v>16310.901507</v>
      </c>
      <c r="BW344">
        <v>75905.852329999994</v>
      </c>
      <c r="BX344">
        <v>92216.753836999997</v>
      </c>
      <c r="BY344">
        <v>90061.473389999999</v>
      </c>
      <c r="BZ344">
        <v>446720.61361599999</v>
      </c>
      <c r="CA344">
        <v>536782.08700599999</v>
      </c>
      <c r="CB344">
        <v>78903.295929999993</v>
      </c>
      <c r="CC344">
        <v>70.836828999999994</v>
      </c>
      <c r="CD344">
        <v>177584.76046799999</v>
      </c>
      <c r="CE344">
        <v>542981.09123999998</v>
      </c>
      <c r="CF344">
        <v>139385.61108</v>
      </c>
      <c r="CG344">
        <v>64876.45</v>
      </c>
      <c r="CH344">
        <v>1297410.844061</v>
      </c>
      <c r="CI344">
        <v>3092074.3478999999</v>
      </c>
      <c r="CJ344">
        <v>642526.80000000005</v>
      </c>
    </row>
    <row r="345" spans="58:88" x14ac:dyDescent="0.45">
      <c r="BF345" t="s">
        <v>122</v>
      </c>
      <c r="BG345" t="s">
        <v>166</v>
      </c>
      <c r="BH345" t="s">
        <v>124</v>
      </c>
      <c r="BI345" t="s">
        <v>164</v>
      </c>
      <c r="BJ345" t="s">
        <v>149</v>
      </c>
      <c r="BK345" t="s">
        <v>144</v>
      </c>
      <c r="BL345" t="s">
        <v>146</v>
      </c>
      <c r="BM345" t="s">
        <v>140</v>
      </c>
      <c r="BN345" t="s">
        <v>130</v>
      </c>
      <c r="BO345">
        <v>75.22</v>
      </c>
      <c r="BP345">
        <v>3</v>
      </c>
      <c r="BQ345">
        <v>647012.35199999996</v>
      </c>
      <c r="BR345">
        <v>31077.333082000001</v>
      </c>
      <c r="BS345">
        <v>95021.690967000002</v>
      </c>
      <c r="BT345">
        <v>28572.238258000001</v>
      </c>
      <c r="BU345">
        <v>259482.16881199999</v>
      </c>
      <c r="BV345">
        <v>16310.901507</v>
      </c>
      <c r="BW345">
        <v>75905.852329999994</v>
      </c>
      <c r="BX345">
        <v>92216.753836999997</v>
      </c>
      <c r="BY345">
        <v>59649.571340000002</v>
      </c>
      <c r="BZ345">
        <v>446720.61361599999</v>
      </c>
      <c r="CA345">
        <v>506370.18495600001</v>
      </c>
      <c r="CB345">
        <v>140642.167044</v>
      </c>
      <c r="CC345">
        <v>0</v>
      </c>
      <c r="CD345">
        <v>177584.76046799999</v>
      </c>
      <c r="CE345">
        <v>542981.09123999998</v>
      </c>
      <c r="CF345">
        <v>139385.61108</v>
      </c>
      <c r="CG345">
        <v>64876.45</v>
      </c>
      <c r="CH345">
        <v>1297410.844061</v>
      </c>
      <c r="CI345">
        <v>3092074.3478999999</v>
      </c>
      <c r="CJ345">
        <v>642526.80000000005</v>
      </c>
    </row>
    <row r="346" spans="58:88" x14ac:dyDescent="0.45">
      <c r="BF346" t="s">
        <v>122</v>
      </c>
      <c r="BG346" t="s">
        <v>166</v>
      </c>
      <c r="BH346" t="s">
        <v>124</v>
      </c>
      <c r="BI346" t="s">
        <v>164</v>
      </c>
      <c r="BJ346" t="s">
        <v>150</v>
      </c>
      <c r="BK346" t="s">
        <v>151</v>
      </c>
      <c r="BL346" t="s">
        <v>152</v>
      </c>
      <c r="BM346" t="s">
        <v>153</v>
      </c>
      <c r="BN346" t="s">
        <v>130</v>
      </c>
      <c r="BO346">
        <v>32.684119000000003</v>
      </c>
      <c r="BP346">
        <v>2</v>
      </c>
      <c r="BQ346">
        <v>196587.13159599999</v>
      </c>
      <c r="BR346">
        <v>23344.280053999999</v>
      </c>
      <c r="BS346">
        <v>48716.621335999997</v>
      </c>
      <c r="BT346">
        <v>20497.254679000001</v>
      </c>
      <c r="BU346">
        <v>74879.024130000005</v>
      </c>
      <c r="BV346">
        <v>6544.810923</v>
      </c>
      <c r="BW346">
        <v>34813.550230000001</v>
      </c>
      <c r="BX346">
        <v>41358.361152999998</v>
      </c>
      <c r="BY346">
        <v>43841.534733</v>
      </c>
      <c r="BZ346">
        <v>164954.00661899999</v>
      </c>
      <c r="CA346">
        <v>208795.541352</v>
      </c>
      <c r="CB346">
        <v>-12208.409755999999</v>
      </c>
      <c r="CC346">
        <v>32.684119000000003</v>
      </c>
      <c r="CD346">
        <v>94711.414625999998</v>
      </c>
      <c r="CE346">
        <v>197650.99252500001</v>
      </c>
      <c r="CF346">
        <v>51814.105236000003</v>
      </c>
      <c r="CG346">
        <v>20869.599999999999</v>
      </c>
      <c r="CH346">
        <v>374395.12065200001</v>
      </c>
      <c r="CI346">
        <v>3092074.3478999999</v>
      </c>
      <c r="CJ346">
        <v>642526.80000000005</v>
      </c>
    </row>
    <row r="347" spans="58:88" x14ac:dyDescent="0.45">
      <c r="BF347" t="s">
        <v>122</v>
      </c>
      <c r="BG347" t="s">
        <v>166</v>
      </c>
      <c r="BH347" t="s">
        <v>124</v>
      </c>
      <c r="BI347" t="s">
        <v>164</v>
      </c>
      <c r="BJ347" t="s">
        <v>150</v>
      </c>
      <c r="BK347" t="s">
        <v>151</v>
      </c>
      <c r="BL347" t="s">
        <v>152</v>
      </c>
      <c r="BM347" t="s">
        <v>154</v>
      </c>
      <c r="BN347" t="s">
        <v>130</v>
      </c>
      <c r="BO347">
        <v>34.64</v>
      </c>
      <c r="BP347">
        <v>2</v>
      </c>
      <c r="BQ347">
        <v>205233.68640000001</v>
      </c>
      <c r="BR347">
        <v>23344.280053999999</v>
      </c>
      <c r="BS347">
        <v>48716.621335999997</v>
      </c>
      <c r="BT347">
        <v>10664.638209999999</v>
      </c>
      <c r="BU347">
        <v>74879.024130000005</v>
      </c>
      <c r="BV347">
        <v>6544.810923</v>
      </c>
      <c r="BW347">
        <v>34813.550230000001</v>
      </c>
      <c r="BX347">
        <v>41358.361152999998</v>
      </c>
      <c r="BY347">
        <v>34008.918264</v>
      </c>
      <c r="BZ347">
        <v>164954.00661899999</v>
      </c>
      <c r="CA347">
        <v>198962.924883</v>
      </c>
      <c r="CB347">
        <v>6270.7615169999999</v>
      </c>
      <c r="CC347">
        <v>0</v>
      </c>
      <c r="CD347">
        <v>94711.414625999998</v>
      </c>
      <c r="CE347">
        <v>197650.99252500001</v>
      </c>
      <c r="CF347">
        <v>51814.105236000003</v>
      </c>
      <c r="CG347">
        <v>20869.599999999999</v>
      </c>
      <c r="CH347">
        <v>374395.12065200001</v>
      </c>
      <c r="CI347">
        <v>3092074.3478999999</v>
      </c>
      <c r="CJ347">
        <v>642526.80000000005</v>
      </c>
    </row>
    <row r="348" spans="58:88" x14ac:dyDescent="0.45">
      <c r="BF348" t="s">
        <v>122</v>
      </c>
      <c r="BG348" t="s">
        <v>166</v>
      </c>
      <c r="BH348" t="s">
        <v>124</v>
      </c>
      <c r="BI348" t="s">
        <v>164</v>
      </c>
      <c r="BJ348" t="s">
        <v>150</v>
      </c>
      <c r="BK348" t="s">
        <v>151</v>
      </c>
      <c r="BL348" t="s">
        <v>155</v>
      </c>
      <c r="BM348" t="s">
        <v>129</v>
      </c>
      <c r="BN348" t="s">
        <v>130</v>
      </c>
      <c r="BO348">
        <v>32.684119000000003</v>
      </c>
      <c r="BP348">
        <v>2</v>
      </c>
      <c r="BQ348">
        <v>228861.39174399999</v>
      </c>
      <c r="BR348">
        <v>16007.555032</v>
      </c>
      <c r="BS348">
        <v>33405.784850999997</v>
      </c>
      <c r="BT348">
        <v>20497.254679000001</v>
      </c>
      <c r="BU348">
        <v>74879.024130000005</v>
      </c>
      <c r="BV348">
        <v>6544.810923</v>
      </c>
      <c r="BW348">
        <v>34813.550230000001</v>
      </c>
      <c r="BX348">
        <v>41358.361152999998</v>
      </c>
      <c r="BY348">
        <v>36504.809711000002</v>
      </c>
      <c r="BZ348">
        <v>149643.17013400001</v>
      </c>
      <c r="CA348">
        <v>186147.97984499999</v>
      </c>
      <c r="CB348">
        <v>42713.411898999999</v>
      </c>
      <c r="CC348">
        <v>32.684119000000003</v>
      </c>
      <c r="CD348">
        <v>94711.414625999998</v>
      </c>
      <c r="CE348">
        <v>197650.99252500001</v>
      </c>
      <c r="CF348">
        <v>51814.105236000003</v>
      </c>
      <c r="CG348">
        <v>20869.599999999999</v>
      </c>
      <c r="CH348">
        <v>374395.12065200001</v>
      </c>
      <c r="CI348">
        <v>3092074.3478999999</v>
      </c>
      <c r="CJ348">
        <v>642526.80000000005</v>
      </c>
    </row>
    <row r="349" spans="58:88" x14ac:dyDescent="0.45">
      <c r="BF349" t="s">
        <v>122</v>
      </c>
      <c r="BG349" t="s">
        <v>166</v>
      </c>
      <c r="BH349" t="s">
        <v>124</v>
      </c>
      <c r="BI349" t="s">
        <v>164</v>
      </c>
      <c r="BJ349" t="s">
        <v>150</v>
      </c>
      <c r="BK349" t="s">
        <v>151</v>
      </c>
      <c r="BL349" t="s">
        <v>155</v>
      </c>
      <c r="BM349" t="s">
        <v>131</v>
      </c>
      <c r="BN349" t="s">
        <v>130</v>
      </c>
      <c r="BO349">
        <v>34.64</v>
      </c>
      <c r="BP349">
        <v>2</v>
      </c>
      <c r="BQ349">
        <v>239439.3008</v>
      </c>
      <c r="BR349">
        <v>16007.555032</v>
      </c>
      <c r="BS349">
        <v>33405.784850999997</v>
      </c>
      <c r="BT349">
        <v>10664.638209999999</v>
      </c>
      <c r="BU349">
        <v>74879.024130000005</v>
      </c>
      <c r="BV349">
        <v>6544.810923</v>
      </c>
      <c r="BW349">
        <v>34813.550230000001</v>
      </c>
      <c r="BX349">
        <v>41358.361152999998</v>
      </c>
      <c r="BY349">
        <v>26672.193242000001</v>
      </c>
      <c r="BZ349">
        <v>149643.17013400001</v>
      </c>
      <c r="CA349">
        <v>176315.36337599999</v>
      </c>
      <c r="CB349">
        <v>63123.937424000003</v>
      </c>
      <c r="CC349">
        <v>0</v>
      </c>
      <c r="CD349">
        <v>94711.414625999998</v>
      </c>
      <c r="CE349">
        <v>197650.99252500001</v>
      </c>
      <c r="CF349">
        <v>51814.105236000003</v>
      </c>
      <c r="CG349">
        <v>20869.599999999999</v>
      </c>
      <c r="CH349">
        <v>374395.12065200001</v>
      </c>
      <c r="CI349">
        <v>3092074.3478999999</v>
      </c>
      <c r="CJ349">
        <v>642526.80000000005</v>
      </c>
    </row>
    <row r="350" spans="58:88" x14ac:dyDescent="0.45">
      <c r="BF350" t="s">
        <v>122</v>
      </c>
      <c r="BG350" t="s">
        <v>166</v>
      </c>
      <c r="BH350" t="s">
        <v>124</v>
      </c>
      <c r="BI350" t="s">
        <v>164</v>
      </c>
      <c r="BJ350" t="s">
        <v>150</v>
      </c>
      <c r="BK350" t="s">
        <v>151</v>
      </c>
      <c r="BL350" t="s">
        <v>155</v>
      </c>
      <c r="BM350" t="s">
        <v>132</v>
      </c>
      <c r="BN350" t="s">
        <v>130</v>
      </c>
      <c r="BO350">
        <v>33.65</v>
      </c>
      <c r="BP350">
        <v>2</v>
      </c>
      <c r="BQ350">
        <v>232596.20300000001</v>
      </c>
      <c r="BR350">
        <v>16007.555032</v>
      </c>
      <c r="BS350">
        <v>33405.784850999997</v>
      </c>
      <c r="BT350">
        <v>10359.815828999999</v>
      </c>
      <c r="BU350">
        <v>74879.024130000005</v>
      </c>
      <c r="BV350">
        <v>6544.810923</v>
      </c>
      <c r="BW350">
        <v>34813.550230000001</v>
      </c>
      <c r="BX350">
        <v>41358.361152999998</v>
      </c>
      <c r="BY350">
        <v>26367.370860999999</v>
      </c>
      <c r="BZ350">
        <v>149643.17013400001</v>
      </c>
      <c r="CA350">
        <v>176010.54099499999</v>
      </c>
      <c r="CB350">
        <v>56585.662004999998</v>
      </c>
      <c r="CC350">
        <v>0</v>
      </c>
      <c r="CD350">
        <v>94711.414625999998</v>
      </c>
      <c r="CE350">
        <v>197650.99252500001</v>
      </c>
      <c r="CF350">
        <v>51814.105236000003</v>
      </c>
      <c r="CG350">
        <v>20869.599999999999</v>
      </c>
      <c r="CH350">
        <v>374395.12065200001</v>
      </c>
      <c r="CI350">
        <v>3092074.3478999999</v>
      </c>
      <c r="CJ350">
        <v>642526.80000000005</v>
      </c>
    </row>
    <row r="351" spans="58:88" x14ac:dyDescent="0.45">
      <c r="BF351" t="s">
        <v>122</v>
      </c>
      <c r="BG351" t="s">
        <v>166</v>
      </c>
      <c r="BH351" t="s">
        <v>124</v>
      </c>
      <c r="BI351" t="s">
        <v>164</v>
      </c>
      <c r="BJ351" t="s">
        <v>156</v>
      </c>
      <c r="BK351" t="s">
        <v>151</v>
      </c>
      <c r="BL351" t="s">
        <v>155</v>
      </c>
      <c r="BM351" t="s">
        <v>132</v>
      </c>
      <c r="BN351" t="s">
        <v>130</v>
      </c>
      <c r="BO351">
        <v>43.55</v>
      </c>
      <c r="BP351">
        <v>2</v>
      </c>
      <c r="BQ351">
        <v>325854.16499999998</v>
      </c>
      <c r="BR351">
        <v>16007.555032</v>
      </c>
      <c r="BS351">
        <v>44108.489333999998</v>
      </c>
      <c r="BT351">
        <v>13375.242222000001</v>
      </c>
      <c r="BU351">
        <v>115616.84104699999</v>
      </c>
      <c r="BV351">
        <v>8408.828845</v>
      </c>
      <c r="BW351">
        <v>44728.745996999998</v>
      </c>
      <c r="BX351">
        <v>53137.574842000002</v>
      </c>
      <c r="BY351">
        <v>29382.797254000001</v>
      </c>
      <c r="BZ351">
        <v>212862.90522300001</v>
      </c>
      <c r="CA351">
        <v>242245.70247700001</v>
      </c>
      <c r="CB351">
        <v>83608.462522999995</v>
      </c>
      <c r="CC351">
        <v>0</v>
      </c>
      <c r="CD351">
        <v>94711.414625999998</v>
      </c>
      <c r="CE351">
        <v>260975.35905</v>
      </c>
      <c r="CF351">
        <v>66409.683084000004</v>
      </c>
      <c r="CG351">
        <v>34781.4</v>
      </c>
      <c r="CH351">
        <v>578084.20523600001</v>
      </c>
      <c r="CI351">
        <v>3092074.3478999999</v>
      </c>
      <c r="CJ351">
        <v>642526.80000000005</v>
      </c>
    </row>
    <row r="352" spans="58:88" x14ac:dyDescent="0.45">
      <c r="BF352" t="s">
        <v>122</v>
      </c>
      <c r="BG352" t="s">
        <v>166</v>
      </c>
      <c r="BH352" t="s">
        <v>124</v>
      </c>
      <c r="BI352" t="s">
        <v>164</v>
      </c>
      <c r="BJ352" t="s">
        <v>156</v>
      </c>
      <c r="BK352" t="s">
        <v>151</v>
      </c>
      <c r="BL352" t="s">
        <v>155</v>
      </c>
      <c r="BM352" t="s">
        <v>131</v>
      </c>
      <c r="BN352" t="s">
        <v>130</v>
      </c>
      <c r="BO352">
        <v>44.54</v>
      </c>
      <c r="BP352">
        <v>2</v>
      </c>
      <c r="BQ352">
        <v>333261.64199999999</v>
      </c>
      <c r="BR352">
        <v>16007.555032</v>
      </c>
      <c r="BS352">
        <v>44108.489333999998</v>
      </c>
      <c r="BT352">
        <v>13679.265751000001</v>
      </c>
      <c r="BU352">
        <v>115616.84104699999</v>
      </c>
      <c r="BV352">
        <v>8408.828845</v>
      </c>
      <c r="BW352">
        <v>44728.745996999998</v>
      </c>
      <c r="BX352">
        <v>53137.574842000002</v>
      </c>
      <c r="BY352">
        <v>29686.820782999999</v>
      </c>
      <c r="BZ352">
        <v>212862.90522300001</v>
      </c>
      <c r="CA352">
        <v>242549.72600600001</v>
      </c>
      <c r="CB352">
        <v>90711.915993999995</v>
      </c>
      <c r="CC352">
        <v>0</v>
      </c>
      <c r="CD352">
        <v>94711.414625999998</v>
      </c>
      <c r="CE352">
        <v>260975.35905</v>
      </c>
      <c r="CF352">
        <v>66409.683084000004</v>
      </c>
      <c r="CG352">
        <v>34781.4</v>
      </c>
      <c r="CH352">
        <v>578084.20523600001</v>
      </c>
      <c r="CI352">
        <v>3092074.3478999999</v>
      </c>
      <c r="CJ352">
        <v>642526.80000000005</v>
      </c>
    </row>
    <row r="353" spans="58:88" x14ac:dyDescent="0.45">
      <c r="BF353" t="s">
        <v>122</v>
      </c>
      <c r="BG353" t="s">
        <v>166</v>
      </c>
      <c r="BH353" t="s">
        <v>124</v>
      </c>
      <c r="BI353" t="s">
        <v>164</v>
      </c>
      <c r="BJ353" t="s">
        <v>156</v>
      </c>
      <c r="BK353" t="s">
        <v>151</v>
      </c>
      <c r="BL353" t="s">
        <v>152</v>
      </c>
      <c r="BM353" t="s">
        <v>153</v>
      </c>
      <c r="BN353" t="s">
        <v>130</v>
      </c>
      <c r="BO353">
        <v>41.800317</v>
      </c>
      <c r="BP353">
        <v>2</v>
      </c>
      <c r="BQ353">
        <v>271844.18157800002</v>
      </c>
      <c r="BR353">
        <v>23344.280053999999</v>
      </c>
      <c r="BS353">
        <v>64324.684547999997</v>
      </c>
      <c r="BT353">
        <v>30228.555066000001</v>
      </c>
      <c r="BU353">
        <v>115616.84104699999</v>
      </c>
      <c r="BV353">
        <v>8408.828845</v>
      </c>
      <c r="BW353">
        <v>44728.745996999998</v>
      </c>
      <c r="BX353">
        <v>53137.574842000002</v>
      </c>
      <c r="BY353">
        <v>53572.835120000003</v>
      </c>
      <c r="BZ353">
        <v>233079.10043699999</v>
      </c>
      <c r="CA353">
        <v>286651.93555699999</v>
      </c>
      <c r="CB353">
        <v>-14807.753978999999</v>
      </c>
      <c r="CC353">
        <v>41.800317</v>
      </c>
      <c r="CD353">
        <v>94711.414625999998</v>
      </c>
      <c r="CE353">
        <v>260975.35905</v>
      </c>
      <c r="CF353">
        <v>66409.683084000004</v>
      </c>
      <c r="CG353">
        <v>34781.4</v>
      </c>
      <c r="CH353">
        <v>578084.20523600001</v>
      </c>
      <c r="CI353">
        <v>3092074.3478999999</v>
      </c>
      <c r="CJ353">
        <v>642526.80000000005</v>
      </c>
    </row>
    <row r="354" spans="58:88" x14ac:dyDescent="0.45">
      <c r="BF354" t="s">
        <v>122</v>
      </c>
      <c r="BG354" t="s">
        <v>166</v>
      </c>
      <c r="BH354" t="s">
        <v>124</v>
      </c>
      <c r="BI354" t="s">
        <v>164</v>
      </c>
      <c r="BJ354" t="s">
        <v>156</v>
      </c>
      <c r="BK354" t="s">
        <v>151</v>
      </c>
      <c r="BL354" t="s">
        <v>152</v>
      </c>
      <c r="BM354" t="s">
        <v>154</v>
      </c>
      <c r="BN354" t="s">
        <v>130</v>
      </c>
      <c r="BO354">
        <v>44.54</v>
      </c>
      <c r="BP354">
        <v>2</v>
      </c>
      <c r="BQ354">
        <v>285652.83600000001</v>
      </c>
      <c r="BR354">
        <v>23344.280053999999</v>
      </c>
      <c r="BS354">
        <v>64324.684547999997</v>
      </c>
      <c r="BT354">
        <v>13679.265751000001</v>
      </c>
      <c r="BU354">
        <v>115616.84104699999</v>
      </c>
      <c r="BV354">
        <v>8408.828845</v>
      </c>
      <c r="BW354">
        <v>44728.745996999998</v>
      </c>
      <c r="BX354">
        <v>53137.574842000002</v>
      </c>
      <c r="BY354">
        <v>37023.545805000002</v>
      </c>
      <c r="BZ354">
        <v>233079.10043699999</v>
      </c>
      <c r="CA354">
        <v>270102.64624199999</v>
      </c>
      <c r="CB354">
        <v>15550.189758</v>
      </c>
      <c r="CC354">
        <v>0</v>
      </c>
      <c r="CD354">
        <v>94711.414625999998</v>
      </c>
      <c r="CE354">
        <v>260975.35905</v>
      </c>
      <c r="CF354">
        <v>66409.683084000004</v>
      </c>
      <c r="CG354">
        <v>34781.4</v>
      </c>
      <c r="CH354">
        <v>578084.20523600001</v>
      </c>
      <c r="CI354">
        <v>3092074.3478999999</v>
      </c>
      <c r="CJ354">
        <v>642526.80000000005</v>
      </c>
    </row>
    <row r="355" spans="58:88" x14ac:dyDescent="0.45">
      <c r="BF355" t="s">
        <v>122</v>
      </c>
      <c r="BG355" t="s">
        <v>166</v>
      </c>
      <c r="BH355" t="s">
        <v>124</v>
      </c>
      <c r="BI355" t="s">
        <v>164</v>
      </c>
      <c r="BJ355" t="s">
        <v>156</v>
      </c>
      <c r="BK355" t="s">
        <v>151</v>
      </c>
      <c r="BL355" t="s">
        <v>155</v>
      </c>
      <c r="BM355" t="s">
        <v>129</v>
      </c>
      <c r="BN355" t="s">
        <v>130</v>
      </c>
      <c r="BO355">
        <v>41.800317</v>
      </c>
      <c r="BP355">
        <v>2</v>
      </c>
      <c r="BQ355">
        <v>316524.54041900003</v>
      </c>
      <c r="BR355">
        <v>16007.555032</v>
      </c>
      <c r="BS355">
        <v>44108.489333999998</v>
      </c>
      <c r="BT355">
        <v>30228.555066000001</v>
      </c>
      <c r="BU355">
        <v>115616.84104699999</v>
      </c>
      <c r="BV355">
        <v>8408.828845</v>
      </c>
      <c r="BW355">
        <v>44728.745996999998</v>
      </c>
      <c r="BX355">
        <v>53137.574842000002</v>
      </c>
      <c r="BY355">
        <v>46236.110097999997</v>
      </c>
      <c r="BZ355">
        <v>212862.90522300001</v>
      </c>
      <c r="CA355">
        <v>259099.01532100001</v>
      </c>
      <c r="CB355">
        <v>57425.525097999998</v>
      </c>
      <c r="CC355">
        <v>41.800317</v>
      </c>
      <c r="CD355">
        <v>94711.414625999998</v>
      </c>
      <c r="CE355">
        <v>260975.35905</v>
      </c>
      <c r="CF355">
        <v>66409.683084000004</v>
      </c>
      <c r="CG355">
        <v>34781.4</v>
      </c>
      <c r="CH355">
        <v>578084.20523600001</v>
      </c>
      <c r="CI355">
        <v>3092074.3478999999</v>
      </c>
      <c r="CJ355">
        <v>642526.80000000005</v>
      </c>
    </row>
    <row r="356" spans="58:88" x14ac:dyDescent="0.45">
      <c r="BF356" t="s">
        <v>122</v>
      </c>
      <c r="BG356" t="s">
        <v>166</v>
      </c>
      <c r="BH356" t="s">
        <v>124</v>
      </c>
      <c r="BI356" t="s">
        <v>164</v>
      </c>
      <c r="BJ356" t="s">
        <v>157</v>
      </c>
      <c r="BK356" t="s">
        <v>158</v>
      </c>
      <c r="BL356" t="s">
        <v>159</v>
      </c>
      <c r="BM356" t="s">
        <v>129</v>
      </c>
      <c r="BN356" t="s">
        <v>130</v>
      </c>
      <c r="BO356">
        <v>36.329613000000002</v>
      </c>
      <c r="BP356">
        <v>2</v>
      </c>
      <c r="BQ356">
        <v>275899.79648700001</v>
      </c>
      <c r="BR356">
        <v>23678.075133999999</v>
      </c>
      <c r="BS356">
        <v>67034.086026000004</v>
      </c>
      <c r="BT356">
        <v>31688.960128999999</v>
      </c>
      <c r="BU356">
        <v>134506.07892900001</v>
      </c>
      <c r="BV356">
        <v>8304.3654000000006</v>
      </c>
      <c r="BW356">
        <v>38798.800514000002</v>
      </c>
      <c r="BX356">
        <v>47103.165913999997</v>
      </c>
      <c r="BY356">
        <v>55367.035262999998</v>
      </c>
      <c r="BZ356">
        <v>248643.330869</v>
      </c>
      <c r="CA356">
        <v>304010.366132</v>
      </c>
      <c r="CB356">
        <v>-28110.569645</v>
      </c>
      <c r="CC356">
        <v>36.329613000000002</v>
      </c>
      <c r="CD356">
        <v>71034.296436000004</v>
      </c>
      <c r="CE356">
        <v>201102.45918000001</v>
      </c>
      <c r="CF356">
        <v>42691.378770000003</v>
      </c>
      <c r="CG356">
        <v>17907.5</v>
      </c>
      <c r="CH356">
        <v>403518.64030600002</v>
      </c>
      <c r="CI356">
        <v>3092074.3478999999</v>
      </c>
      <c r="CJ356">
        <v>642526.80000000005</v>
      </c>
    </row>
    <row r="357" spans="58:88" x14ac:dyDescent="0.45">
      <c r="BF357" t="s">
        <v>122</v>
      </c>
      <c r="BG357" t="s">
        <v>166</v>
      </c>
      <c r="BH357" t="s">
        <v>124</v>
      </c>
      <c r="BI357" t="s">
        <v>164</v>
      </c>
      <c r="BJ357" t="s">
        <v>157</v>
      </c>
      <c r="BK357" t="s">
        <v>158</v>
      </c>
      <c r="BL357" t="s">
        <v>159</v>
      </c>
      <c r="BM357" t="s">
        <v>131</v>
      </c>
      <c r="BN357" t="s">
        <v>130</v>
      </c>
      <c r="BO357">
        <v>38.6</v>
      </c>
      <c r="BP357">
        <v>2</v>
      </c>
      <c r="BQ357">
        <v>289667.90999999997</v>
      </c>
      <c r="BR357">
        <v>23678.075133999999</v>
      </c>
      <c r="BS357">
        <v>67034.086026000004</v>
      </c>
      <c r="BT357">
        <v>14642.716004</v>
      </c>
      <c r="BU357">
        <v>134506.07892900001</v>
      </c>
      <c r="BV357">
        <v>8304.3654000000006</v>
      </c>
      <c r="BW357">
        <v>38798.800514000002</v>
      </c>
      <c r="BX357">
        <v>47103.165913999997</v>
      </c>
      <c r="BY357">
        <v>38320.791138000001</v>
      </c>
      <c r="BZ357">
        <v>248643.330869</v>
      </c>
      <c r="CA357">
        <v>286964.12200700003</v>
      </c>
      <c r="CB357">
        <v>2703.7879929999999</v>
      </c>
      <c r="CC357">
        <v>0</v>
      </c>
      <c r="CD357">
        <v>71034.296436000004</v>
      </c>
      <c r="CE357">
        <v>201102.45918000001</v>
      </c>
      <c r="CF357">
        <v>42691.378770000003</v>
      </c>
      <c r="CG357">
        <v>17907.5</v>
      </c>
      <c r="CH357">
        <v>403518.64030600002</v>
      </c>
      <c r="CI357">
        <v>3092074.3478999999</v>
      </c>
      <c r="CJ357">
        <v>642526.80000000005</v>
      </c>
    </row>
    <row r="358" spans="58:88" x14ac:dyDescent="0.45">
      <c r="BF358" t="s">
        <v>122</v>
      </c>
      <c r="BG358" t="s">
        <v>166</v>
      </c>
      <c r="BH358" t="s">
        <v>124</v>
      </c>
      <c r="BI358" t="s">
        <v>164</v>
      </c>
      <c r="BJ358" t="s">
        <v>157</v>
      </c>
      <c r="BK358" t="s">
        <v>158</v>
      </c>
      <c r="BL358" t="s">
        <v>159</v>
      </c>
      <c r="BM358" t="s">
        <v>132</v>
      </c>
      <c r="BN358" t="s">
        <v>130</v>
      </c>
      <c r="BO358">
        <v>37.61</v>
      </c>
      <c r="BP358">
        <v>2</v>
      </c>
      <c r="BQ358">
        <v>282238.60350000003</v>
      </c>
      <c r="BR358">
        <v>23678.075133999999</v>
      </c>
      <c r="BS358">
        <v>67034.086026000004</v>
      </c>
      <c r="BT358">
        <v>14267.159944999999</v>
      </c>
      <c r="BU358">
        <v>134506.07892900001</v>
      </c>
      <c r="BV358">
        <v>8304.3654000000006</v>
      </c>
      <c r="BW358">
        <v>38798.800514000002</v>
      </c>
      <c r="BX358">
        <v>47103.165913999997</v>
      </c>
      <c r="BY358">
        <v>37945.235078999998</v>
      </c>
      <c r="BZ358">
        <v>248643.330869</v>
      </c>
      <c r="CA358">
        <v>286588.565948</v>
      </c>
      <c r="CB358">
        <v>-4349.9624480000002</v>
      </c>
      <c r="CC358">
        <v>0</v>
      </c>
      <c r="CD358">
        <v>71034.296436000004</v>
      </c>
      <c r="CE358">
        <v>201102.45918000001</v>
      </c>
      <c r="CF358">
        <v>42691.378770000003</v>
      </c>
      <c r="CG358">
        <v>17907.5</v>
      </c>
      <c r="CH358">
        <v>403518.64030600002</v>
      </c>
      <c r="CI358">
        <v>3092074.3478999999</v>
      </c>
      <c r="CJ358">
        <v>642526.80000000005</v>
      </c>
    </row>
    <row r="359" spans="58:88" x14ac:dyDescent="0.45">
      <c r="BF359" t="s">
        <v>122</v>
      </c>
      <c r="BG359" t="s">
        <v>166</v>
      </c>
      <c r="BH359" t="s">
        <v>124</v>
      </c>
      <c r="BI359" t="s">
        <v>164</v>
      </c>
      <c r="BJ359" t="s">
        <v>160</v>
      </c>
      <c r="BK359" t="s">
        <v>158</v>
      </c>
      <c r="BL359" t="s">
        <v>159</v>
      </c>
      <c r="BM359" t="s">
        <v>129</v>
      </c>
      <c r="BN359" t="s">
        <v>130</v>
      </c>
      <c r="BO359">
        <v>42.750667999999997</v>
      </c>
      <c r="BP359">
        <v>2</v>
      </c>
      <c r="BQ359">
        <v>346051.26721999998</v>
      </c>
      <c r="BR359">
        <v>23678.075133999999</v>
      </c>
      <c r="BS359">
        <v>80524.627829999998</v>
      </c>
      <c r="BT359">
        <v>44935.277747</v>
      </c>
      <c r="BU359">
        <v>179661.03611700001</v>
      </c>
      <c r="BV359">
        <v>9800.9327350000003</v>
      </c>
      <c r="BW359">
        <v>45790.908241999998</v>
      </c>
      <c r="BX359">
        <v>55591.840977</v>
      </c>
      <c r="BY359">
        <v>68613.352880999999</v>
      </c>
      <c r="BZ359">
        <v>315777.50492400001</v>
      </c>
      <c r="CA359">
        <v>384390.85780499998</v>
      </c>
      <c r="CB359">
        <v>-38339.590584999998</v>
      </c>
      <c r="CC359">
        <v>42.750667999999997</v>
      </c>
      <c r="CD359">
        <v>71034.296436000004</v>
      </c>
      <c r="CE359">
        <v>241574.125065</v>
      </c>
      <c r="CF359">
        <v>50353.959078</v>
      </c>
      <c r="CG359">
        <v>28728</v>
      </c>
      <c r="CH359">
        <v>538983.64733499999</v>
      </c>
      <c r="CI359">
        <v>3092074.3478999999</v>
      </c>
      <c r="CJ359">
        <v>642526.80000000005</v>
      </c>
    </row>
    <row r="360" spans="58:88" x14ac:dyDescent="0.45">
      <c r="BF360" t="s">
        <v>122</v>
      </c>
      <c r="BG360" t="s">
        <v>166</v>
      </c>
      <c r="BH360" t="s">
        <v>124</v>
      </c>
      <c r="BI360" t="s">
        <v>164</v>
      </c>
      <c r="BJ360" t="s">
        <v>160</v>
      </c>
      <c r="BK360" t="s">
        <v>158</v>
      </c>
      <c r="BL360" t="s">
        <v>159</v>
      </c>
      <c r="BM360" t="s">
        <v>131</v>
      </c>
      <c r="BN360" t="s">
        <v>130</v>
      </c>
      <c r="BO360">
        <v>45.53</v>
      </c>
      <c r="BP360">
        <v>2</v>
      </c>
      <c r="BQ360">
        <v>364451.25919999997</v>
      </c>
      <c r="BR360">
        <v>23678.075133999999</v>
      </c>
      <c r="BS360">
        <v>80524.627829999998</v>
      </c>
      <c r="BT360">
        <v>17260.984693999999</v>
      </c>
      <c r="BU360">
        <v>179661.03611700001</v>
      </c>
      <c r="BV360">
        <v>9800.9327350000003</v>
      </c>
      <c r="BW360">
        <v>45790.908241999998</v>
      </c>
      <c r="BX360">
        <v>55591.840977</v>
      </c>
      <c r="BY360">
        <v>40939.059827999998</v>
      </c>
      <c r="BZ360">
        <v>315777.50492400001</v>
      </c>
      <c r="CA360">
        <v>356716.56475199998</v>
      </c>
      <c r="CB360">
        <v>7734.6944480000002</v>
      </c>
      <c r="CC360">
        <v>0</v>
      </c>
      <c r="CD360">
        <v>71034.296436000004</v>
      </c>
      <c r="CE360">
        <v>241574.125065</v>
      </c>
      <c r="CF360">
        <v>50353.959078</v>
      </c>
      <c r="CG360">
        <v>28728</v>
      </c>
      <c r="CH360">
        <v>538983.64733499999</v>
      </c>
      <c r="CI360">
        <v>3092074.3478999999</v>
      </c>
      <c r="CJ360">
        <v>642526.80000000005</v>
      </c>
    </row>
    <row r="361" spans="58:88" x14ac:dyDescent="0.45">
      <c r="BF361" t="s">
        <v>122</v>
      </c>
      <c r="BG361" t="s">
        <v>166</v>
      </c>
      <c r="BH361" t="s">
        <v>124</v>
      </c>
      <c r="BI361" t="s">
        <v>164</v>
      </c>
      <c r="BJ361" t="s">
        <v>160</v>
      </c>
      <c r="BK361" t="s">
        <v>158</v>
      </c>
      <c r="BL361" t="s">
        <v>159</v>
      </c>
      <c r="BM361" t="s">
        <v>132</v>
      </c>
      <c r="BN361" t="s">
        <v>130</v>
      </c>
      <c r="BO361">
        <v>44.54</v>
      </c>
      <c r="BP361">
        <v>2</v>
      </c>
      <c r="BQ361">
        <v>356526.66560000001</v>
      </c>
      <c r="BR361">
        <v>23678.075133999999</v>
      </c>
      <c r="BS361">
        <v>80524.627829999998</v>
      </c>
      <c r="BT361">
        <v>16885.646282999998</v>
      </c>
      <c r="BU361">
        <v>179661.03611700001</v>
      </c>
      <c r="BV361">
        <v>9800.9327350000003</v>
      </c>
      <c r="BW361">
        <v>45790.908241999998</v>
      </c>
      <c r="BX361">
        <v>55591.840977</v>
      </c>
      <c r="BY361">
        <v>40563.721417000001</v>
      </c>
      <c r="BZ361">
        <v>315777.50492400001</v>
      </c>
      <c r="CA361">
        <v>356341.226341</v>
      </c>
      <c r="CB361">
        <v>185.43925899999999</v>
      </c>
      <c r="CC361">
        <v>0</v>
      </c>
      <c r="CD361">
        <v>71034.296436000004</v>
      </c>
      <c r="CE361">
        <v>241574.125065</v>
      </c>
      <c r="CF361">
        <v>50353.959078</v>
      </c>
      <c r="CG361">
        <v>28728</v>
      </c>
      <c r="CH361">
        <v>538983.64733499999</v>
      </c>
      <c r="CI361">
        <v>3092074.3478999999</v>
      </c>
      <c r="CJ361">
        <v>642526.80000000005</v>
      </c>
    </row>
  </sheetData>
  <conditionalFormatting sqref="M18:M97">
    <cfRule type="colorScale" priority="1">
      <colorScale>
        <cfvo type="min"/>
        <cfvo type="percentile" val="50"/>
        <cfvo type="max"/>
        <color rgb="FFF6C9CC"/>
        <color rgb="FFFFFFFF"/>
        <color rgb="FFDCEBC0"/>
      </colorScale>
    </cfRule>
  </conditionalFormatting>
  <dataValidations count="2">
    <dataValidation type="list" sqref="C6:C9" xr:uid="{643C8AEF-C9CB-41E8-8D41-FA7157143D7E}">
      <formula1>"Chiffre d'affaires,Effectif,Nombre de classes"</formula1>
    </dataValidation>
    <dataValidation type="list" allowBlank="1" showInputMessage="1" showErrorMessage="1" sqref="C12" xr:uid="{4BBCA678-07CB-4C97-A379-6C164F56870D}">
      <formula1>$E$5:$E$7</formula1>
    </dataValidation>
  </dataValidation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420"/>
  <sheetViews>
    <sheetView workbookViewId="0"/>
  </sheetViews>
  <sheetFormatPr baseColWidth="10" defaultColWidth="9.06640625" defaultRowHeight="14.25" x14ac:dyDescent="0.45"/>
  <sheetData>
    <row r="1" spans="1:46" x14ac:dyDescent="0.45">
      <c r="A1" t="s">
        <v>11</v>
      </c>
      <c r="B1" t="s">
        <v>7</v>
      </c>
      <c r="C1" t="s">
        <v>17</v>
      </c>
      <c r="D1" t="s">
        <v>40</v>
      </c>
      <c r="E1" t="s">
        <v>41</v>
      </c>
      <c r="F1" t="s">
        <v>42</v>
      </c>
      <c r="G1" t="s">
        <v>13</v>
      </c>
      <c r="H1" t="s">
        <v>14</v>
      </c>
      <c r="I1" t="s">
        <v>15</v>
      </c>
      <c r="J1" t="s">
        <v>12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29</v>
      </c>
      <c r="X1" t="s">
        <v>30</v>
      </c>
      <c r="Y1" t="s">
        <v>31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78</v>
      </c>
      <c r="AT1" t="s">
        <v>39</v>
      </c>
    </row>
    <row r="2" spans="1:46" x14ac:dyDescent="0.45">
      <c r="A2" t="str">
        <f>IF(Allocation!BI2="","",Allocation!BI2)</f>
        <v>2024</v>
      </c>
      <c r="B2" t="str">
        <f>IF(Allocation!BJ2="","",Allocation!BJ2)</f>
        <v>IPAC_MTP</v>
      </c>
      <c r="C2" t="str">
        <f>IF(Allocation!BK2="","",Allocation!BK2)</f>
        <v>IPAC</v>
      </c>
      <c r="D2" t="str">
        <f>IF(Allocation!BL2="","",Allocation!BL2)</f>
        <v>BAC_CCE</v>
      </c>
      <c r="E2" t="str">
        <f>IF(Allocation!BM2="","",Allocation!BM2)</f>
        <v>B1</v>
      </c>
      <c r="F2" t="str">
        <f>IF(Allocation!BN2="","",Allocation!BN2)</f>
        <v>ALT</v>
      </c>
      <c r="G2">
        <f>IF(Allocation!BO2="","",Allocation!BO2)</f>
        <v>36</v>
      </c>
      <c r="H2">
        <f>IF(Allocation!BP2="","",Allocation!BP2)</f>
        <v>2</v>
      </c>
      <c r="I2">
        <f>IF(Allocation!BQ2="","",Allocation!BQ2)</f>
        <v>242640</v>
      </c>
      <c r="J2">
        <f>IF(Allocation!CC2="","",Allocation!CC2)</f>
        <v>36</v>
      </c>
      <c r="K2">
        <f t="shared" ref="K2:K65" si="0">IF($A2="","",$H2*IF(AND(LEFT($D2,3)="BAC",$F2="INIT"),600,IF(LEFT($D2,3)="BAC",480,IF(AND(LEFT($D2,3)="MAS",$F2="INIT"),520,IF(LEFT($D2,3)="MAS",420,IF($F2="INIT",1000,700))))))</f>
        <v>960</v>
      </c>
      <c r="L2">
        <f t="shared" ref="L2:L65" si="1">IF($A2="","",SUMIFS($G$1:$G$349,$AS$1:$AS$349,$AS2,$B$1:$B$349,$B2))</f>
        <v>105</v>
      </c>
      <c r="M2">
        <f t="shared" ref="M2:M65" si="2">IF($A2="","",SUMIFS($H$1:$H$349,$AS$1:$AS$349,$AS2,$B$1:$B$349,$B2))</f>
        <v>6</v>
      </c>
      <c r="N2">
        <f t="shared" ref="N2:N65" si="3">IF($A2="","",SUMIFS($I$1:$I$349,$AS$1:$AS$349,$AS2,$B$1:$B$349,$B2))</f>
        <v>701490</v>
      </c>
      <c r="O2">
        <f t="shared" ref="O2:O65" si="4">IF($A2="","",SUMIFS($K$1:$K$349,$AS$1:$AS$349,$AS2,$B$1:$B$349,$B2))</f>
        <v>2880</v>
      </c>
      <c r="P2">
        <f t="shared" ref="P2:P65" si="5">IF($A2="","",SUMIFS($J$1:$J$349,$AS$1:$AS$349,$AS2,$B$1:$B$349,$B2))</f>
        <v>36</v>
      </c>
      <c r="Q2">
        <f t="shared" ref="Q2:Q65" si="6">IF($A2="","",SUMIFS($G$1:$G$349,$AS$1:$AS$349,$AS2,$C$1:$C$349,$C2))</f>
        <v>339</v>
      </c>
      <c r="R2">
        <f t="shared" ref="R2:R65" si="7">IF($A2="","",SUMIFS($H$1:$H$349,$AS$1:$AS$349,$AS2,$C$1:$C$349,$C2))</f>
        <v>18</v>
      </c>
      <c r="S2">
        <f t="shared" ref="S2:S65" si="8">IF($A2="","",SUMIFS($I$1:$I$349,$AS$1:$AS$349,$AS2,$C$1:$C$349,$C2))</f>
        <v>2309940</v>
      </c>
      <c r="T2">
        <f t="shared" ref="T2:T65" si="9">IF($A2="","",SUMIFS($G$1:$G$349,$AS$1:$AS$349,$AS2))</f>
        <v>2773</v>
      </c>
      <c r="U2">
        <f t="shared" ref="U2:U65" si="10">IF($A2="","",SUMIFS($H$1:$H$349,$AS$1:$AS$349,$AS2))</f>
        <v>135</v>
      </c>
      <c r="V2">
        <f t="shared" ref="V2:V65" si="11">IF($A2="","",SUMIFS($I$1:$I$349,$AS$1:$AS$349,$AS2))</f>
        <v>20567210</v>
      </c>
      <c r="W2">
        <f>IF($A2="","",Allocation!CD2)</f>
        <v>66108</v>
      </c>
      <c r="X2">
        <f>IF($A2="","",Allocation!CE2)</f>
        <v>127557.21</v>
      </c>
      <c r="Y2">
        <f>IF($A2="","",Allocation!CF2)</f>
        <v>39731</v>
      </c>
      <c r="Z2">
        <f>IF($A2="","",Allocation!CG2)</f>
        <v>12543</v>
      </c>
      <c r="AA2">
        <f>IF($A2="","",Allocation!CH2)</f>
        <v>257310.34</v>
      </c>
      <c r="AB2">
        <f>IF($A2="","",Allocation!CI2)</f>
        <v>2639292</v>
      </c>
      <c r="AC2">
        <f>IF($A2="","",IF(Allocation!$N$4="VOL_EFF",$G2,IF(Allocation!$N$4="VOL_CLASS",$H2,$I2)))</f>
        <v>2</v>
      </c>
      <c r="AD2">
        <f>IF($A2="","",IF(Allocation!$N$4="VOL_EFF",$L2,IF(Allocation!$N$4="VOL_CLASS",$M2,$N2)))</f>
        <v>6</v>
      </c>
      <c r="AE2">
        <f>IF($A2="","",IF(Allocation!$N$3="VOL_EFF",$L2,IF(Allocation!$N$3="VOL_CLASS",$M2,$N2)))</f>
        <v>105</v>
      </c>
      <c r="AF2">
        <f>IF($A2="","",IF(Allocation!$N$3="VOL_EFF",$Q2,IF(Allocation!$N$3="VOL_CLASS",$R2,$S2)))</f>
        <v>339</v>
      </c>
      <c r="AG2">
        <f>IF($A2="","",IF(Allocation!$N$1="VOL_EFF",$Q2,IF(Allocation!$N$1="VOL_CLASS",$R2,$S2)))</f>
        <v>339</v>
      </c>
      <c r="AH2">
        <f>IF($A2="","",IF(Allocation!$N$1="VOL_EFF",$T2,IF(Allocation!$N$1="VOL_CLASS",$U2,$V2)))</f>
        <v>2773</v>
      </c>
      <c r="AI2">
        <f t="shared" ref="AI2:AI65" si="12">IF($A2="","",$W2*IFERROR($K2/$O2,0))</f>
        <v>22036</v>
      </c>
      <c r="AJ2">
        <f t="shared" ref="AJ2:AJ65" si="13">IF($A2="","",$X2*IFERROR($K2/$O2,0))</f>
        <v>42519.07</v>
      </c>
      <c r="AK2">
        <f t="shared" ref="AK2:AK65" si="14">IF($A2="","",$Y2*IFERROR($G2/$L2,0)+$Z2*IFERROR($J2/$P2,0))</f>
        <v>26165.057142857142</v>
      </c>
      <c r="AL2">
        <f t="shared" ref="AL2:AL65" si="15">IF($A2="","",$AA2*IFERROR($AC2/$AD2,0))</f>
        <v>85770.113333333327</v>
      </c>
      <c r="AM2">
        <f t="shared" ref="AM2:AM65" si="16">IF($A2="","",$AB2*IFERROR($AG2/$AH2,0)*IFERROR($AE2/$AF2,0)*IFERROR($AC2/$AD2,0))</f>
        <v>33312.376487558598</v>
      </c>
      <c r="AN2">
        <f t="shared" ref="AN2:AN65" si="17">IF($A2="","",$I2-($AI2+$AJ2+$AK2+$AL2+$AM2+$AR2))</f>
        <v>27040.435270787013</v>
      </c>
      <c r="AO2">
        <f>IF($A2="","",Allocation!CJ2)</f>
        <v>499926</v>
      </c>
      <c r="AP2">
        <f>IF($A2="","",IF(Allocation!$N$2="VOL_EFF",$Q2,IF(Allocation!$N$2="VOL_CLASS",$R2,$S2)))</f>
        <v>2309940</v>
      </c>
      <c r="AQ2">
        <f>IF($A2="","",IF(Allocation!$N$2="VOL_EFF",$T2,IF(Allocation!$N$2="VOL_CLASS",$U2,$V2)))</f>
        <v>20567210</v>
      </c>
      <c r="AR2">
        <f t="shared" ref="AR2:AR65" si="18">IF($A2="","",$AO2*IFERROR($AP2/$AQ2,0)*IFERROR($AE2/$AF2,0)*IFERROR($AC2/$AD2,0))</f>
        <v>5796.9477654639313</v>
      </c>
      <c r="AS2" t="str">
        <f>IF($A2="","",$A2&amp;"|"&amp;Allocation!BG2)</f>
        <v>2024|ACT</v>
      </c>
    </row>
    <row r="3" spans="1:46" x14ac:dyDescent="0.45">
      <c r="A3" t="str">
        <f>IF(Allocation!BI3="","",Allocation!BI3)</f>
        <v>2024</v>
      </c>
      <c r="B3" t="str">
        <f>IF(Allocation!BJ3="","",Allocation!BJ3)</f>
        <v>IPAC_MTP</v>
      </c>
      <c r="C3" t="str">
        <f>IF(Allocation!BK3="","",Allocation!BK3)</f>
        <v>IPAC</v>
      </c>
      <c r="D3" t="str">
        <f>IF(Allocation!BL3="","",Allocation!BL3)</f>
        <v>BAC_CCE</v>
      </c>
      <c r="E3" t="str">
        <f>IF(Allocation!BM3="","",Allocation!BM3)</f>
        <v>B2</v>
      </c>
      <c r="F3" t="str">
        <f>IF(Allocation!BN3="","",Allocation!BN3)</f>
        <v>ALT</v>
      </c>
      <c r="G3">
        <f>IF(Allocation!BO3="","",Allocation!BO3)</f>
        <v>35</v>
      </c>
      <c r="H3">
        <f>IF(Allocation!BP3="","",Allocation!BP3)</f>
        <v>2</v>
      </c>
      <c r="I3">
        <f>IF(Allocation!BQ3="","",Allocation!BQ3)</f>
        <v>232750</v>
      </c>
      <c r="J3">
        <f>IF(Allocation!CC3="","",Allocation!CC3)</f>
        <v>0</v>
      </c>
      <c r="K3">
        <f t="shared" si="0"/>
        <v>960</v>
      </c>
      <c r="L3">
        <f t="shared" si="1"/>
        <v>105</v>
      </c>
      <c r="M3">
        <f t="shared" si="2"/>
        <v>6</v>
      </c>
      <c r="N3">
        <f t="shared" si="3"/>
        <v>701490</v>
      </c>
      <c r="O3">
        <f t="shared" si="4"/>
        <v>2880</v>
      </c>
      <c r="P3">
        <f t="shared" si="5"/>
        <v>36</v>
      </c>
      <c r="Q3">
        <f t="shared" si="6"/>
        <v>339</v>
      </c>
      <c r="R3">
        <f t="shared" si="7"/>
        <v>18</v>
      </c>
      <c r="S3">
        <f t="shared" si="8"/>
        <v>2309940</v>
      </c>
      <c r="T3">
        <f t="shared" si="9"/>
        <v>2773</v>
      </c>
      <c r="U3">
        <f t="shared" si="10"/>
        <v>135</v>
      </c>
      <c r="V3">
        <f t="shared" si="11"/>
        <v>20567210</v>
      </c>
      <c r="W3">
        <f>IF($A3="","",Allocation!CD3)</f>
        <v>66108</v>
      </c>
      <c r="X3">
        <f>IF($A3="","",Allocation!CE3)</f>
        <v>127557.21</v>
      </c>
      <c r="Y3">
        <f>IF($A3="","",Allocation!CF3)</f>
        <v>39731</v>
      </c>
      <c r="Z3">
        <f>IF($A3="","",Allocation!CG3)</f>
        <v>12543</v>
      </c>
      <c r="AA3">
        <f>IF($A3="","",Allocation!CH3)</f>
        <v>257310.34</v>
      </c>
      <c r="AB3">
        <f>IF($A3="","",Allocation!CI3)</f>
        <v>2639292</v>
      </c>
      <c r="AC3">
        <f>IF($A3="","",IF(Allocation!$N$4="VOL_EFF",$G3,IF(Allocation!$N$4="VOL_CLASS",$H3,$I3)))</f>
        <v>2</v>
      </c>
      <c r="AD3">
        <f>IF($A3="","",IF(Allocation!$N$4="VOL_EFF",$L3,IF(Allocation!$N$4="VOL_CLASS",$M3,$N3)))</f>
        <v>6</v>
      </c>
      <c r="AE3">
        <f>IF($A3="","",IF(Allocation!$N$3="VOL_EFF",$L3,IF(Allocation!$N$3="VOL_CLASS",$M3,$N3)))</f>
        <v>105</v>
      </c>
      <c r="AF3">
        <f>IF($A3="","",IF(Allocation!$N$3="VOL_EFF",$Q3,IF(Allocation!$N$3="VOL_CLASS",$R3,$S3)))</f>
        <v>339</v>
      </c>
      <c r="AG3">
        <f>IF($A3="","",IF(Allocation!$N$1="VOL_EFF",$Q3,IF(Allocation!$N$1="VOL_CLASS",$R3,$S3)))</f>
        <v>339</v>
      </c>
      <c r="AH3">
        <f>IF($A3="","",IF(Allocation!$N$1="VOL_EFF",$T3,IF(Allocation!$N$1="VOL_CLASS",$U3,$V3)))</f>
        <v>2773</v>
      </c>
      <c r="AI3">
        <f t="shared" si="12"/>
        <v>22036</v>
      </c>
      <c r="AJ3">
        <f t="shared" si="13"/>
        <v>42519.07</v>
      </c>
      <c r="AK3">
        <f t="shared" si="14"/>
        <v>13243.666666666666</v>
      </c>
      <c r="AL3">
        <f t="shared" si="15"/>
        <v>85770.113333333327</v>
      </c>
      <c r="AM3">
        <f t="shared" si="16"/>
        <v>33312.376487558598</v>
      </c>
      <c r="AN3">
        <f t="shared" si="17"/>
        <v>30071.825746977498</v>
      </c>
      <c r="AO3">
        <f>IF($A3="","",Allocation!CJ3)</f>
        <v>499926</v>
      </c>
      <c r="AP3">
        <f>IF($A3="","",IF(Allocation!$N$2="VOL_EFF",$Q3,IF(Allocation!$N$2="VOL_CLASS",$R3,$S3)))</f>
        <v>2309940</v>
      </c>
      <c r="AQ3">
        <f>IF($A3="","",IF(Allocation!$N$2="VOL_EFF",$T3,IF(Allocation!$N$2="VOL_CLASS",$U3,$V3)))</f>
        <v>20567210</v>
      </c>
      <c r="AR3">
        <f t="shared" si="18"/>
        <v>5796.9477654639313</v>
      </c>
      <c r="AS3" t="str">
        <f>IF($A3="","",$A3&amp;"|"&amp;Allocation!BG3)</f>
        <v>2024|ACT</v>
      </c>
    </row>
    <row r="4" spans="1:46" x14ac:dyDescent="0.45">
      <c r="A4" t="str">
        <f>IF(Allocation!BI4="","",Allocation!BI4)</f>
        <v>2024</v>
      </c>
      <c r="B4" t="str">
        <f>IF(Allocation!BJ4="","",Allocation!BJ4)</f>
        <v>IPAC_MTP</v>
      </c>
      <c r="C4" t="str">
        <f>IF(Allocation!BK4="","",Allocation!BK4)</f>
        <v>IPAC</v>
      </c>
      <c r="D4" t="str">
        <f>IF(Allocation!BL4="","",Allocation!BL4)</f>
        <v>BAC_CCE</v>
      </c>
      <c r="E4" t="str">
        <f>IF(Allocation!BM4="","",Allocation!BM4)</f>
        <v>B3</v>
      </c>
      <c r="F4" t="str">
        <f>IF(Allocation!BN4="","",Allocation!BN4)</f>
        <v>ALT</v>
      </c>
      <c r="G4">
        <f>IF(Allocation!BO4="","",Allocation!BO4)</f>
        <v>34</v>
      </c>
      <c r="H4">
        <f>IF(Allocation!BP4="","",Allocation!BP4)</f>
        <v>2</v>
      </c>
      <c r="I4">
        <f>IF(Allocation!BQ4="","",Allocation!BQ4)</f>
        <v>226100</v>
      </c>
      <c r="J4">
        <f>IF(Allocation!CC4="","",Allocation!CC4)</f>
        <v>0</v>
      </c>
      <c r="K4">
        <f t="shared" si="0"/>
        <v>960</v>
      </c>
      <c r="L4">
        <f t="shared" si="1"/>
        <v>105</v>
      </c>
      <c r="M4">
        <f t="shared" si="2"/>
        <v>6</v>
      </c>
      <c r="N4">
        <f t="shared" si="3"/>
        <v>701490</v>
      </c>
      <c r="O4">
        <f t="shared" si="4"/>
        <v>2880</v>
      </c>
      <c r="P4">
        <f t="shared" si="5"/>
        <v>36</v>
      </c>
      <c r="Q4">
        <f t="shared" si="6"/>
        <v>339</v>
      </c>
      <c r="R4">
        <f t="shared" si="7"/>
        <v>18</v>
      </c>
      <c r="S4">
        <f t="shared" si="8"/>
        <v>2309940</v>
      </c>
      <c r="T4">
        <f t="shared" si="9"/>
        <v>2773</v>
      </c>
      <c r="U4">
        <f t="shared" si="10"/>
        <v>135</v>
      </c>
      <c r="V4">
        <f t="shared" si="11"/>
        <v>20567210</v>
      </c>
      <c r="W4">
        <f>IF($A4="","",Allocation!CD4)</f>
        <v>66108</v>
      </c>
      <c r="X4">
        <f>IF($A4="","",Allocation!CE4)</f>
        <v>127557.21</v>
      </c>
      <c r="Y4">
        <f>IF($A4="","",Allocation!CF4)</f>
        <v>39731</v>
      </c>
      <c r="Z4">
        <f>IF($A4="","",Allocation!CG4)</f>
        <v>12543</v>
      </c>
      <c r="AA4">
        <f>IF($A4="","",Allocation!CH4)</f>
        <v>257310.34</v>
      </c>
      <c r="AB4">
        <f>IF($A4="","",Allocation!CI4)</f>
        <v>2639292</v>
      </c>
      <c r="AC4">
        <f>IF($A4="","",IF(Allocation!$N$4="VOL_EFF",$G4,IF(Allocation!$N$4="VOL_CLASS",$H4,$I4)))</f>
        <v>2</v>
      </c>
      <c r="AD4">
        <f>IF($A4="","",IF(Allocation!$N$4="VOL_EFF",$L4,IF(Allocation!$N$4="VOL_CLASS",$M4,$N4)))</f>
        <v>6</v>
      </c>
      <c r="AE4">
        <f>IF($A4="","",IF(Allocation!$N$3="VOL_EFF",$L4,IF(Allocation!$N$3="VOL_CLASS",$M4,$N4)))</f>
        <v>105</v>
      </c>
      <c r="AF4">
        <f>IF($A4="","",IF(Allocation!$N$3="VOL_EFF",$Q4,IF(Allocation!$N$3="VOL_CLASS",$R4,$S4)))</f>
        <v>339</v>
      </c>
      <c r="AG4">
        <f>IF($A4="","",IF(Allocation!$N$1="VOL_EFF",$Q4,IF(Allocation!$N$1="VOL_CLASS",$R4,$S4)))</f>
        <v>339</v>
      </c>
      <c r="AH4">
        <f>IF($A4="","",IF(Allocation!$N$1="VOL_EFF",$T4,IF(Allocation!$N$1="VOL_CLASS",$U4,$V4)))</f>
        <v>2773</v>
      </c>
      <c r="AI4">
        <f t="shared" si="12"/>
        <v>22036</v>
      </c>
      <c r="AJ4">
        <f t="shared" si="13"/>
        <v>42519.07</v>
      </c>
      <c r="AK4">
        <f t="shared" si="14"/>
        <v>12865.276190476192</v>
      </c>
      <c r="AL4">
        <f t="shared" si="15"/>
        <v>85770.113333333327</v>
      </c>
      <c r="AM4">
        <f t="shared" si="16"/>
        <v>33312.376487558598</v>
      </c>
      <c r="AN4">
        <f t="shared" si="17"/>
        <v>23800.216223167954</v>
      </c>
      <c r="AO4">
        <f>IF($A4="","",Allocation!CJ4)</f>
        <v>499926</v>
      </c>
      <c r="AP4">
        <f>IF($A4="","",IF(Allocation!$N$2="VOL_EFF",$Q4,IF(Allocation!$N$2="VOL_CLASS",$R4,$S4)))</f>
        <v>2309940</v>
      </c>
      <c r="AQ4">
        <f>IF($A4="","",IF(Allocation!$N$2="VOL_EFF",$T4,IF(Allocation!$N$2="VOL_CLASS",$U4,$V4)))</f>
        <v>20567210</v>
      </c>
      <c r="AR4">
        <f t="shared" si="18"/>
        <v>5796.9477654639313</v>
      </c>
      <c r="AS4" t="str">
        <f>IF($A4="","",$A4&amp;"|"&amp;Allocation!BG4)</f>
        <v>2024|ACT</v>
      </c>
    </row>
    <row r="5" spans="1:46" x14ac:dyDescent="0.45">
      <c r="A5" t="str">
        <f>IF(Allocation!BI5="","",Allocation!BI5)</f>
        <v>2024</v>
      </c>
      <c r="B5" t="str">
        <f>IF(Allocation!BJ5="","",Allocation!BJ5)</f>
        <v>IPAC_NAN</v>
      </c>
      <c r="C5" t="str">
        <f>IF(Allocation!BK5="","",Allocation!BK5)</f>
        <v>IPAC</v>
      </c>
      <c r="D5" t="str">
        <f>IF(Allocation!BL5="","",Allocation!BL5)</f>
        <v>BAC_CCE</v>
      </c>
      <c r="E5" t="str">
        <f>IF(Allocation!BM5="","",Allocation!BM5)</f>
        <v>B1</v>
      </c>
      <c r="F5" t="str">
        <f>IF(Allocation!BN5="","",Allocation!BN5)</f>
        <v>ALT</v>
      </c>
      <c r="G5">
        <f>IF(Allocation!BO5="","",Allocation!BO5)</f>
        <v>44</v>
      </c>
      <c r="H5">
        <f>IF(Allocation!BP5="","",Allocation!BP5)</f>
        <v>2</v>
      </c>
      <c r="I5">
        <f>IF(Allocation!BQ5="","",Allocation!BQ5)</f>
        <v>311960</v>
      </c>
      <c r="J5">
        <f>IF(Allocation!CC5="","",Allocation!CC5)</f>
        <v>44</v>
      </c>
      <c r="K5">
        <f t="shared" si="0"/>
        <v>960</v>
      </c>
      <c r="L5">
        <f t="shared" si="1"/>
        <v>129</v>
      </c>
      <c r="M5">
        <f t="shared" si="2"/>
        <v>6</v>
      </c>
      <c r="N5">
        <f t="shared" si="3"/>
        <v>906960</v>
      </c>
      <c r="O5">
        <f t="shared" si="4"/>
        <v>2880</v>
      </c>
      <c r="P5">
        <f t="shared" si="5"/>
        <v>44</v>
      </c>
      <c r="Q5">
        <f t="shared" si="6"/>
        <v>339</v>
      </c>
      <c r="R5">
        <f t="shared" si="7"/>
        <v>18</v>
      </c>
      <c r="S5">
        <f t="shared" si="8"/>
        <v>2309940</v>
      </c>
      <c r="T5">
        <f t="shared" si="9"/>
        <v>2773</v>
      </c>
      <c r="U5">
        <f t="shared" si="10"/>
        <v>135</v>
      </c>
      <c r="V5">
        <f t="shared" si="11"/>
        <v>20567210</v>
      </c>
      <c r="W5">
        <f>IF($A5="","",Allocation!CD5)</f>
        <v>66108</v>
      </c>
      <c r="X5">
        <f>IF($A5="","",Allocation!CE5)</f>
        <v>155733.6</v>
      </c>
      <c r="Y5">
        <f>IF($A5="","",Allocation!CF5)</f>
        <v>49240</v>
      </c>
      <c r="Z5">
        <f>IF($A5="","",Allocation!CG5)</f>
        <v>17983</v>
      </c>
      <c r="AA5">
        <f>IF($A5="","",Allocation!CH5)</f>
        <v>360829.96</v>
      </c>
      <c r="AB5">
        <f>IF($A5="","",Allocation!CI5)</f>
        <v>2639292</v>
      </c>
      <c r="AC5">
        <f>IF($A5="","",IF(Allocation!$N$4="VOL_EFF",$G5,IF(Allocation!$N$4="VOL_CLASS",$H5,$I5)))</f>
        <v>2</v>
      </c>
      <c r="AD5">
        <f>IF($A5="","",IF(Allocation!$N$4="VOL_EFF",$L5,IF(Allocation!$N$4="VOL_CLASS",$M5,$N5)))</f>
        <v>6</v>
      </c>
      <c r="AE5">
        <f>IF($A5="","",IF(Allocation!$N$3="VOL_EFF",$L5,IF(Allocation!$N$3="VOL_CLASS",$M5,$N5)))</f>
        <v>129</v>
      </c>
      <c r="AF5">
        <f>IF($A5="","",IF(Allocation!$N$3="VOL_EFF",$Q5,IF(Allocation!$N$3="VOL_CLASS",$R5,$S5)))</f>
        <v>339</v>
      </c>
      <c r="AG5">
        <f>IF($A5="","",IF(Allocation!$N$1="VOL_EFF",$Q5,IF(Allocation!$N$1="VOL_CLASS",$R5,$S5)))</f>
        <v>339</v>
      </c>
      <c r="AH5">
        <f>IF($A5="","",IF(Allocation!$N$1="VOL_EFF",$T5,IF(Allocation!$N$1="VOL_CLASS",$U5,$V5)))</f>
        <v>2773</v>
      </c>
      <c r="AI5">
        <f t="shared" si="12"/>
        <v>22036</v>
      </c>
      <c r="AJ5">
        <f t="shared" si="13"/>
        <v>51911.199999999997</v>
      </c>
      <c r="AK5">
        <f t="shared" si="14"/>
        <v>34778.038759689924</v>
      </c>
      <c r="AL5">
        <f t="shared" si="15"/>
        <v>120276.65333333334</v>
      </c>
      <c r="AM5">
        <f t="shared" si="16"/>
        <v>40926.633970429139</v>
      </c>
      <c r="AN5">
        <f t="shared" si="17"/>
        <v>34909.509538977582</v>
      </c>
      <c r="AO5">
        <f>IF($A5="","",Allocation!CJ5)</f>
        <v>499926</v>
      </c>
      <c r="AP5">
        <f>IF($A5="","",IF(Allocation!$N$2="VOL_EFF",$Q5,IF(Allocation!$N$2="VOL_CLASS",$R5,$S5)))</f>
        <v>2309940</v>
      </c>
      <c r="AQ5">
        <f>IF($A5="","",IF(Allocation!$N$2="VOL_EFF",$T5,IF(Allocation!$N$2="VOL_CLASS",$U5,$V5)))</f>
        <v>20567210</v>
      </c>
      <c r="AR5">
        <f t="shared" si="18"/>
        <v>7121.9643975699737</v>
      </c>
      <c r="AS5" t="str">
        <f>IF($A5="","",$A5&amp;"|"&amp;Allocation!BG5)</f>
        <v>2024|ACT</v>
      </c>
    </row>
    <row r="6" spans="1:46" x14ac:dyDescent="0.45">
      <c r="A6" t="str">
        <f>IF(Allocation!BI6="","",Allocation!BI6)</f>
        <v>2024</v>
      </c>
      <c r="B6" t="str">
        <f>IF(Allocation!BJ6="","",Allocation!BJ6)</f>
        <v>IPAC_NAN</v>
      </c>
      <c r="C6" t="str">
        <f>IF(Allocation!BK6="","",Allocation!BK6)</f>
        <v>IPAC</v>
      </c>
      <c r="D6" t="str">
        <f>IF(Allocation!BL6="","",Allocation!BL6)</f>
        <v>BAC_CCE</v>
      </c>
      <c r="E6" t="str">
        <f>IF(Allocation!BM6="","",Allocation!BM6)</f>
        <v>B2</v>
      </c>
      <c r="F6" t="str">
        <f>IF(Allocation!BN6="","",Allocation!BN6)</f>
        <v>ALT</v>
      </c>
      <c r="G6">
        <f>IF(Allocation!BO6="","",Allocation!BO6)</f>
        <v>43</v>
      </c>
      <c r="H6">
        <f>IF(Allocation!BP6="","",Allocation!BP6)</f>
        <v>2</v>
      </c>
      <c r="I6">
        <f>IF(Allocation!BQ6="","",Allocation!BQ6)</f>
        <v>301000</v>
      </c>
      <c r="J6">
        <f>IF(Allocation!CC6="","",Allocation!CC6)</f>
        <v>0</v>
      </c>
      <c r="K6">
        <f t="shared" si="0"/>
        <v>960</v>
      </c>
      <c r="L6">
        <f t="shared" si="1"/>
        <v>129</v>
      </c>
      <c r="M6">
        <f t="shared" si="2"/>
        <v>6</v>
      </c>
      <c r="N6">
        <f t="shared" si="3"/>
        <v>906960</v>
      </c>
      <c r="O6">
        <f t="shared" si="4"/>
        <v>2880</v>
      </c>
      <c r="P6">
        <f t="shared" si="5"/>
        <v>44</v>
      </c>
      <c r="Q6">
        <f t="shared" si="6"/>
        <v>339</v>
      </c>
      <c r="R6">
        <f t="shared" si="7"/>
        <v>18</v>
      </c>
      <c r="S6">
        <f t="shared" si="8"/>
        <v>2309940</v>
      </c>
      <c r="T6">
        <f t="shared" si="9"/>
        <v>2773</v>
      </c>
      <c r="U6">
        <f t="shared" si="10"/>
        <v>135</v>
      </c>
      <c r="V6">
        <f t="shared" si="11"/>
        <v>20567210</v>
      </c>
      <c r="W6">
        <f>IF($A6="","",Allocation!CD6)</f>
        <v>66108</v>
      </c>
      <c r="X6">
        <f>IF($A6="","",Allocation!CE6)</f>
        <v>155733.6</v>
      </c>
      <c r="Y6">
        <f>IF($A6="","",Allocation!CF6)</f>
        <v>49240</v>
      </c>
      <c r="Z6">
        <f>IF($A6="","",Allocation!CG6)</f>
        <v>17983</v>
      </c>
      <c r="AA6">
        <f>IF($A6="","",Allocation!CH6)</f>
        <v>360829.96</v>
      </c>
      <c r="AB6">
        <f>IF($A6="","",Allocation!CI6)</f>
        <v>2639292</v>
      </c>
      <c r="AC6">
        <f>IF($A6="","",IF(Allocation!$N$4="VOL_EFF",$G6,IF(Allocation!$N$4="VOL_CLASS",$H6,$I6)))</f>
        <v>2</v>
      </c>
      <c r="AD6">
        <f>IF($A6="","",IF(Allocation!$N$4="VOL_EFF",$L6,IF(Allocation!$N$4="VOL_CLASS",$M6,$N6)))</f>
        <v>6</v>
      </c>
      <c r="AE6">
        <f>IF($A6="","",IF(Allocation!$N$3="VOL_EFF",$L6,IF(Allocation!$N$3="VOL_CLASS",$M6,$N6)))</f>
        <v>129</v>
      </c>
      <c r="AF6">
        <f>IF($A6="","",IF(Allocation!$N$3="VOL_EFF",$Q6,IF(Allocation!$N$3="VOL_CLASS",$R6,$S6)))</f>
        <v>339</v>
      </c>
      <c r="AG6">
        <f>IF($A6="","",IF(Allocation!$N$1="VOL_EFF",$Q6,IF(Allocation!$N$1="VOL_CLASS",$R6,$S6)))</f>
        <v>339</v>
      </c>
      <c r="AH6">
        <f>IF($A6="","",IF(Allocation!$N$1="VOL_EFF",$T6,IF(Allocation!$N$1="VOL_CLASS",$U6,$V6)))</f>
        <v>2773</v>
      </c>
      <c r="AI6">
        <f t="shared" si="12"/>
        <v>22036</v>
      </c>
      <c r="AJ6">
        <f t="shared" si="13"/>
        <v>51911.199999999997</v>
      </c>
      <c r="AK6">
        <f t="shared" si="14"/>
        <v>16413.333333333332</v>
      </c>
      <c r="AL6">
        <f t="shared" si="15"/>
        <v>120276.65333333334</v>
      </c>
      <c r="AM6">
        <f t="shared" si="16"/>
        <v>40926.633970429139</v>
      </c>
      <c r="AN6">
        <f t="shared" si="17"/>
        <v>42314.214965334249</v>
      </c>
      <c r="AO6">
        <f>IF($A6="","",Allocation!CJ6)</f>
        <v>499926</v>
      </c>
      <c r="AP6">
        <f>IF($A6="","",IF(Allocation!$N$2="VOL_EFF",$Q6,IF(Allocation!$N$2="VOL_CLASS",$R6,$S6)))</f>
        <v>2309940</v>
      </c>
      <c r="AQ6">
        <f>IF($A6="","",IF(Allocation!$N$2="VOL_EFF",$T6,IF(Allocation!$N$2="VOL_CLASS",$U6,$V6)))</f>
        <v>20567210</v>
      </c>
      <c r="AR6">
        <f t="shared" si="18"/>
        <v>7121.9643975699737</v>
      </c>
      <c r="AS6" t="str">
        <f>IF($A6="","",$A6&amp;"|"&amp;Allocation!BG6)</f>
        <v>2024|ACT</v>
      </c>
    </row>
    <row r="7" spans="1:46" x14ac:dyDescent="0.45">
      <c r="A7" t="str">
        <f>IF(Allocation!BI7="","",Allocation!BI7)</f>
        <v>2024</v>
      </c>
      <c r="B7" t="str">
        <f>IF(Allocation!BJ7="","",Allocation!BJ7)</f>
        <v>IPAC_NAN</v>
      </c>
      <c r="C7" t="str">
        <f>IF(Allocation!BK7="","",Allocation!BK7)</f>
        <v>IPAC</v>
      </c>
      <c r="D7" t="str">
        <f>IF(Allocation!BL7="","",Allocation!BL7)</f>
        <v>BAC_CCE</v>
      </c>
      <c r="E7" t="str">
        <f>IF(Allocation!BM7="","",Allocation!BM7)</f>
        <v>B3</v>
      </c>
      <c r="F7" t="str">
        <f>IF(Allocation!BN7="","",Allocation!BN7)</f>
        <v>ALT</v>
      </c>
      <c r="G7">
        <f>IF(Allocation!BO7="","",Allocation!BO7)</f>
        <v>42</v>
      </c>
      <c r="H7">
        <f>IF(Allocation!BP7="","",Allocation!BP7)</f>
        <v>2</v>
      </c>
      <c r="I7">
        <f>IF(Allocation!BQ7="","",Allocation!BQ7)</f>
        <v>294000</v>
      </c>
      <c r="J7">
        <f>IF(Allocation!CC7="","",Allocation!CC7)</f>
        <v>0</v>
      </c>
      <c r="K7">
        <f t="shared" si="0"/>
        <v>960</v>
      </c>
      <c r="L7">
        <f t="shared" si="1"/>
        <v>129</v>
      </c>
      <c r="M7">
        <f t="shared" si="2"/>
        <v>6</v>
      </c>
      <c r="N7">
        <f t="shared" si="3"/>
        <v>906960</v>
      </c>
      <c r="O7">
        <f t="shared" si="4"/>
        <v>2880</v>
      </c>
      <c r="P7">
        <f t="shared" si="5"/>
        <v>44</v>
      </c>
      <c r="Q7">
        <f t="shared" si="6"/>
        <v>339</v>
      </c>
      <c r="R7">
        <f t="shared" si="7"/>
        <v>18</v>
      </c>
      <c r="S7">
        <f t="shared" si="8"/>
        <v>2309940</v>
      </c>
      <c r="T7">
        <f t="shared" si="9"/>
        <v>2773</v>
      </c>
      <c r="U7">
        <f t="shared" si="10"/>
        <v>135</v>
      </c>
      <c r="V7">
        <f t="shared" si="11"/>
        <v>20567210</v>
      </c>
      <c r="W7">
        <f>IF($A7="","",Allocation!CD7)</f>
        <v>66108</v>
      </c>
      <c r="X7">
        <f>IF($A7="","",Allocation!CE7)</f>
        <v>155733.6</v>
      </c>
      <c r="Y7">
        <f>IF($A7="","",Allocation!CF7)</f>
        <v>49240</v>
      </c>
      <c r="Z7">
        <f>IF($A7="","",Allocation!CG7)</f>
        <v>17983</v>
      </c>
      <c r="AA7">
        <f>IF($A7="","",Allocation!CH7)</f>
        <v>360829.96</v>
      </c>
      <c r="AB7">
        <f>IF($A7="","",Allocation!CI7)</f>
        <v>2639292</v>
      </c>
      <c r="AC7">
        <f>IF($A7="","",IF(Allocation!$N$4="VOL_EFF",$G7,IF(Allocation!$N$4="VOL_CLASS",$H7,$I7)))</f>
        <v>2</v>
      </c>
      <c r="AD7">
        <f>IF($A7="","",IF(Allocation!$N$4="VOL_EFF",$L7,IF(Allocation!$N$4="VOL_CLASS",$M7,$N7)))</f>
        <v>6</v>
      </c>
      <c r="AE7">
        <f>IF($A7="","",IF(Allocation!$N$3="VOL_EFF",$L7,IF(Allocation!$N$3="VOL_CLASS",$M7,$N7)))</f>
        <v>129</v>
      </c>
      <c r="AF7">
        <f>IF($A7="","",IF(Allocation!$N$3="VOL_EFF",$Q7,IF(Allocation!$N$3="VOL_CLASS",$R7,$S7)))</f>
        <v>339</v>
      </c>
      <c r="AG7">
        <f>IF($A7="","",IF(Allocation!$N$1="VOL_EFF",$Q7,IF(Allocation!$N$1="VOL_CLASS",$R7,$S7)))</f>
        <v>339</v>
      </c>
      <c r="AH7">
        <f>IF($A7="","",IF(Allocation!$N$1="VOL_EFF",$T7,IF(Allocation!$N$1="VOL_CLASS",$U7,$V7)))</f>
        <v>2773</v>
      </c>
      <c r="AI7">
        <f t="shared" si="12"/>
        <v>22036</v>
      </c>
      <c r="AJ7">
        <f t="shared" si="13"/>
        <v>51911.199999999997</v>
      </c>
      <c r="AK7">
        <f t="shared" si="14"/>
        <v>16031.627906976746</v>
      </c>
      <c r="AL7">
        <f t="shared" si="15"/>
        <v>120276.65333333334</v>
      </c>
      <c r="AM7">
        <f t="shared" si="16"/>
        <v>40926.633970429139</v>
      </c>
      <c r="AN7">
        <f t="shared" si="17"/>
        <v>35695.92039169083</v>
      </c>
      <c r="AO7">
        <f>IF($A7="","",Allocation!CJ7)</f>
        <v>499926</v>
      </c>
      <c r="AP7">
        <f>IF($A7="","",IF(Allocation!$N$2="VOL_EFF",$Q7,IF(Allocation!$N$2="VOL_CLASS",$R7,$S7)))</f>
        <v>2309940</v>
      </c>
      <c r="AQ7">
        <f>IF($A7="","",IF(Allocation!$N$2="VOL_EFF",$T7,IF(Allocation!$N$2="VOL_CLASS",$U7,$V7)))</f>
        <v>20567210</v>
      </c>
      <c r="AR7">
        <f t="shared" si="18"/>
        <v>7121.9643975699737</v>
      </c>
      <c r="AS7" t="str">
        <f>IF($A7="","",$A7&amp;"|"&amp;Allocation!BG7)</f>
        <v>2024|ACT</v>
      </c>
    </row>
    <row r="8" spans="1:46" x14ac:dyDescent="0.45">
      <c r="A8" t="str">
        <f>IF(Allocation!BI8="","",Allocation!BI8)</f>
        <v>2024</v>
      </c>
      <c r="B8" t="str">
        <f>IF(Allocation!BJ8="","",Allocation!BJ8)</f>
        <v>IPAC_REN</v>
      </c>
      <c r="C8" t="str">
        <f>IF(Allocation!BK8="","",Allocation!BK8)</f>
        <v>IPAC</v>
      </c>
      <c r="D8" t="str">
        <f>IF(Allocation!BL8="","",Allocation!BL8)</f>
        <v>BAC_CCE</v>
      </c>
      <c r="E8" t="str">
        <f>IF(Allocation!BM8="","",Allocation!BM8)</f>
        <v>B1</v>
      </c>
      <c r="F8" t="str">
        <f>IF(Allocation!BN8="","",Allocation!BN8)</f>
        <v>ALT</v>
      </c>
      <c r="G8">
        <f>IF(Allocation!BO8="","",Allocation!BO8)</f>
        <v>36</v>
      </c>
      <c r="H8">
        <f>IF(Allocation!BP8="","",Allocation!BP8)</f>
        <v>2</v>
      </c>
      <c r="I8">
        <f>IF(Allocation!BQ8="","",Allocation!BQ8)</f>
        <v>242640</v>
      </c>
      <c r="J8">
        <f>IF(Allocation!CC8="","",Allocation!CC8)</f>
        <v>36</v>
      </c>
      <c r="K8">
        <f t="shared" si="0"/>
        <v>960</v>
      </c>
      <c r="L8">
        <f t="shared" si="1"/>
        <v>105</v>
      </c>
      <c r="M8">
        <f t="shared" si="2"/>
        <v>6</v>
      </c>
      <c r="N8">
        <f t="shared" si="3"/>
        <v>701490</v>
      </c>
      <c r="O8">
        <f t="shared" si="4"/>
        <v>2880</v>
      </c>
      <c r="P8">
        <f t="shared" si="5"/>
        <v>36</v>
      </c>
      <c r="Q8">
        <f t="shared" si="6"/>
        <v>339</v>
      </c>
      <c r="R8">
        <f t="shared" si="7"/>
        <v>18</v>
      </c>
      <c r="S8">
        <f t="shared" si="8"/>
        <v>2309940</v>
      </c>
      <c r="T8">
        <f t="shared" si="9"/>
        <v>2773</v>
      </c>
      <c r="U8">
        <f t="shared" si="10"/>
        <v>135</v>
      </c>
      <c r="V8">
        <f t="shared" si="11"/>
        <v>20567210</v>
      </c>
      <c r="W8">
        <f>IF($A8="","",Allocation!CD8)</f>
        <v>66108</v>
      </c>
      <c r="X8">
        <f>IF($A8="","",Allocation!CE8)</f>
        <v>127624.16</v>
      </c>
      <c r="Y8">
        <f>IF($A8="","",Allocation!CF8)</f>
        <v>39731</v>
      </c>
      <c r="Z8">
        <f>IF($A8="","",Allocation!CG8)</f>
        <v>12341</v>
      </c>
      <c r="AA8">
        <f>IF($A8="","",Allocation!CH8)</f>
        <v>257445.38</v>
      </c>
      <c r="AB8">
        <f>IF($A8="","",Allocation!CI8)</f>
        <v>2639292</v>
      </c>
      <c r="AC8">
        <f>IF($A8="","",IF(Allocation!$N$4="VOL_EFF",$G8,IF(Allocation!$N$4="VOL_CLASS",$H8,$I8)))</f>
        <v>2</v>
      </c>
      <c r="AD8">
        <f>IF($A8="","",IF(Allocation!$N$4="VOL_EFF",$L8,IF(Allocation!$N$4="VOL_CLASS",$M8,$N8)))</f>
        <v>6</v>
      </c>
      <c r="AE8">
        <f>IF($A8="","",IF(Allocation!$N$3="VOL_EFF",$L8,IF(Allocation!$N$3="VOL_CLASS",$M8,$N8)))</f>
        <v>105</v>
      </c>
      <c r="AF8">
        <f>IF($A8="","",IF(Allocation!$N$3="VOL_EFF",$Q8,IF(Allocation!$N$3="VOL_CLASS",$R8,$S8)))</f>
        <v>339</v>
      </c>
      <c r="AG8">
        <f>IF($A8="","",IF(Allocation!$N$1="VOL_EFF",$Q8,IF(Allocation!$N$1="VOL_CLASS",$R8,$S8)))</f>
        <v>339</v>
      </c>
      <c r="AH8">
        <f>IF($A8="","",IF(Allocation!$N$1="VOL_EFF",$T8,IF(Allocation!$N$1="VOL_CLASS",$U8,$V8)))</f>
        <v>2773</v>
      </c>
      <c r="AI8">
        <f t="shared" si="12"/>
        <v>22036</v>
      </c>
      <c r="AJ8">
        <f t="shared" si="13"/>
        <v>42541.386666666665</v>
      </c>
      <c r="AK8">
        <f t="shared" si="14"/>
        <v>25963.057142857142</v>
      </c>
      <c r="AL8">
        <f t="shared" si="15"/>
        <v>85815.126666666663</v>
      </c>
      <c r="AM8">
        <f t="shared" si="16"/>
        <v>33312.376487558598</v>
      </c>
      <c r="AN8">
        <f t="shared" si="17"/>
        <v>27175.105270786997</v>
      </c>
      <c r="AO8">
        <f>IF($A8="","",Allocation!CJ8)</f>
        <v>499926</v>
      </c>
      <c r="AP8">
        <f>IF($A8="","",IF(Allocation!$N$2="VOL_EFF",$Q8,IF(Allocation!$N$2="VOL_CLASS",$R8,$S8)))</f>
        <v>2309940</v>
      </c>
      <c r="AQ8">
        <f>IF($A8="","",IF(Allocation!$N$2="VOL_EFF",$T8,IF(Allocation!$N$2="VOL_CLASS",$U8,$V8)))</f>
        <v>20567210</v>
      </c>
      <c r="AR8">
        <f t="shared" si="18"/>
        <v>5796.9477654639313</v>
      </c>
      <c r="AS8" t="str">
        <f>IF($A8="","",$A8&amp;"|"&amp;Allocation!BG8)</f>
        <v>2024|ACT</v>
      </c>
    </row>
    <row r="9" spans="1:46" x14ac:dyDescent="0.45">
      <c r="A9" t="str">
        <f>IF(Allocation!BI9="","",Allocation!BI9)</f>
        <v>2024</v>
      </c>
      <c r="B9" t="str">
        <f>IF(Allocation!BJ9="","",Allocation!BJ9)</f>
        <v>IPAC_REN</v>
      </c>
      <c r="C9" t="str">
        <f>IF(Allocation!BK9="","",Allocation!BK9)</f>
        <v>IPAC</v>
      </c>
      <c r="D9" t="str">
        <f>IF(Allocation!BL9="","",Allocation!BL9)</f>
        <v>BAC_CCE</v>
      </c>
      <c r="E9" t="str">
        <f>IF(Allocation!BM9="","",Allocation!BM9)</f>
        <v>B2</v>
      </c>
      <c r="F9" t="str">
        <f>IF(Allocation!BN9="","",Allocation!BN9)</f>
        <v>ALT</v>
      </c>
      <c r="G9">
        <f>IF(Allocation!BO9="","",Allocation!BO9)</f>
        <v>35</v>
      </c>
      <c r="H9">
        <f>IF(Allocation!BP9="","",Allocation!BP9)</f>
        <v>2</v>
      </c>
      <c r="I9">
        <f>IF(Allocation!BQ9="","",Allocation!BQ9)</f>
        <v>232750</v>
      </c>
      <c r="J9">
        <f>IF(Allocation!CC9="","",Allocation!CC9)</f>
        <v>0</v>
      </c>
      <c r="K9">
        <f t="shared" si="0"/>
        <v>960</v>
      </c>
      <c r="L9">
        <f t="shared" si="1"/>
        <v>105</v>
      </c>
      <c r="M9">
        <f t="shared" si="2"/>
        <v>6</v>
      </c>
      <c r="N9">
        <f t="shared" si="3"/>
        <v>701490</v>
      </c>
      <c r="O9">
        <f t="shared" si="4"/>
        <v>2880</v>
      </c>
      <c r="P9">
        <f t="shared" si="5"/>
        <v>36</v>
      </c>
      <c r="Q9">
        <f t="shared" si="6"/>
        <v>339</v>
      </c>
      <c r="R9">
        <f t="shared" si="7"/>
        <v>18</v>
      </c>
      <c r="S9">
        <f t="shared" si="8"/>
        <v>2309940</v>
      </c>
      <c r="T9">
        <f t="shared" si="9"/>
        <v>2773</v>
      </c>
      <c r="U9">
        <f t="shared" si="10"/>
        <v>135</v>
      </c>
      <c r="V9">
        <f t="shared" si="11"/>
        <v>20567210</v>
      </c>
      <c r="W9">
        <f>IF($A9="","",Allocation!CD9)</f>
        <v>66108</v>
      </c>
      <c r="X9">
        <f>IF($A9="","",Allocation!CE9)</f>
        <v>127624.16</v>
      </c>
      <c r="Y9">
        <f>IF($A9="","",Allocation!CF9)</f>
        <v>39731</v>
      </c>
      <c r="Z9">
        <f>IF($A9="","",Allocation!CG9)</f>
        <v>12341</v>
      </c>
      <c r="AA9">
        <f>IF($A9="","",Allocation!CH9)</f>
        <v>257445.38</v>
      </c>
      <c r="AB9">
        <f>IF($A9="","",Allocation!CI9)</f>
        <v>2639292</v>
      </c>
      <c r="AC9">
        <f>IF($A9="","",IF(Allocation!$N$4="VOL_EFF",$G9,IF(Allocation!$N$4="VOL_CLASS",$H9,$I9)))</f>
        <v>2</v>
      </c>
      <c r="AD9">
        <f>IF($A9="","",IF(Allocation!$N$4="VOL_EFF",$L9,IF(Allocation!$N$4="VOL_CLASS",$M9,$N9)))</f>
        <v>6</v>
      </c>
      <c r="AE9">
        <f>IF($A9="","",IF(Allocation!$N$3="VOL_EFF",$L9,IF(Allocation!$N$3="VOL_CLASS",$M9,$N9)))</f>
        <v>105</v>
      </c>
      <c r="AF9">
        <f>IF($A9="","",IF(Allocation!$N$3="VOL_EFF",$Q9,IF(Allocation!$N$3="VOL_CLASS",$R9,$S9)))</f>
        <v>339</v>
      </c>
      <c r="AG9">
        <f>IF($A9="","",IF(Allocation!$N$1="VOL_EFF",$Q9,IF(Allocation!$N$1="VOL_CLASS",$R9,$S9)))</f>
        <v>339</v>
      </c>
      <c r="AH9">
        <f>IF($A9="","",IF(Allocation!$N$1="VOL_EFF",$T9,IF(Allocation!$N$1="VOL_CLASS",$U9,$V9)))</f>
        <v>2773</v>
      </c>
      <c r="AI9">
        <f t="shared" si="12"/>
        <v>22036</v>
      </c>
      <c r="AJ9">
        <f t="shared" si="13"/>
        <v>42541.386666666665</v>
      </c>
      <c r="AK9">
        <f t="shared" si="14"/>
        <v>13243.666666666666</v>
      </c>
      <c r="AL9">
        <f t="shared" si="15"/>
        <v>85815.126666666663</v>
      </c>
      <c r="AM9">
        <f t="shared" si="16"/>
        <v>33312.376487558598</v>
      </c>
      <c r="AN9">
        <f t="shared" si="17"/>
        <v>30004.495746977482</v>
      </c>
      <c r="AO9">
        <f>IF($A9="","",Allocation!CJ9)</f>
        <v>499926</v>
      </c>
      <c r="AP9">
        <f>IF($A9="","",IF(Allocation!$N$2="VOL_EFF",$Q9,IF(Allocation!$N$2="VOL_CLASS",$R9,$S9)))</f>
        <v>2309940</v>
      </c>
      <c r="AQ9">
        <f>IF($A9="","",IF(Allocation!$N$2="VOL_EFF",$T9,IF(Allocation!$N$2="VOL_CLASS",$U9,$V9)))</f>
        <v>20567210</v>
      </c>
      <c r="AR9">
        <f t="shared" si="18"/>
        <v>5796.9477654639313</v>
      </c>
      <c r="AS9" t="str">
        <f>IF($A9="","",$A9&amp;"|"&amp;Allocation!BG9)</f>
        <v>2024|ACT</v>
      </c>
    </row>
    <row r="10" spans="1:46" x14ac:dyDescent="0.45">
      <c r="A10" t="str">
        <f>IF(Allocation!BI10="","",Allocation!BI10)</f>
        <v>2024</v>
      </c>
      <c r="B10" t="str">
        <f>IF(Allocation!BJ10="","",Allocation!BJ10)</f>
        <v>IPAC_REN</v>
      </c>
      <c r="C10" t="str">
        <f>IF(Allocation!BK10="","",Allocation!BK10)</f>
        <v>IPAC</v>
      </c>
      <c r="D10" t="str">
        <f>IF(Allocation!BL10="","",Allocation!BL10)</f>
        <v>BAC_CCE</v>
      </c>
      <c r="E10" t="str">
        <f>IF(Allocation!BM10="","",Allocation!BM10)</f>
        <v>B3</v>
      </c>
      <c r="F10" t="str">
        <f>IF(Allocation!BN10="","",Allocation!BN10)</f>
        <v>ALT</v>
      </c>
      <c r="G10">
        <f>IF(Allocation!BO10="","",Allocation!BO10)</f>
        <v>34</v>
      </c>
      <c r="H10">
        <f>IF(Allocation!BP10="","",Allocation!BP10)</f>
        <v>2</v>
      </c>
      <c r="I10">
        <f>IF(Allocation!BQ10="","",Allocation!BQ10)</f>
        <v>226100</v>
      </c>
      <c r="J10">
        <f>IF(Allocation!CC10="","",Allocation!CC10)</f>
        <v>0</v>
      </c>
      <c r="K10">
        <f t="shared" si="0"/>
        <v>960</v>
      </c>
      <c r="L10">
        <f t="shared" si="1"/>
        <v>105</v>
      </c>
      <c r="M10">
        <f t="shared" si="2"/>
        <v>6</v>
      </c>
      <c r="N10">
        <f t="shared" si="3"/>
        <v>701490</v>
      </c>
      <c r="O10">
        <f t="shared" si="4"/>
        <v>2880</v>
      </c>
      <c r="P10">
        <f t="shared" si="5"/>
        <v>36</v>
      </c>
      <c r="Q10">
        <f t="shared" si="6"/>
        <v>339</v>
      </c>
      <c r="R10">
        <f t="shared" si="7"/>
        <v>18</v>
      </c>
      <c r="S10">
        <f t="shared" si="8"/>
        <v>2309940</v>
      </c>
      <c r="T10">
        <f t="shared" si="9"/>
        <v>2773</v>
      </c>
      <c r="U10">
        <f t="shared" si="10"/>
        <v>135</v>
      </c>
      <c r="V10">
        <f t="shared" si="11"/>
        <v>20567210</v>
      </c>
      <c r="W10">
        <f>IF($A10="","",Allocation!CD10)</f>
        <v>66108</v>
      </c>
      <c r="X10">
        <f>IF($A10="","",Allocation!CE10)</f>
        <v>127624.16</v>
      </c>
      <c r="Y10">
        <f>IF($A10="","",Allocation!CF10)</f>
        <v>39731</v>
      </c>
      <c r="Z10">
        <f>IF($A10="","",Allocation!CG10)</f>
        <v>12341</v>
      </c>
      <c r="AA10">
        <f>IF($A10="","",Allocation!CH10)</f>
        <v>257445.38</v>
      </c>
      <c r="AB10">
        <f>IF($A10="","",Allocation!CI10)</f>
        <v>2639292</v>
      </c>
      <c r="AC10">
        <f>IF($A10="","",IF(Allocation!$N$4="VOL_EFF",$G10,IF(Allocation!$N$4="VOL_CLASS",$H10,$I10)))</f>
        <v>2</v>
      </c>
      <c r="AD10">
        <f>IF($A10="","",IF(Allocation!$N$4="VOL_EFF",$L10,IF(Allocation!$N$4="VOL_CLASS",$M10,$N10)))</f>
        <v>6</v>
      </c>
      <c r="AE10">
        <f>IF($A10="","",IF(Allocation!$N$3="VOL_EFF",$L10,IF(Allocation!$N$3="VOL_CLASS",$M10,$N10)))</f>
        <v>105</v>
      </c>
      <c r="AF10">
        <f>IF($A10="","",IF(Allocation!$N$3="VOL_EFF",$Q10,IF(Allocation!$N$3="VOL_CLASS",$R10,$S10)))</f>
        <v>339</v>
      </c>
      <c r="AG10">
        <f>IF($A10="","",IF(Allocation!$N$1="VOL_EFF",$Q10,IF(Allocation!$N$1="VOL_CLASS",$R10,$S10)))</f>
        <v>339</v>
      </c>
      <c r="AH10">
        <f>IF($A10="","",IF(Allocation!$N$1="VOL_EFF",$T10,IF(Allocation!$N$1="VOL_CLASS",$U10,$V10)))</f>
        <v>2773</v>
      </c>
      <c r="AI10">
        <f t="shared" si="12"/>
        <v>22036</v>
      </c>
      <c r="AJ10">
        <f t="shared" si="13"/>
        <v>42541.386666666665</v>
      </c>
      <c r="AK10">
        <f t="shared" si="14"/>
        <v>12865.276190476192</v>
      </c>
      <c r="AL10">
        <f t="shared" si="15"/>
        <v>85815.126666666663</v>
      </c>
      <c r="AM10">
        <f t="shared" si="16"/>
        <v>33312.376487558598</v>
      </c>
      <c r="AN10">
        <f t="shared" si="17"/>
        <v>23732.886223167967</v>
      </c>
      <c r="AO10">
        <f>IF($A10="","",Allocation!CJ10)</f>
        <v>499926</v>
      </c>
      <c r="AP10">
        <f>IF($A10="","",IF(Allocation!$N$2="VOL_EFF",$Q10,IF(Allocation!$N$2="VOL_CLASS",$R10,$S10)))</f>
        <v>2309940</v>
      </c>
      <c r="AQ10">
        <f>IF($A10="","",IF(Allocation!$N$2="VOL_EFF",$T10,IF(Allocation!$N$2="VOL_CLASS",$U10,$V10)))</f>
        <v>20567210</v>
      </c>
      <c r="AR10">
        <f t="shared" si="18"/>
        <v>5796.9477654639313</v>
      </c>
      <c r="AS10" t="str">
        <f>IF($A10="","",$A10&amp;"|"&amp;Allocation!BG10)</f>
        <v>2024|ACT</v>
      </c>
    </row>
    <row r="11" spans="1:46" x14ac:dyDescent="0.45">
      <c r="A11" t="str">
        <f>IF(Allocation!BI11="","",Allocation!BI11)</f>
        <v>2024</v>
      </c>
      <c r="B11" t="str">
        <f>IF(Allocation!BJ11="","",Allocation!BJ11)</f>
        <v>ISCOM_LIL</v>
      </c>
      <c r="C11" t="str">
        <f>IF(Allocation!BK11="","",Allocation!BK11)</f>
        <v>ISCOM</v>
      </c>
      <c r="D11" t="str">
        <f>IF(Allocation!BL11="","",Allocation!BL11)</f>
        <v>BAC_COM</v>
      </c>
      <c r="E11" t="str">
        <f>IF(Allocation!BM11="","",Allocation!BM11)</f>
        <v>B1</v>
      </c>
      <c r="F11" t="str">
        <f>IF(Allocation!BN11="","",Allocation!BN11)</f>
        <v>INIT</v>
      </c>
      <c r="G11">
        <f>IF(Allocation!BO11="","",Allocation!BO11)</f>
        <v>44</v>
      </c>
      <c r="H11">
        <f>IF(Allocation!BP11="","",Allocation!BP11)</f>
        <v>2</v>
      </c>
      <c r="I11">
        <f>IF(Allocation!BQ11="","",Allocation!BQ11)</f>
        <v>327360</v>
      </c>
      <c r="J11">
        <f>IF(Allocation!CC11="","",Allocation!CC11)</f>
        <v>44</v>
      </c>
      <c r="K11">
        <f t="shared" si="0"/>
        <v>1200</v>
      </c>
      <c r="L11">
        <f t="shared" si="1"/>
        <v>217</v>
      </c>
      <c r="M11">
        <f t="shared" si="2"/>
        <v>10</v>
      </c>
      <c r="N11">
        <f t="shared" si="3"/>
        <v>1561220</v>
      </c>
      <c r="O11">
        <f t="shared" si="4"/>
        <v>4800</v>
      </c>
      <c r="P11">
        <f t="shared" si="5"/>
        <v>88</v>
      </c>
      <c r="Q11">
        <f t="shared" si="6"/>
        <v>737</v>
      </c>
      <c r="R11">
        <f t="shared" si="7"/>
        <v>35</v>
      </c>
      <c r="S11">
        <f t="shared" si="8"/>
        <v>5593340</v>
      </c>
      <c r="T11">
        <f t="shared" si="9"/>
        <v>2773</v>
      </c>
      <c r="U11">
        <f t="shared" si="10"/>
        <v>135</v>
      </c>
      <c r="V11">
        <f t="shared" si="11"/>
        <v>20567210</v>
      </c>
      <c r="W11">
        <f>IF($A11="","",Allocation!CD11)</f>
        <v>110180</v>
      </c>
      <c r="X11">
        <f>IF($A11="","",Allocation!CE11)</f>
        <v>259421.46</v>
      </c>
      <c r="Y11">
        <f>IF($A11="","",Allocation!CF11)</f>
        <v>82858</v>
      </c>
      <c r="Z11">
        <f>IF($A11="","",Allocation!CG11)</f>
        <v>20843</v>
      </c>
      <c r="AA11">
        <f>IF($A11="","",Allocation!CH11)</f>
        <v>604963.16</v>
      </c>
      <c r="AB11">
        <f>IF($A11="","",Allocation!CI11)</f>
        <v>2639292</v>
      </c>
      <c r="AC11">
        <f>IF($A11="","",IF(Allocation!$N$4="VOL_EFF",$G11,IF(Allocation!$N$4="VOL_CLASS",$H11,$I11)))</f>
        <v>2</v>
      </c>
      <c r="AD11">
        <f>IF($A11="","",IF(Allocation!$N$4="VOL_EFF",$L11,IF(Allocation!$N$4="VOL_CLASS",$M11,$N11)))</f>
        <v>10</v>
      </c>
      <c r="AE11">
        <f>IF($A11="","",IF(Allocation!$N$3="VOL_EFF",$L11,IF(Allocation!$N$3="VOL_CLASS",$M11,$N11)))</f>
        <v>217</v>
      </c>
      <c r="AF11">
        <f>IF($A11="","",IF(Allocation!$N$3="VOL_EFF",$Q11,IF(Allocation!$N$3="VOL_CLASS",$R11,$S11)))</f>
        <v>737</v>
      </c>
      <c r="AG11">
        <f>IF($A11="","",IF(Allocation!$N$1="VOL_EFF",$Q11,IF(Allocation!$N$1="VOL_CLASS",$R11,$S11)))</f>
        <v>737</v>
      </c>
      <c r="AH11">
        <f>IF($A11="","",IF(Allocation!$N$1="VOL_EFF",$T11,IF(Allocation!$N$1="VOL_CLASS",$U11,$V11)))</f>
        <v>2773</v>
      </c>
      <c r="AI11">
        <f t="shared" si="12"/>
        <v>27545</v>
      </c>
      <c r="AJ11">
        <f t="shared" si="13"/>
        <v>64855.364999999998</v>
      </c>
      <c r="AK11">
        <f t="shared" si="14"/>
        <v>27222.200460829496</v>
      </c>
      <c r="AL11">
        <f t="shared" si="15"/>
        <v>120992.63200000001</v>
      </c>
      <c r="AM11">
        <f t="shared" si="16"/>
        <v>41307.346844572668</v>
      </c>
      <c r="AN11">
        <f t="shared" si="17"/>
        <v>37431.304219368845</v>
      </c>
      <c r="AO11">
        <f>IF($A11="","",Allocation!CJ11)</f>
        <v>499926</v>
      </c>
      <c r="AP11">
        <f>IF($A11="","",IF(Allocation!$N$2="VOL_EFF",$Q11,IF(Allocation!$N$2="VOL_CLASS",$R11,$S11)))</f>
        <v>5593340</v>
      </c>
      <c r="AQ11">
        <f>IF($A11="","",IF(Allocation!$N$2="VOL_EFF",$T11,IF(Allocation!$N$2="VOL_CLASS",$U11,$V11)))</f>
        <v>20567210</v>
      </c>
      <c r="AR11">
        <f t="shared" si="18"/>
        <v>8006.1514752289677</v>
      </c>
      <c r="AS11" t="str">
        <f>IF($A11="","",$A11&amp;"|"&amp;Allocation!BG11)</f>
        <v>2024|ACT</v>
      </c>
    </row>
    <row r="12" spans="1:46" x14ac:dyDescent="0.45">
      <c r="A12" t="str">
        <f>IF(Allocation!BI12="","",Allocation!BI12)</f>
        <v>2024</v>
      </c>
      <c r="B12" t="str">
        <f>IF(Allocation!BJ12="","",Allocation!BJ12)</f>
        <v>ISCOM_LIL</v>
      </c>
      <c r="C12" t="str">
        <f>IF(Allocation!BK12="","",Allocation!BK12)</f>
        <v>ISCOM</v>
      </c>
      <c r="D12" t="str">
        <f>IF(Allocation!BL12="","",Allocation!BL12)</f>
        <v>BAC_COM</v>
      </c>
      <c r="E12" t="str">
        <f>IF(Allocation!BM12="","",Allocation!BM12)</f>
        <v>B2</v>
      </c>
      <c r="F12" t="str">
        <f>IF(Allocation!BN12="","",Allocation!BN12)</f>
        <v>ALT</v>
      </c>
      <c r="G12">
        <f>IF(Allocation!BO12="","",Allocation!BO12)</f>
        <v>43</v>
      </c>
      <c r="H12">
        <f>IF(Allocation!BP12="","",Allocation!BP12)</f>
        <v>2</v>
      </c>
      <c r="I12">
        <f>IF(Allocation!BQ12="","",Allocation!BQ12)</f>
        <v>294980</v>
      </c>
      <c r="J12">
        <f>IF(Allocation!CC12="","",Allocation!CC12)</f>
        <v>0</v>
      </c>
      <c r="K12">
        <f t="shared" si="0"/>
        <v>960</v>
      </c>
      <c r="L12">
        <f t="shared" si="1"/>
        <v>217</v>
      </c>
      <c r="M12">
        <f t="shared" si="2"/>
        <v>10</v>
      </c>
      <c r="N12">
        <f t="shared" si="3"/>
        <v>1561220</v>
      </c>
      <c r="O12">
        <f t="shared" si="4"/>
        <v>4800</v>
      </c>
      <c r="P12">
        <f t="shared" si="5"/>
        <v>88</v>
      </c>
      <c r="Q12">
        <f t="shared" si="6"/>
        <v>737</v>
      </c>
      <c r="R12">
        <f t="shared" si="7"/>
        <v>35</v>
      </c>
      <c r="S12">
        <f t="shared" si="8"/>
        <v>5593340</v>
      </c>
      <c r="T12">
        <f t="shared" si="9"/>
        <v>2773</v>
      </c>
      <c r="U12">
        <f t="shared" si="10"/>
        <v>135</v>
      </c>
      <c r="V12">
        <f t="shared" si="11"/>
        <v>20567210</v>
      </c>
      <c r="W12">
        <f>IF($A12="","",Allocation!CD12)</f>
        <v>110180</v>
      </c>
      <c r="X12">
        <f>IF($A12="","",Allocation!CE12)</f>
        <v>259421.46</v>
      </c>
      <c r="Y12">
        <f>IF($A12="","",Allocation!CF12)</f>
        <v>82858</v>
      </c>
      <c r="Z12">
        <f>IF($A12="","",Allocation!CG12)</f>
        <v>20843</v>
      </c>
      <c r="AA12">
        <f>IF($A12="","",Allocation!CH12)</f>
        <v>604963.16</v>
      </c>
      <c r="AB12">
        <f>IF($A12="","",Allocation!CI12)</f>
        <v>2639292</v>
      </c>
      <c r="AC12">
        <f>IF($A12="","",IF(Allocation!$N$4="VOL_EFF",$G12,IF(Allocation!$N$4="VOL_CLASS",$H12,$I12)))</f>
        <v>2</v>
      </c>
      <c r="AD12">
        <f>IF($A12="","",IF(Allocation!$N$4="VOL_EFF",$L12,IF(Allocation!$N$4="VOL_CLASS",$M12,$N12)))</f>
        <v>10</v>
      </c>
      <c r="AE12">
        <f>IF($A12="","",IF(Allocation!$N$3="VOL_EFF",$L12,IF(Allocation!$N$3="VOL_CLASS",$M12,$N12)))</f>
        <v>217</v>
      </c>
      <c r="AF12">
        <f>IF($A12="","",IF(Allocation!$N$3="VOL_EFF",$Q12,IF(Allocation!$N$3="VOL_CLASS",$R12,$S12)))</f>
        <v>737</v>
      </c>
      <c r="AG12">
        <f>IF($A12="","",IF(Allocation!$N$1="VOL_EFF",$Q12,IF(Allocation!$N$1="VOL_CLASS",$R12,$S12)))</f>
        <v>737</v>
      </c>
      <c r="AH12">
        <f>IF($A12="","",IF(Allocation!$N$1="VOL_EFF",$T12,IF(Allocation!$N$1="VOL_CLASS",$U12,$V12)))</f>
        <v>2773</v>
      </c>
      <c r="AI12">
        <f t="shared" si="12"/>
        <v>22036</v>
      </c>
      <c r="AJ12">
        <f t="shared" si="13"/>
        <v>51884.292000000001</v>
      </c>
      <c r="AK12">
        <f t="shared" si="14"/>
        <v>16418.866359447005</v>
      </c>
      <c r="AL12">
        <f t="shared" si="15"/>
        <v>120992.63200000001</v>
      </c>
      <c r="AM12">
        <f t="shared" si="16"/>
        <v>41307.346844572668</v>
      </c>
      <c r="AN12">
        <f t="shared" si="17"/>
        <v>34334.711320751347</v>
      </c>
      <c r="AO12">
        <f>IF($A12="","",Allocation!CJ12)</f>
        <v>499926</v>
      </c>
      <c r="AP12">
        <f>IF($A12="","",IF(Allocation!$N$2="VOL_EFF",$Q12,IF(Allocation!$N$2="VOL_CLASS",$R12,$S12)))</f>
        <v>5593340</v>
      </c>
      <c r="AQ12">
        <f>IF($A12="","",IF(Allocation!$N$2="VOL_EFF",$T12,IF(Allocation!$N$2="VOL_CLASS",$U12,$V12)))</f>
        <v>20567210</v>
      </c>
      <c r="AR12">
        <f t="shared" si="18"/>
        <v>8006.1514752289677</v>
      </c>
      <c r="AS12" t="str">
        <f>IF($A12="","",$A12&amp;"|"&amp;Allocation!BG12)</f>
        <v>2024|ACT</v>
      </c>
    </row>
    <row r="13" spans="1:46" x14ac:dyDescent="0.45">
      <c r="A13" t="str">
        <f>IF(Allocation!BI13="","",Allocation!BI13)</f>
        <v>2024</v>
      </c>
      <c r="B13" t="str">
        <f>IF(Allocation!BJ13="","",Allocation!BJ13)</f>
        <v>ISCOM_LIL</v>
      </c>
      <c r="C13" t="str">
        <f>IF(Allocation!BK13="","",Allocation!BK13)</f>
        <v>ISCOM</v>
      </c>
      <c r="D13" t="str">
        <f>IF(Allocation!BL13="","",Allocation!BL13)</f>
        <v>BAC_COM</v>
      </c>
      <c r="E13" t="str">
        <f>IF(Allocation!BM13="","",Allocation!BM13)</f>
        <v>B3</v>
      </c>
      <c r="F13" t="str">
        <f>IF(Allocation!BN13="","",Allocation!BN13)</f>
        <v>ALT</v>
      </c>
      <c r="G13">
        <f>IF(Allocation!BO13="","",Allocation!BO13)</f>
        <v>42</v>
      </c>
      <c r="H13">
        <f>IF(Allocation!BP13="","",Allocation!BP13)</f>
        <v>2</v>
      </c>
      <c r="I13">
        <f>IF(Allocation!BQ13="","",Allocation!BQ13)</f>
        <v>288120</v>
      </c>
      <c r="J13">
        <f>IF(Allocation!CC13="","",Allocation!CC13)</f>
        <v>0</v>
      </c>
      <c r="K13">
        <f t="shared" si="0"/>
        <v>960</v>
      </c>
      <c r="L13">
        <f t="shared" si="1"/>
        <v>217</v>
      </c>
      <c r="M13">
        <f t="shared" si="2"/>
        <v>10</v>
      </c>
      <c r="N13">
        <f t="shared" si="3"/>
        <v>1561220</v>
      </c>
      <c r="O13">
        <f t="shared" si="4"/>
        <v>4800</v>
      </c>
      <c r="P13">
        <f t="shared" si="5"/>
        <v>88</v>
      </c>
      <c r="Q13">
        <f t="shared" si="6"/>
        <v>737</v>
      </c>
      <c r="R13">
        <f t="shared" si="7"/>
        <v>35</v>
      </c>
      <c r="S13">
        <f t="shared" si="8"/>
        <v>5593340</v>
      </c>
      <c r="T13">
        <f t="shared" si="9"/>
        <v>2773</v>
      </c>
      <c r="U13">
        <f t="shared" si="10"/>
        <v>135</v>
      </c>
      <c r="V13">
        <f t="shared" si="11"/>
        <v>20567210</v>
      </c>
      <c r="W13">
        <f>IF($A13="","",Allocation!CD13)</f>
        <v>110180</v>
      </c>
      <c r="X13">
        <f>IF($A13="","",Allocation!CE13)</f>
        <v>259421.46</v>
      </c>
      <c r="Y13">
        <f>IF($A13="","",Allocation!CF13)</f>
        <v>82858</v>
      </c>
      <c r="Z13">
        <f>IF($A13="","",Allocation!CG13)</f>
        <v>20843</v>
      </c>
      <c r="AA13">
        <f>IF($A13="","",Allocation!CH13)</f>
        <v>604963.16</v>
      </c>
      <c r="AB13">
        <f>IF($A13="","",Allocation!CI13)</f>
        <v>2639292</v>
      </c>
      <c r="AC13">
        <f>IF($A13="","",IF(Allocation!$N$4="VOL_EFF",$G13,IF(Allocation!$N$4="VOL_CLASS",$H13,$I13)))</f>
        <v>2</v>
      </c>
      <c r="AD13">
        <f>IF($A13="","",IF(Allocation!$N$4="VOL_EFF",$L13,IF(Allocation!$N$4="VOL_CLASS",$M13,$N13)))</f>
        <v>10</v>
      </c>
      <c r="AE13">
        <f>IF($A13="","",IF(Allocation!$N$3="VOL_EFF",$L13,IF(Allocation!$N$3="VOL_CLASS",$M13,$N13)))</f>
        <v>217</v>
      </c>
      <c r="AF13">
        <f>IF($A13="","",IF(Allocation!$N$3="VOL_EFF",$Q13,IF(Allocation!$N$3="VOL_CLASS",$R13,$S13)))</f>
        <v>737</v>
      </c>
      <c r="AG13">
        <f>IF($A13="","",IF(Allocation!$N$1="VOL_EFF",$Q13,IF(Allocation!$N$1="VOL_CLASS",$R13,$S13)))</f>
        <v>737</v>
      </c>
      <c r="AH13">
        <f>IF($A13="","",IF(Allocation!$N$1="VOL_EFF",$T13,IF(Allocation!$N$1="VOL_CLASS",$U13,$V13)))</f>
        <v>2773</v>
      </c>
      <c r="AI13">
        <f t="shared" si="12"/>
        <v>22036</v>
      </c>
      <c r="AJ13">
        <f t="shared" si="13"/>
        <v>51884.292000000001</v>
      </c>
      <c r="AK13">
        <f t="shared" si="14"/>
        <v>16037.032258064515</v>
      </c>
      <c r="AL13">
        <f t="shared" si="15"/>
        <v>120992.63200000001</v>
      </c>
      <c r="AM13">
        <f t="shared" si="16"/>
        <v>41307.346844572668</v>
      </c>
      <c r="AN13">
        <f t="shared" si="17"/>
        <v>27856.545422133815</v>
      </c>
      <c r="AO13">
        <f>IF($A13="","",Allocation!CJ13)</f>
        <v>499926</v>
      </c>
      <c r="AP13">
        <f>IF($A13="","",IF(Allocation!$N$2="VOL_EFF",$Q13,IF(Allocation!$N$2="VOL_CLASS",$R13,$S13)))</f>
        <v>5593340</v>
      </c>
      <c r="AQ13">
        <f>IF($A13="","",IF(Allocation!$N$2="VOL_EFF",$T13,IF(Allocation!$N$2="VOL_CLASS",$U13,$V13)))</f>
        <v>20567210</v>
      </c>
      <c r="AR13">
        <f t="shared" si="18"/>
        <v>8006.1514752289677</v>
      </c>
      <c r="AS13" t="str">
        <f>IF($A13="","",$A13&amp;"|"&amp;Allocation!BG13)</f>
        <v>2024|ACT</v>
      </c>
    </row>
    <row r="14" spans="1:46" x14ac:dyDescent="0.45">
      <c r="A14" t="str">
        <f>IF(Allocation!BI14="","",Allocation!BI14)</f>
        <v>2024</v>
      </c>
      <c r="B14" t="str">
        <f>IF(Allocation!BJ14="","",Allocation!BJ14)</f>
        <v>ISCOM_LIL</v>
      </c>
      <c r="C14" t="str">
        <f>IF(Allocation!BK14="","",Allocation!BK14)</f>
        <v>ISCOM</v>
      </c>
      <c r="D14" t="str">
        <f>IF(Allocation!BL14="","",Allocation!BL14)</f>
        <v>MAS_COM</v>
      </c>
      <c r="E14" t="str">
        <f>IF(Allocation!BM14="","",Allocation!BM14)</f>
        <v>M1</v>
      </c>
      <c r="F14" t="str">
        <f>IF(Allocation!BN14="","",Allocation!BN14)</f>
        <v>ALT</v>
      </c>
      <c r="G14">
        <f>IF(Allocation!BO14="","",Allocation!BO14)</f>
        <v>44</v>
      </c>
      <c r="H14">
        <f>IF(Allocation!BP14="","",Allocation!BP14)</f>
        <v>2</v>
      </c>
      <c r="I14">
        <f>IF(Allocation!BQ14="","",Allocation!BQ14)</f>
        <v>327360</v>
      </c>
      <c r="J14">
        <f>IF(Allocation!CC14="","",Allocation!CC14)</f>
        <v>44</v>
      </c>
      <c r="K14">
        <f t="shared" si="0"/>
        <v>840</v>
      </c>
      <c r="L14">
        <f t="shared" si="1"/>
        <v>217</v>
      </c>
      <c r="M14">
        <f t="shared" si="2"/>
        <v>10</v>
      </c>
      <c r="N14">
        <f t="shared" si="3"/>
        <v>1561220</v>
      </c>
      <c r="O14">
        <f t="shared" si="4"/>
        <v>4800</v>
      </c>
      <c r="P14">
        <f t="shared" si="5"/>
        <v>88</v>
      </c>
      <c r="Q14">
        <f t="shared" si="6"/>
        <v>737</v>
      </c>
      <c r="R14">
        <f t="shared" si="7"/>
        <v>35</v>
      </c>
      <c r="S14">
        <f t="shared" si="8"/>
        <v>5593340</v>
      </c>
      <c r="T14">
        <f t="shared" si="9"/>
        <v>2773</v>
      </c>
      <c r="U14">
        <f t="shared" si="10"/>
        <v>135</v>
      </c>
      <c r="V14">
        <f t="shared" si="11"/>
        <v>20567210</v>
      </c>
      <c r="W14">
        <f>IF($A14="","",Allocation!CD14)</f>
        <v>110180</v>
      </c>
      <c r="X14">
        <f>IF($A14="","",Allocation!CE14)</f>
        <v>259421.46</v>
      </c>
      <c r="Y14">
        <f>IF($A14="","",Allocation!CF14)</f>
        <v>82858</v>
      </c>
      <c r="Z14">
        <f>IF($A14="","",Allocation!CG14)</f>
        <v>20843</v>
      </c>
      <c r="AA14">
        <f>IF($A14="","",Allocation!CH14)</f>
        <v>604963.16</v>
      </c>
      <c r="AB14">
        <f>IF($A14="","",Allocation!CI14)</f>
        <v>2639292</v>
      </c>
      <c r="AC14">
        <f>IF($A14="","",IF(Allocation!$N$4="VOL_EFF",$G14,IF(Allocation!$N$4="VOL_CLASS",$H14,$I14)))</f>
        <v>2</v>
      </c>
      <c r="AD14">
        <f>IF($A14="","",IF(Allocation!$N$4="VOL_EFF",$L14,IF(Allocation!$N$4="VOL_CLASS",$M14,$N14)))</f>
        <v>10</v>
      </c>
      <c r="AE14">
        <f>IF($A14="","",IF(Allocation!$N$3="VOL_EFF",$L14,IF(Allocation!$N$3="VOL_CLASS",$M14,$N14)))</f>
        <v>217</v>
      </c>
      <c r="AF14">
        <f>IF($A14="","",IF(Allocation!$N$3="VOL_EFF",$Q14,IF(Allocation!$N$3="VOL_CLASS",$R14,$S14)))</f>
        <v>737</v>
      </c>
      <c r="AG14">
        <f>IF($A14="","",IF(Allocation!$N$1="VOL_EFF",$Q14,IF(Allocation!$N$1="VOL_CLASS",$R14,$S14)))</f>
        <v>737</v>
      </c>
      <c r="AH14">
        <f>IF($A14="","",IF(Allocation!$N$1="VOL_EFF",$T14,IF(Allocation!$N$1="VOL_CLASS",$U14,$V14)))</f>
        <v>2773</v>
      </c>
      <c r="AI14">
        <f t="shared" si="12"/>
        <v>19281.5</v>
      </c>
      <c r="AJ14">
        <f t="shared" si="13"/>
        <v>45398.755499999999</v>
      </c>
      <c r="AK14">
        <f t="shared" si="14"/>
        <v>27222.200460829496</v>
      </c>
      <c r="AL14">
        <f t="shared" si="15"/>
        <v>120992.63200000001</v>
      </c>
      <c r="AM14">
        <f t="shared" si="16"/>
        <v>41307.346844572668</v>
      </c>
      <c r="AN14">
        <f t="shared" si="17"/>
        <v>65151.413719368866</v>
      </c>
      <c r="AO14">
        <f>IF($A14="","",Allocation!CJ14)</f>
        <v>499926</v>
      </c>
      <c r="AP14">
        <f>IF($A14="","",IF(Allocation!$N$2="VOL_EFF",$Q14,IF(Allocation!$N$2="VOL_CLASS",$R14,$S14)))</f>
        <v>5593340</v>
      </c>
      <c r="AQ14">
        <f>IF($A14="","",IF(Allocation!$N$2="VOL_EFF",$T14,IF(Allocation!$N$2="VOL_CLASS",$U14,$V14)))</f>
        <v>20567210</v>
      </c>
      <c r="AR14">
        <f t="shared" si="18"/>
        <v>8006.1514752289677</v>
      </c>
      <c r="AS14" t="str">
        <f>IF($A14="","",$A14&amp;"|"&amp;Allocation!BG14)</f>
        <v>2024|ACT</v>
      </c>
    </row>
    <row r="15" spans="1:46" x14ac:dyDescent="0.45">
      <c r="A15" t="str">
        <f>IF(Allocation!BI15="","",Allocation!BI15)</f>
        <v>2024</v>
      </c>
      <c r="B15" t="str">
        <f>IF(Allocation!BJ15="","",Allocation!BJ15)</f>
        <v>ISCOM_LIL</v>
      </c>
      <c r="C15" t="str">
        <f>IF(Allocation!BK15="","",Allocation!BK15)</f>
        <v>ISCOM</v>
      </c>
      <c r="D15" t="str">
        <f>IF(Allocation!BL15="","",Allocation!BL15)</f>
        <v>MAS_COM</v>
      </c>
      <c r="E15" t="str">
        <f>IF(Allocation!BM15="","",Allocation!BM15)</f>
        <v>M2</v>
      </c>
      <c r="F15" t="str">
        <f>IF(Allocation!BN15="","",Allocation!BN15)</f>
        <v>ALT</v>
      </c>
      <c r="G15">
        <f>IF(Allocation!BO15="","",Allocation!BO15)</f>
        <v>44</v>
      </c>
      <c r="H15">
        <f>IF(Allocation!BP15="","",Allocation!BP15)</f>
        <v>2</v>
      </c>
      <c r="I15">
        <f>IF(Allocation!BQ15="","",Allocation!BQ15)</f>
        <v>323400</v>
      </c>
      <c r="J15">
        <f>IF(Allocation!CC15="","",Allocation!CC15)</f>
        <v>0</v>
      </c>
      <c r="K15">
        <f t="shared" si="0"/>
        <v>840</v>
      </c>
      <c r="L15">
        <f t="shared" si="1"/>
        <v>217</v>
      </c>
      <c r="M15">
        <f t="shared" si="2"/>
        <v>10</v>
      </c>
      <c r="N15">
        <f t="shared" si="3"/>
        <v>1561220</v>
      </c>
      <c r="O15">
        <f t="shared" si="4"/>
        <v>4800</v>
      </c>
      <c r="P15">
        <f t="shared" si="5"/>
        <v>88</v>
      </c>
      <c r="Q15">
        <f t="shared" si="6"/>
        <v>737</v>
      </c>
      <c r="R15">
        <f t="shared" si="7"/>
        <v>35</v>
      </c>
      <c r="S15">
        <f t="shared" si="8"/>
        <v>5593340</v>
      </c>
      <c r="T15">
        <f t="shared" si="9"/>
        <v>2773</v>
      </c>
      <c r="U15">
        <f t="shared" si="10"/>
        <v>135</v>
      </c>
      <c r="V15">
        <f t="shared" si="11"/>
        <v>20567210</v>
      </c>
      <c r="W15">
        <f>IF($A15="","",Allocation!CD15)</f>
        <v>110180</v>
      </c>
      <c r="X15">
        <f>IF($A15="","",Allocation!CE15)</f>
        <v>259421.46</v>
      </c>
      <c r="Y15">
        <f>IF($A15="","",Allocation!CF15)</f>
        <v>82858</v>
      </c>
      <c r="Z15">
        <f>IF($A15="","",Allocation!CG15)</f>
        <v>20843</v>
      </c>
      <c r="AA15">
        <f>IF($A15="","",Allocation!CH15)</f>
        <v>604963.16</v>
      </c>
      <c r="AB15">
        <f>IF($A15="","",Allocation!CI15)</f>
        <v>2639292</v>
      </c>
      <c r="AC15">
        <f>IF($A15="","",IF(Allocation!$N$4="VOL_EFF",$G15,IF(Allocation!$N$4="VOL_CLASS",$H15,$I15)))</f>
        <v>2</v>
      </c>
      <c r="AD15">
        <f>IF($A15="","",IF(Allocation!$N$4="VOL_EFF",$L15,IF(Allocation!$N$4="VOL_CLASS",$M15,$N15)))</f>
        <v>10</v>
      </c>
      <c r="AE15">
        <f>IF($A15="","",IF(Allocation!$N$3="VOL_EFF",$L15,IF(Allocation!$N$3="VOL_CLASS",$M15,$N15)))</f>
        <v>217</v>
      </c>
      <c r="AF15">
        <f>IF($A15="","",IF(Allocation!$N$3="VOL_EFF",$Q15,IF(Allocation!$N$3="VOL_CLASS",$R15,$S15)))</f>
        <v>737</v>
      </c>
      <c r="AG15">
        <f>IF($A15="","",IF(Allocation!$N$1="VOL_EFF",$Q15,IF(Allocation!$N$1="VOL_CLASS",$R15,$S15)))</f>
        <v>737</v>
      </c>
      <c r="AH15">
        <f>IF($A15="","",IF(Allocation!$N$1="VOL_EFF",$T15,IF(Allocation!$N$1="VOL_CLASS",$U15,$V15)))</f>
        <v>2773</v>
      </c>
      <c r="AI15">
        <f t="shared" si="12"/>
        <v>19281.5</v>
      </c>
      <c r="AJ15">
        <f t="shared" si="13"/>
        <v>45398.755499999999</v>
      </c>
      <c r="AK15">
        <f t="shared" si="14"/>
        <v>16800.700460829496</v>
      </c>
      <c r="AL15">
        <f t="shared" si="15"/>
        <v>120992.63200000001</v>
      </c>
      <c r="AM15">
        <f t="shared" si="16"/>
        <v>41307.346844572668</v>
      </c>
      <c r="AN15">
        <f t="shared" si="17"/>
        <v>71612.913719368866</v>
      </c>
      <c r="AO15">
        <f>IF($A15="","",Allocation!CJ15)</f>
        <v>499926</v>
      </c>
      <c r="AP15">
        <f>IF($A15="","",IF(Allocation!$N$2="VOL_EFF",$Q15,IF(Allocation!$N$2="VOL_CLASS",$R15,$S15)))</f>
        <v>5593340</v>
      </c>
      <c r="AQ15">
        <f>IF($A15="","",IF(Allocation!$N$2="VOL_EFF",$T15,IF(Allocation!$N$2="VOL_CLASS",$U15,$V15)))</f>
        <v>20567210</v>
      </c>
      <c r="AR15">
        <f t="shared" si="18"/>
        <v>8006.1514752289677</v>
      </c>
      <c r="AS15" t="str">
        <f>IF($A15="","",$A15&amp;"|"&amp;Allocation!BG15)</f>
        <v>2024|ACT</v>
      </c>
    </row>
    <row r="16" spans="1:46" x14ac:dyDescent="0.45">
      <c r="A16" t="str">
        <f>IF(Allocation!BI16="","",Allocation!BI16)</f>
        <v>2024</v>
      </c>
      <c r="B16" t="str">
        <f>IF(Allocation!BJ16="","",Allocation!BJ16)</f>
        <v>ISCOM_PAR</v>
      </c>
      <c r="C16" t="str">
        <f>IF(Allocation!BK16="","",Allocation!BK16)</f>
        <v>ISCOM</v>
      </c>
      <c r="D16" t="str">
        <f>IF(Allocation!BL16="","",Allocation!BL16)</f>
        <v>BAC_COM</v>
      </c>
      <c r="E16" t="str">
        <f>IF(Allocation!BM16="","",Allocation!BM16)</f>
        <v>B1</v>
      </c>
      <c r="F16" t="str">
        <f>IF(Allocation!BN16="","",Allocation!BN16)</f>
        <v>INIT</v>
      </c>
      <c r="G16">
        <f>IF(Allocation!BO16="","",Allocation!BO16)</f>
        <v>64</v>
      </c>
      <c r="H16">
        <f>IF(Allocation!BP16="","",Allocation!BP16)</f>
        <v>3</v>
      </c>
      <c r="I16">
        <f>IF(Allocation!BQ16="","",Allocation!BQ16)</f>
        <v>543360</v>
      </c>
      <c r="J16">
        <f>IF(Allocation!CC16="","",Allocation!CC16)</f>
        <v>64</v>
      </c>
      <c r="K16">
        <f t="shared" si="0"/>
        <v>1800</v>
      </c>
      <c r="L16">
        <f t="shared" si="1"/>
        <v>314</v>
      </c>
      <c r="M16">
        <f t="shared" si="2"/>
        <v>15</v>
      </c>
      <c r="N16">
        <f t="shared" si="3"/>
        <v>2580240</v>
      </c>
      <c r="O16">
        <f t="shared" si="4"/>
        <v>7200</v>
      </c>
      <c r="P16">
        <f t="shared" si="5"/>
        <v>128</v>
      </c>
      <c r="Q16">
        <f t="shared" si="6"/>
        <v>737</v>
      </c>
      <c r="R16">
        <f t="shared" si="7"/>
        <v>35</v>
      </c>
      <c r="S16">
        <f t="shared" si="8"/>
        <v>5593340</v>
      </c>
      <c r="T16">
        <f t="shared" si="9"/>
        <v>2773</v>
      </c>
      <c r="U16">
        <f t="shared" si="10"/>
        <v>135</v>
      </c>
      <c r="V16">
        <f t="shared" si="11"/>
        <v>20567210</v>
      </c>
      <c r="W16">
        <f>IF($A16="","",Allocation!CD16)</f>
        <v>165271</v>
      </c>
      <c r="X16">
        <f>IF($A16="","",Allocation!CE16)</f>
        <v>443568.93</v>
      </c>
      <c r="Y16">
        <f>IF($A16="","",Allocation!CF16)</f>
        <v>120212</v>
      </c>
      <c r="Z16">
        <f>IF($A16="","",Allocation!CG16)</f>
        <v>50248</v>
      </c>
      <c r="AA16">
        <f>IF($A16="","",Allocation!CH16)</f>
        <v>1011591.62</v>
      </c>
      <c r="AB16">
        <f>IF($A16="","",Allocation!CI16)</f>
        <v>2639292</v>
      </c>
      <c r="AC16">
        <f>IF($A16="","",IF(Allocation!$N$4="VOL_EFF",$G16,IF(Allocation!$N$4="VOL_CLASS",$H16,$I16)))</f>
        <v>3</v>
      </c>
      <c r="AD16">
        <f>IF($A16="","",IF(Allocation!$N$4="VOL_EFF",$L16,IF(Allocation!$N$4="VOL_CLASS",$M16,$N16)))</f>
        <v>15</v>
      </c>
      <c r="AE16">
        <f>IF($A16="","",IF(Allocation!$N$3="VOL_EFF",$L16,IF(Allocation!$N$3="VOL_CLASS",$M16,$N16)))</f>
        <v>314</v>
      </c>
      <c r="AF16">
        <f>IF($A16="","",IF(Allocation!$N$3="VOL_EFF",$Q16,IF(Allocation!$N$3="VOL_CLASS",$R16,$S16)))</f>
        <v>737</v>
      </c>
      <c r="AG16">
        <f>IF($A16="","",IF(Allocation!$N$1="VOL_EFF",$Q16,IF(Allocation!$N$1="VOL_CLASS",$R16,$S16)))</f>
        <v>737</v>
      </c>
      <c r="AH16">
        <f>IF($A16="","",IF(Allocation!$N$1="VOL_EFF",$T16,IF(Allocation!$N$1="VOL_CLASS",$U16,$V16)))</f>
        <v>2773</v>
      </c>
      <c r="AI16">
        <f t="shared" si="12"/>
        <v>41317.75</v>
      </c>
      <c r="AJ16">
        <f t="shared" si="13"/>
        <v>110892.2325</v>
      </c>
      <c r="AK16">
        <f t="shared" si="14"/>
        <v>49625.808917197457</v>
      </c>
      <c r="AL16">
        <f t="shared" si="15"/>
        <v>202318.32400000002</v>
      </c>
      <c r="AM16">
        <f t="shared" si="16"/>
        <v>59771.921240533731</v>
      </c>
      <c r="AN16">
        <f t="shared" si="17"/>
        <v>67849.025262905285</v>
      </c>
      <c r="AO16">
        <f>IF($A16="","",Allocation!CJ16)</f>
        <v>499926</v>
      </c>
      <c r="AP16">
        <f>IF($A16="","",IF(Allocation!$N$2="VOL_EFF",$Q16,IF(Allocation!$N$2="VOL_CLASS",$R16,$S16)))</f>
        <v>5593340</v>
      </c>
      <c r="AQ16">
        <f>IF($A16="","",IF(Allocation!$N$2="VOL_EFF",$T16,IF(Allocation!$N$2="VOL_CLASS",$U16,$V16)))</f>
        <v>20567210</v>
      </c>
      <c r="AR16">
        <f t="shared" si="18"/>
        <v>11584.938079363576</v>
      </c>
      <c r="AS16" t="str">
        <f>IF($A16="","",$A16&amp;"|"&amp;Allocation!BG16)</f>
        <v>2024|ACT</v>
      </c>
    </row>
    <row r="17" spans="1:45" x14ac:dyDescent="0.45">
      <c r="A17" t="str">
        <f>IF(Allocation!BI17="","",Allocation!BI17)</f>
        <v>2024</v>
      </c>
      <c r="B17" t="str">
        <f>IF(Allocation!BJ17="","",Allocation!BJ17)</f>
        <v>ISCOM_PAR</v>
      </c>
      <c r="C17" t="str">
        <f>IF(Allocation!BK17="","",Allocation!BK17)</f>
        <v>ISCOM</v>
      </c>
      <c r="D17" t="str">
        <f>IF(Allocation!BL17="","",Allocation!BL17)</f>
        <v>BAC_COM</v>
      </c>
      <c r="E17" t="str">
        <f>IF(Allocation!BM17="","",Allocation!BM17)</f>
        <v>B2</v>
      </c>
      <c r="F17" t="str">
        <f>IF(Allocation!BN17="","",Allocation!BN17)</f>
        <v>ALT</v>
      </c>
      <c r="G17">
        <f>IF(Allocation!BO17="","",Allocation!BO17)</f>
        <v>62</v>
      </c>
      <c r="H17">
        <f>IF(Allocation!BP17="","",Allocation!BP17)</f>
        <v>3</v>
      </c>
      <c r="I17">
        <f>IF(Allocation!BQ17="","",Allocation!BQ17)</f>
        <v>486080</v>
      </c>
      <c r="J17">
        <f>IF(Allocation!CC17="","",Allocation!CC17)</f>
        <v>0</v>
      </c>
      <c r="K17">
        <f t="shared" si="0"/>
        <v>1440</v>
      </c>
      <c r="L17">
        <f t="shared" si="1"/>
        <v>314</v>
      </c>
      <c r="M17">
        <f t="shared" si="2"/>
        <v>15</v>
      </c>
      <c r="N17">
        <f t="shared" si="3"/>
        <v>2580240</v>
      </c>
      <c r="O17">
        <f t="shared" si="4"/>
        <v>7200</v>
      </c>
      <c r="P17">
        <f t="shared" si="5"/>
        <v>128</v>
      </c>
      <c r="Q17">
        <f t="shared" si="6"/>
        <v>737</v>
      </c>
      <c r="R17">
        <f t="shared" si="7"/>
        <v>35</v>
      </c>
      <c r="S17">
        <f t="shared" si="8"/>
        <v>5593340</v>
      </c>
      <c r="T17">
        <f t="shared" si="9"/>
        <v>2773</v>
      </c>
      <c r="U17">
        <f t="shared" si="10"/>
        <v>135</v>
      </c>
      <c r="V17">
        <f t="shared" si="11"/>
        <v>20567210</v>
      </c>
      <c r="W17">
        <f>IF($A17="","",Allocation!CD17)</f>
        <v>165271</v>
      </c>
      <c r="X17">
        <f>IF($A17="","",Allocation!CE17)</f>
        <v>443568.93</v>
      </c>
      <c r="Y17">
        <f>IF($A17="","",Allocation!CF17)</f>
        <v>120212</v>
      </c>
      <c r="Z17">
        <f>IF($A17="","",Allocation!CG17)</f>
        <v>50248</v>
      </c>
      <c r="AA17">
        <f>IF($A17="","",Allocation!CH17)</f>
        <v>1011591.62</v>
      </c>
      <c r="AB17">
        <f>IF($A17="","",Allocation!CI17)</f>
        <v>2639292</v>
      </c>
      <c r="AC17">
        <f>IF($A17="","",IF(Allocation!$N$4="VOL_EFF",$G17,IF(Allocation!$N$4="VOL_CLASS",$H17,$I17)))</f>
        <v>3</v>
      </c>
      <c r="AD17">
        <f>IF($A17="","",IF(Allocation!$N$4="VOL_EFF",$L17,IF(Allocation!$N$4="VOL_CLASS",$M17,$N17)))</f>
        <v>15</v>
      </c>
      <c r="AE17">
        <f>IF($A17="","",IF(Allocation!$N$3="VOL_EFF",$L17,IF(Allocation!$N$3="VOL_CLASS",$M17,$N17)))</f>
        <v>314</v>
      </c>
      <c r="AF17">
        <f>IF($A17="","",IF(Allocation!$N$3="VOL_EFF",$Q17,IF(Allocation!$N$3="VOL_CLASS",$R17,$S17)))</f>
        <v>737</v>
      </c>
      <c r="AG17">
        <f>IF($A17="","",IF(Allocation!$N$1="VOL_EFF",$Q17,IF(Allocation!$N$1="VOL_CLASS",$R17,$S17)))</f>
        <v>737</v>
      </c>
      <c r="AH17">
        <f>IF($A17="","",IF(Allocation!$N$1="VOL_EFF",$T17,IF(Allocation!$N$1="VOL_CLASS",$U17,$V17)))</f>
        <v>2773</v>
      </c>
      <c r="AI17">
        <f t="shared" si="12"/>
        <v>33054.200000000004</v>
      </c>
      <c r="AJ17">
        <f t="shared" si="13"/>
        <v>88713.786000000007</v>
      </c>
      <c r="AK17">
        <f t="shared" si="14"/>
        <v>23736.127388535035</v>
      </c>
      <c r="AL17">
        <f t="shared" si="15"/>
        <v>202318.32400000002</v>
      </c>
      <c r="AM17">
        <f t="shared" si="16"/>
        <v>59771.921240533731</v>
      </c>
      <c r="AN17">
        <f t="shared" si="17"/>
        <v>66900.703291567625</v>
      </c>
      <c r="AO17">
        <f>IF($A17="","",Allocation!CJ17)</f>
        <v>499926</v>
      </c>
      <c r="AP17">
        <f>IF($A17="","",IF(Allocation!$N$2="VOL_EFF",$Q17,IF(Allocation!$N$2="VOL_CLASS",$R17,$S17)))</f>
        <v>5593340</v>
      </c>
      <c r="AQ17">
        <f>IF($A17="","",IF(Allocation!$N$2="VOL_EFF",$T17,IF(Allocation!$N$2="VOL_CLASS",$U17,$V17)))</f>
        <v>20567210</v>
      </c>
      <c r="AR17">
        <f t="shared" si="18"/>
        <v>11584.938079363576</v>
      </c>
      <c r="AS17" t="str">
        <f>IF($A17="","",$A17&amp;"|"&amp;Allocation!BG17)</f>
        <v>2024|ACT</v>
      </c>
    </row>
    <row r="18" spans="1:45" x14ac:dyDescent="0.45">
      <c r="A18" t="str">
        <f>IF(Allocation!BI18="","",Allocation!BI18)</f>
        <v>2024</v>
      </c>
      <c r="B18" t="str">
        <f>IF(Allocation!BJ18="","",Allocation!BJ18)</f>
        <v>ISCOM_PAR</v>
      </c>
      <c r="C18" t="str">
        <f>IF(Allocation!BK18="","",Allocation!BK18)</f>
        <v>ISCOM</v>
      </c>
      <c r="D18" t="str">
        <f>IF(Allocation!BL18="","",Allocation!BL18)</f>
        <v>BAC_COM</v>
      </c>
      <c r="E18" t="str">
        <f>IF(Allocation!BM18="","",Allocation!BM18)</f>
        <v>B3</v>
      </c>
      <c r="F18" t="str">
        <f>IF(Allocation!BN18="","",Allocation!BN18)</f>
        <v>ALT</v>
      </c>
      <c r="G18">
        <f>IF(Allocation!BO18="","",Allocation!BO18)</f>
        <v>61</v>
      </c>
      <c r="H18">
        <f>IF(Allocation!BP18="","",Allocation!BP18)</f>
        <v>3</v>
      </c>
      <c r="I18">
        <f>IF(Allocation!BQ18="","",Allocation!BQ18)</f>
        <v>478240</v>
      </c>
      <c r="J18">
        <f>IF(Allocation!CC18="","",Allocation!CC18)</f>
        <v>0</v>
      </c>
      <c r="K18">
        <f t="shared" si="0"/>
        <v>1440</v>
      </c>
      <c r="L18">
        <f t="shared" si="1"/>
        <v>314</v>
      </c>
      <c r="M18">
        <f t="shared" si="2"/>
        <v>15</v>
      </c>
      <c r="N18">
        <f t="shared" si="3"/>
        <v>2580240</v>
      </c>
      <c r="O18">
        <f t="shared" si="4"/>
        <v>7200</v>
      </c>
      <c r="P18">
        <f t="shared" si="5"/>
        <v>128</v>
      </c>
      <c r="Q18">
        <f t="shared" si="6"/>
        <v>737</v>
      </c>
      <c r="R18">
        <f t="shared" si="7"/>
        <v>35</v>
      </c>
      <c r="S18">
        <f t="shared" si="8"/>
        <v>5593340</v>
      </c>
      <c r="T18">
        <f t="shared" si="9"/>
        <v>2773</v>
      </c>
      <c r="U18">
        <f t="shared" si="10"/>
        <v>135</v>
      </c>
      <c r="V18">
        <f t="shared" si="11"/>
        <v>20567210</v>
      </c>
      <c r="W18">
        <f>IF($A18="","",Allocation!CD18)</f>
        <v>165271</v>
      </c>
      <c r="X18">
        <f>IF($A18="","",Allocation!CE18)</f>
        <v>443568.93</v>
      </c>
      <c r="Y18">
        <f>IF($A18="","",Allocation!CF18)</f>
        <v>120212</v>
      </c>
      <c r="Z18">
        <f>IF($A18="","",Allocation!CG18)</f>
        <v>50248</v>
      </c>
      <c r="AA18">
        <f>IF($A18="","",Allocation!CH18)</f>
        <v>1011591.62</v>
      </c>
      <c r="AB18">
        <f>IF($A18="","",Allocation!CI18)</f>
        <v>2639292</v>
      </c>
      <c r="AC18">
        <f>IF($A18="","",IF(Allocation!$N$4="VOL_EFF",$G18,IF(Allocation!$N$4="VOL_CLASS",$H18,$I18)))</f>
        <v>3</v>
      </c>
      <c r="AD18">
        <f>IF($A18="","",IF(Allocation!$N$4="VOL_EFF",$L18,IF(Allocation!$N$4="VOL_CLASS",$M18,$N18)))</f>
        <v>15</v>
      </c>
      <c r="AE18">
        <f>IF($A18="","",IF(Allocation!$N$3="VOL_EFF",$L18,IF(Allocation!$N$3="VOL_CLASS",$M18,$N18)))</f>
        <v>314</v>
      </c>
      <c r="AF18">
        <f>IF($A18="","",IF(Allocation!$N$3="VOL_EFF",$Q18,IF(Allocation!$N$3="VOL_CLASS",$R18,$S18)))</f>
        <v>737</v>
      </c>
      <c r="AG18">
        <f>IF($A18="","",IF(Allocation!$N$1="VOL_EFF",$Q18,IF(Allocation!$N$1="VOL_CLASS",$R18,$S18)))</f>
        <v>737</v>
      </c>
      <c r="AH18">
        <f>IF($A18="","",IF(Allocation!$N$1="VOL_EFF",$T18,IF(Allocation!$N$1="VOL_CLASS",$U18,$V18)))</f>
        <v>2773</v>
      </c>
      <c r="AI18">
        <f t="shared" si="12"/>
        <v>33054.200000000004</v>
      </c>
      <c r="AJ18">
        <f t="shared" si="13"/>
        <v>88713.786000000007</v>
      </c>
      <c r="AK18">
        <f t="shared" si="14"/>
        <v>23353.286624203822</v>
      </c>
      <c r="AL18">
        <f t="shared" si="15"/>
        <v>202318.32400000002</v>
      </c>
      <c r="AM18">
        <f t="shared" si="16"/>
        <v>59771.921240533731</v>
      </c>
      <c r="AN18">
        <f t="shared" si="17"/>
        <v>59443.544055898907</v>
      </c>
      <c r="AO18">
        <f>IF($A18="","",Allocation!CJ18)</f>
        <v>499926</v>
      </c>
      <c r="AP18">
        <f>IF($A18="","",IF(Allocation!$N$2="VOL_EFF",$Q18,IF(Allocation!$N$2="VOL_CLASS",$R18,$S18)))</f>
        <v>5593340</v>
      </c>
      <c r="AQ18">
        <f>IF($A18="","",IF(Allocation!$N$2="VOL_EFF",$T18,IF(Allocation!$N$2="VOL_CLASS",$U18,$V18)))</f>
        <v>20567210</v>
      </c>
      <c r="AR18">
        <f t="shared" si="18"/>
        <v>11584.938079363576</v>
      </c>
      <c r="AS18" t="str">
        <f>IF($A18="","",$A18&amp;"|"&amp;Allocation!BG18)</f>
        <v>2024|ACT</v>
      </c>
    </row>
    <row r="19" spans="1:45" x14ac:dyDescent="0.45">
      <c r="A19" t="str">
        <f>IF(Allocation!BI19="","",Allocation!BI19)</f>
        <v>2024</v>
      </c>
      <c r="B19" t="str">
        <f>IF(Allocation!BJ19="","",Allocation!BJ19)</f>
        <v>ISCOM_PAR</v>
      </c>
      <c r="C19" t="str">
        <f>IF(Allocation!BK19="","",Allocation!BK19)</f>
        <v>ISCOM</v>
      </c>
      <c r="D19" t="str">
        <f>IF(Allocation!BL19="","",Allocation!BL19)</f>
        <v>MAS_COM</v>
      </c>
      <c r="E19" t="str">
        <f>IF(Allocation!BM19="","",Allocation!BM19)</f>
        <v>M1</v>
      </c>
      <c r="F19" t="str">
        <f>IF(Allocation!BN19="","",Allocation!BN19)</f>
        <v>ALT</v>
      </c>
      <c r="G19">
        <f>IF(Allocation!BO19="","",Allocation!BO19)</f>
        <v>64</v>
      </c>
      <c r="H19">
        <f>IF(Allocation!BP19="","",Allocation!BP19)</f>
        <v>3</v>
      </c>
      <c r="I19">
        <f>IF(Allocation!BQ19="","",Allocation!BQ19)</f>
        <v>543360</v>
      </c>
      <c r="J19">
        <f>IF(Allocation!CC19="","",Allocation!CC19)</f>
        <v>64</v>
      </c>
      <c r="K19">
        <f t="shared" si="0"/>
        <v>1260</v>
      </c>
      <c r="L19">
        <f t="shared" si="1"/>
        <v>314</v>
      </c>
      <c r="M19">
        <f t="shared" si="2"/>
        <v>15</v>
      </c>
      <c r="N19">
        <f t="shared" si="3"/>
        <v>2580240</v>
      </c>
      <c r="O19">
        <f t="shared" si="4"/>
        <v>7200</v>
      </c>
      <c r="P19">
        <f t="shared" si="5"/>
        <v>128</v>
      </c>
      <c r="Q19">
        <f t="shared" si="6"/>
        <v>737</v>
      </c>
      <c r="R19">
        <f t="shared" si="7"/>
        <v>35</v>
      </c>
      <c r="S19">
        <f t="shared" si="8"/>
        <v>5593340</v>
      </c>
      <c r="T19">
        <f t="shared" si="9"/>
        <v>2773</v>
      </c>
      <c r="U19">
        <f t="shared" si="10"/>
        <v>135</v>
      </c>
      <c r="V19">
        <f t="shared" si="11"/>
        <v>20567210</v>
      </c>
      <c r="W19">
        <f>IF($A19="","",Allocation!CD19)</f>
        <v>165271</v>
      </c>
      <c r="X19">
        <f>IF($A19="","",Allocation!CE19)</f>
        <v>443568.93</v>
      </c>
      <c r="Y19">
        <f>IF($A19="","",Allocation!CF19)</f>
        <v>120212</v>
      </c>
      <c r="Z19">
        <f>IF($A19="","",Allocation!CG19)</f>
        <v>50248</v>
      </c>
      <c r="AA19">
        <f>IF($A19="","",Allocation!CH19)</f>
        <v>1011591.62</v>
      </c>
      <c r="AB19">
        <f>IF($A19="","",Allocation!CI19)</f>
        <v>2639292</v>
      </c>
      <c r="AC19">
        <f>IF($A19="","",IF(Allocation!$N$4="VOL_EFF",$G19,IF(Allocation!$N$4="VOL_CLASS",$H19,$I19)))</f>
        <v>3</v>
      </c>
      <c r="AD19">
        <f>IF($A19="","",IF(Allocation!$N$4="VOL_EFF",$L19,IF(Allocation!$N$4="VOL_CLASS",$M19,$N19)))</f>
        <v>15</v>
      </c>
      <c r="AE19">
        <f>IF($A19="","",IF(Allocation!$N$3="VOL_EFF",$L19,IF(Allocation!$N$3="VOL_CLASS",$M19,$N19)))</f>
        <v>314</v>
      </c>
      <c r="AF19">
        <f>IF($A19="","",IF(Allocation!$N$3="VOL_EFF",$Q19,IF(Allocation!$N$3="VOL_CLASS",$R19,$S19)))</f>
        <v>737</v>
      </c>
      <c r="AG19">
        <f>IF($A19="","",IF(Allocation!$N$1="VOL_EFF",$Q19,IF(Allocation!$N$1="VOL_CLASS",$R19,$S19)))</f>
        <v>737</v>
      </c>
      <c r="AH19">
        <f>IF($A19="","",IF(Allocation!$N$1="VOL_EFF",$T19,IF(Allocation!$N$1="VOL_CLASS",$U19,$V19)))</f>
        <v>2773</v>
      </c>
      <c r="AI19">
        <f t="shared" si="12"/>
        <v>28922.424999999999</v>
      </c>
      <c r="AJ19">
        <f t="shared" si="13"/>
        <v>77624.562749999997</v>
      </c>
      <c r="AK19">
        <f t="shared" si="14"/>
        <v>49625.808917197457</v>
      </c>
      <c r="AL19">
        <f t="shared" si="15"/>
        <v>202318.32400000002</v>
      </c>
      <c r="AM19">
        <f t="shared" si="16"/>
        <v>59771.921240533731</v>
      </c>
      <c r="AN19">
        <f t="shared" si="17"/>
        <v>113512.02001290524</v>
      </c>
      <c r="AO19">
        <f>IF($A19="","",Allocation!CJ19)</f>
        <v>499926</v>
      </c>
      <c r="AP19">
        <f>IF($A19="","",IF(Allocation!$N$2="VOL_EFF",$Q19,IF(Allocation!$N$2="VOL_CLASS",$R19,$S19)))</f>
        <v>5593340</v>
      </c>
      <c r="AQ19">
        <f>IF($A19="","",IF(Allocation!$N$2="VOL_EFF",$T19,IF(Allocation!$N$2="VOL_CLASS",$U19,$V19)))</f>
        <v>20567210</v>
      </c>
      <c r="AR19">
        <f t="shared" si="18"/>
        <v>11584.938079363576</v>
      </c>
      <c r="AS19" t="str">
        <f>IF($A19="","",$A19&amp;"|"&amp;Allocation!BG19)</f>
        <v>2024|ACT</v>
      </c>
    </row>
    <row r="20" spans="1:45" x14ac:dyDescent="0.45">
      <c r="A20" t="str">
        <f>IF(Allocation!BI20="","",Allocation!BI20)</f>
        <v>2024</v>
      </c>
      <c r="B20" t="str">
        <f>IF(Allocation!BJ20="","",Allocation!BJ20)</f>
        <v>ISCOM_PAR</v>
      </c>
      <c r="C20" t="str">
        <f>IF(Allocation!BK20="","",Allocation!BK20)</f>
        <v>ISCOM</v>
      </c>
      <c r="D20" t="str">
        <f>IF(Allocation!BL20="","",Allocation!BL20)</f>
        <v>MAS_COM</v>
      </c>
      <c r="E20" t="str">
        <f>IF(Allocation!BM20="","",Allocation!BM20)</f>
        <v>M2</v>
      </c>
      <c r="F20" t="str">
        <f>IF(Allocation!BN20="","",Allocation!BN20)</f>
        <v>ALT</v>
      </c>
      <c r="G20">
        <f>IF(Allocation!BO20="","",Allocation!BO20)</f>
        <v>63</v>
      </c>
      <c r="H20">
        <f>IF(Allocation!BP20="","",Allocation!BP20)</f>
        <v>3</v>
      </c>
      <c r="I20">
        <f>IF(Allocation!BQ20="","",Allocation!BQ20)</f>
        <v>529200</v>
      </c>
      <c r="J20">
        <f>IF(Allocation!CC20="","",Allocation!CC20)</f>
        <v>0</v>
      </c>
      <c r="K20">
        <f t="shared" si="0"/>
        <v>1260</v>
      </c>
      <c r="L20">
        <f t="shared" si="1"/>
        <v>314</v>
      </c>
      <c r="M20">
        <f t="shared" si="2"/>
        <v>15</v>
      </c>
      <c r="N20">
        <f t="shared" si="3"/>
        <v>2580240</v>
      </c>
      <c r="O20">
        <f t="shared" si="4"/>
        <v>7200</v>
      </c>
      <c r="P20">
        <f t="shared" si="5"/>
        <v>128</v>
      </c>
      <c r="Q20">
        <f t="shared" si="6"/>
        <v>737</v>
      </c>
      <c r="R20">
        <f t="shared" si="7"/>
        <v>35</v>
      </c>
      <c r="S20">
        <f t="shared" si="8"/>
        <v>5593340</v>
      </c>
      <c r="T20">
        <f t="shared" si="9"/>
        <v>2773</v>
      </c>
      <c r="U20">
        <f t="shared" si="10"/>
        <v>135</v>
      </c>
      <c r="V20">
        <f t="shared" si="11"/>
        <v>20567210</v>
      </c>
      <c r="W20">
        <f>IF($A20="","",Allocation!CD20)</f>
        <v>165271</v>
      </c>
      <c r="X20">
        <f>IF($A20="","",Allocation!CE20)</f>
        <v>443568.93</v>
      </c>
      <c r="Y20">
        <f>IF($A20="","",Allocation!CF20)</f>
        <v>120212</v>
      </c>
      <c r="Z20">
        <f>IF($A20="","",Allocation!CG20)</f>
        <v>50248</v>
      </c>
      <c r="AA20">
        <f>IF($A20="","",Allocation!CH20)</f>
        <v>1011591.62</v>
      </c>
      <c r="AB20">
        <f>IF($A20="","",Allocation!CI20)</f>
        <v>2639292</v>
      </c>
      <c r="AC20">
        <f>IF($A20="","",IF(Allocation!$N$4="VOL_EFF",$G20,IF(Allocation!$N$4="VOL_CLASS",$H20,$I20)))</f>
        <v>3</v>
      </c>
      <c r="AD20">
        <f>IF($A20="","",IF(Allocation!$N$4="VOL_EFF",$L20,IF(Allocation!$N$4="VOL_CLASS",$M20,$N20)))</f>
        <v>15</v>
      </c>
      <c r="AE20">
        <f>IF($A20="","",IF(Allocation!$N$3="VOL_EFF",$L20,IF(Allocation!$N$3="VOL_CLASS",$M20,$N20)))</f>
        <v>314</v>
      </c>
      <c r="AF20">
        <f>IF($A20="","",IF(Allocation!$N$3="VOL_EFF",$Q20,IF(Allocation!$N$3="VOL_CLASS",$R20,$S20)))</f>
        <v>737</v>
      </c>
      <c r="AG20">
        <f>IF($A20="","",IF(Allocation!$N$1="VOL_EFF",$Q20,IF(Allocation!$N$1="VOL_CLASS",$R20,$S20)))</f>
        <v>737</v>
      </c>
      <c r="AH20">
        <f>IF($A20="","",IF(Allocation!$N$1="VOL_EFF",$T20,IF(Allocation!$N$1="VOL_CLASS",$U20,$V20)))</f>
        <v>2773</v>
      </c>
      <c r="AI20">
        <f t="shared" si="12"/>
        <v>28922.424999999999</v>
      </c>
      <c r="AJ20">
        <f t="shared" si="13"/>
        <v>77624.562749999997</v>
      </c>
      <c r="AK20">
        <f t="shared" si="14"/>
        <v>24118.968152866244</v>
      </c>
      <c r="AL20">
        <f t="shared" si="15"/>
        <v>202318.32400000002</v>
      </c>
      <c r="AM20">
        <f t="shared" si="16"/>
        <v>59771.921240533731</v>
      </c>
      <c r="AN20">
        <f t="shared" si="17"/>
        <v>124858.8607772364</v>
      </c>
      <c r="AO20">
        <f>IF($A20="","",Allocation!CJ20)</f>
        <v>499926</v>
      </c>
      <c r="AP20">
        <f>IF($A20="","",IF(Allocation!$N$2="VOL_EFF",$Q20,IF(Allocation!$N$2="VOL_CLASS",$R20,$S20)))</f>
        <v>5593340</v>
      </c>
      <c r="AQ20">
        <f>IF($A20="","",IF(Allocation!$N$2="VOL_EFF",$T20,IF(Allocation!$N$2="VOL_CLASS",$U20,$V20)))</f>
        <v>20567210</v>
      </c>
      <c r="AR20">
        <f t="shared" si="18"/>
        <v>11584.938079363576</v>
      </c>
      <c r="AS20" t="str">
        <f>IF($A20="","",$A20&amp;"|"&amp;Allocation!BG20)</f>
        <v>2024|ACT</v>
      </c>
    </row>
    <row r="21" spans="1:45" x14ac:dyDescent="0.45">
      <c r="A21" t="str">
        <f>IF(Allocation!BI21="","",Allocation!BI21)</f>
        <v>2024</v>
      </c>
      <c r="B21" t="str">
        <f>IF(Allocation!BJ21="","",Allocation!BJ21)</f>
        <v>ISCOM_TLS</v>
      </c>
      <c r="C21" t="str">
        <f>IF(Allocation!BK21="","",Allocation!BK21)</f>
        <v>ISCOM</v>
      </c>
      <c r="D21" t="str">
        <f>IF(Allocation!BL21="","",Allocation!BL21)</f>
        <v>BAC_COM</v>
      </c>
      <c r="E21" t="str">
        <f>IF(Allocation!BM21="","",Allocation!BM21)</f>
        <v>B1</v>
      </c>
      <c r="F21" t="str">
        <f>IF(Allocation!BN21="","",Allocation!BN21)</f>
        <v>INIT</v>
      </c>
      <c r="G21">
        <f>IF(Allocation!BO21="","",Allocation!BO21)</f>
        <v>42</v>
      </c>
      <c r="H21">
        <f>IF(Allocation!BP21="","",Allocation!BP21)</f>
        <v>2</v>
      </c>
      <c r="I21">
        <f>IF(Allocation!BQ21="","",Allocation!BQ21)</f>
        <v>306180</v>
      </c>
      <c r="J21">
        <f>IF(Allocation!CC21="","",Allocation!CC21)</f>
        <v>42</v>
      </c>
      <c r="K21">
        <f t="shared" si="0"/>
        <v>1200</v>
      </c>
      <c r="L21">
        <f t="shared" si="1"/>
        <v>206</v>
      </c>
      <c r="M21">
        <f t="shared" si="2"/>
        <v>10</v>
      </c>
      <c r="N21">
        <f t="shared" si="3"/>
        <v>1451880</v>
      </c>
      <c r="O21">
        <f t="shared" si="4"/>
        <v>4800</v>
      </c>
      <c r="P21">
        <f t="shared" si="5"/>
        <v>84</v>
      </c>
      <c r="Q21">
        <f t="shared" si="6"/>
        <v>737</v>
      </c>
      <c r="R21">
        <f t="shared" si="7"/>
        <v>35</v>
      </c>
      <c r="S21">
        <f t="shared" si="8"/>
        <v>5593340</v>
      </c>
      <c r="T21">
        <f t="shared" si="9"/>
        <v>2773</v>
      </c>
      <c r="U21">
        <f t="shared" si="10"/>
        <v>135</v>
      </c>
      <c r="V21">
        <f t="shared" si="11"/>
        <v>20567210</v>
      </c>
      <c r="W21">
        <f>IF($A21="","",Allocation!CD21)</f>
        <v>110180</v>
      </c>
      <c r="X21">
        <f>IF($A21="","",Allocation!CE21)</f>
        <v>244893.8</v>
      </c>
      <c r="Y21">
        <f>IF($A21="","",Allocation!CF21)</f>
        <v>78443</v>
      </c>
      <c r="Z21">
        <f>IF($A21="","",Allocation!CG21)</f>
        <v>18251</v>
      </c>
      <c r="AA21">
        <f>IF($A21="","",Allocation!CH21)</f>
        <v>550631.56999999995</v>
      </c>
      <c r="AB21">
        <f>IF($A21="","",Allocation!CI21)</f>
        <v>2639292</v>
      </c>
      <c r="AC21">
        <f>IF($A21="","",IF(Allocation!$N$4="VOL_EFF",$G21,IF(Allocation!$N$4="VOL_CLASS",$H21,$I21)))</f>
        <v>2</v>
      </c>
      <c r="AD21">
        <f>IF($A21="","",IF(Allocation!$N$4="VOL_EFF",$L21,IF(Allocation!$N$4="VOL_CLASS",$M21,$N21)))</f>
        <v>10</v>
      </c>
      <c r="AE21">
        <f>IF($A21="","",IF(Allocation!$N$3="VOL_EFF",$L21,IF(Allocation!$N$3="VOL_CLASS",$M21,$N21)))</f>
        <v>206</v>
      </c>
      <c r="AF21">
        <f>IF($A21="","",IF(Allocation!$N$3="VOL_EFF",$Q21,IF(Allocation!$N$3="VOL_CLASS",$R21,$S21)))</f>
        <v>737</v>
      </c>
      <c r="AG21">
        <f>IF($A21="","",IF(Allocation!$N$1="VOL_EFF",$Q21,IF(Allocation!$N$1="VOL_CLASS",$R21,$S21)))</f>
        <v>737</v>
      </c>
      <c r="AH21">
        <f>IF($A21="","",IF(Allocation!$N$1="VOL_EFF",$T21,IF(Allocation!$N$1="VOL_CLASS",$U21,$V21)))</f>
        <v>2773</v>
      </c>
      <c r="AI21">
        <f t="shared" si="12"/>
        <v>27545</v>
      </c>
      <c r="AJ21">
        <f t="shared" si="13"/>
        <v>61223.45</v>
      </c>
      <c r="AK21">
        <f t="shared" si="14"/>
        <v>25118.73300970874</v>
      </c>
      <c r="AL21">
        <f t="shared" si="15"/>
        <v>110126.314</v>
      </c>
      <c r="AM21">
        <f t="shared" si="16"/>
        <v>39213.426036783269</v>
      </c>
      <c r="AN21">
        <f t="shared" si="17"/>
        <v>35352.767258129374</v>
      </c>
      <c r="AO21">
        <f>IF($A21="","",Allocation!CJ21)</f>
        <v>499926</v>
      </c>
      <c r="AP21">
        <f>IF($A21="","",IF(Allocation!$N$2="VOL_EFF",$Q21,IF(Allocation!$N$2="VOL_CLASS",$R21,$S21)))</f>
        <v>5593340</v>
      </c>
      <c r="AQ21">
        <f>IF($A21="","",IF(Allocation!$N$2="VOL_EFF",$T21,IF(Allocation!$N$2="VOL_CLASS",$U21,$V21)))</f>
        <v>20567210</v>
      </c>
      <c r="AR21">
        <f t="shared" si="18"/>
        <v>7600.3096953786508</v>
      </c>
      <c r="AS21" t="str">
        <f>IF($A21="","",$A21&amp;"|"&amp;Allocation!BG21)</f>
        <v>2024|ACT</v>
      </c>
    </row>
    <row r="22" spans="1:45" x14ac:dyDescent="0.45">
      <c r="A22" t="str">
        <f>IF(Allocation!BI22="","",Allocation!BI22)</f>
        <v>2024</v>
      </c>
      <c r="B22" t="str">
        <f>IF(Allocation!BJ22="","",Allocation!BJ22)</f>
        <v>ISCOM_TLS</v>
      </c>
      <c r="C22" t="str">
        <f>IF(Allocation!BK22="","",Allocation!BK22)</f>
        <v>ISCOM</v>
      </c>
      <c r="D22" t="str">
        <f>IF(Allocation!BL22="","",Allocation!BL22)</f>
        <v>BAC_COM</v>
      </c>
      <c r="E22" t="str">
        <f>IF(Allocation!BM22="","",Allocation!BM22)</f>
        <v>B2</v>
      </c>
      <c r="F22" t="str">
        <f>IF(Allocation!BN22="","",Allocation!BN22)</f>
        <v>ALT</v>
      </c>
      <c r="G22">
        <f>IF(Allocation!BO22="","",Allocation!BO22)</f>
        <v>41</v>
      </c>
      <c r="H22">
        <f>IF(Allocation!BP22="","",Allocation!BP22)</f>
        <v>2</v>
      </c>
      <c r="I22">
        <f>IF(Allocation!BQ22="","",Allocation!BQ22)</f>
        <v>275520</v>
      </c>
      <c r="J22">
        <f>IF(Allocation!CC22="","",Allocation!CC22)</f>
        <v>0</v>
      </c>
      <c r="K22">
        <f t="shared" si="0"/>
        <v>960</v>
      </c>
      <c r="L22">
        <f t="shared" si="1"/>
        <v>206</v>
      </c>
      <c r="M22">
        <f t="shared" si="2"/>
        <v>10</v>
      </c>
      <c r="N22">
        <f t="shared" si="3"/>
        <v>1451880</v>
      </c>
      <c r="O22">
        <f t="shared" si="4"/>
        <v>4800</v>
      </c>
      <c r="P22">
        <f t="shared" si="5"/>
        <v>84</v>
      </c>
      <c r="Q22">
        <f t="shared" si="6"/>
        <v>737</v>
      </c>
      <c r="R22">
        <f t="shared" si="7"/>
        <v>35</v>
      </c>
      <c r="S22">
        <f t="shared" si="8"/>
        <v>5593340</v>
      </c>
      <c r="T22">
        <f t="shared" si="9"/>
        <v>2773</v>
      </c>
      <c r="U22">
        <f t="shared" si="10"/>
        <v>135</v>
      </c>
      <c r="V22">
        <f t="shared" si="11"/>
        <v>20567210</v>
      </c>
      <c r="W22">
        <f>IF($A22="","",Allocation!CD22)</f>
        <v>110180</v>
      </c>
      <c r="X22">
        <f>IF($A22="","",Allocation!CE22)</f>
        <v>244893.8</v>
      </c>
      <c r="Y22">
        <f>IF($A22="","",Allocation!CF22)</f>
        <v>78443</v>
      </c>
      <c r="Z22">
        <f>IF($A22="","",Allocation!CG22)</f>
        <v>18251</v>
      </c>
      <c r="AA22">
        <f>IF($A22="","",Allocation!CH22)</f>
        <v>550631.56999999995</v>
      </c>
      <c r="AB22">
        <f>IF($A22="","",Allocation!CI22)</f>
        <v>2639292</v>
      </c>
      <c r="AC22">
        <f>IF($A22="","",IF(Allocation!$N$4="VOL_EFF",$G22,IF(Allocation!$N$4="VOL_CLASS",$H22,$I22)))</f>
        <v>2</v>
      </c>
      <c r="AD22">
        <f>IF($A22="","",IF(Allocation!$N$4="VOL_EFF",$L22,IF(Allocation!$N$4="VOL_CLASS",$M22,$N22)))</f>
        <v>10</v>
      </c>
      <c r="AE22">
        <f>IF($A22="","",IF(Allocation!$N$3="VOL_EFF",$L22,IF(Allocation!$N$3="VOL_CLASS",$M22,$N22)))</f>
        <v>206</v>
      </c>
      <c r="AF22">
        <f>IF($A22="","",IF(Allocation!$N$3="VOL_EFF",$Q22,IF(Allocation!$N$3="VOL_CLASS",$R22,$S22)))</f>
        <v>737</v>
      </c>
      <c r="AG22">
        <f>IF($A22="","",IF(Allocation!$N$1="VOL_EFF",$Q22,IF(Allocation!$N$1="VOL_CLASS",$R22,$S22)))</f>
        <v>737</v>
      </c>
      <c r="AH22">
        <f>IF($A22="","",IF(Allocation!$N$1="VOL_EFF",$T22,IF(Allocation!$N$1="VOL_CLASS",$U22,$V22)))</f>
        <v>2773</v>
      </c>
      <c r="AI22">
        <f t="shared" si="12"/>
        <v>22036</v>
      </c>
      <c r="AJ22">
        <f t="shared" si="13"/>
        <v>48978.76</v>
      </c>
      <c r="AK22">
        <f t="shared" si="14"/>
        <v>15612.441747572815</v>
      </c>
      <c r="AL22">
        <f t="shared" si="15"/>
        <v>110126.314</v>
      </c>
      <c r="AM22">
        <f t="shared" si="16"/>
        <v>39213.426036783269</v>
      </c>
      <c r="AN22">
        <f t="shared" si="17"/>
        <v>31952.748520265275</v>
      </c>
      <c r="AO22">
        <f>IF($A22="","",Allocation!CJ22)</f>
        <v>499926</v>
      </c>
      <c r="AP22">
        <f>IF($A22="","",IF(Allocation!$N$2="VOL_EFF",$Q22,IF(Allocation!$N$2="VOL_CLASS",$R22,$S22)))</f>
        <v>5593340</v>
      </c>
      <c r="AQ22">
        <f>IF($A22="","",IF(Allocation!$N$2="VOL_EFF",$T22,IF(Allocation!$N$2="VOL_CLASS",$U22,$V22)))</f>
        <v>20567210</v>
      </c>
      <c r="AR22">
        <f t="shared" si="18"/>
        <v>7600.3096953786508</v>
      </c>
      <c r="AS22" t="str">
        <f>IF($A22="","",$A22&amp;"|"&amp;Allocation!BG22)</f>
        <v>2024|ACT</v>
      </c>
    </row>
    <row r="23" spans="1:45" x14ac:dyDescent="0.45">
      <c r="A23" t="str">
        <f>IF(Allocation!BI23="","",Allocation!BI23)</f>
        <v>2024</v>
      </c>
      <c r="B23" t="str">
        <f>IF(Allocation!BJ23="","",Allocation!BJ23)</f>
        <v>ISCOM_TLS</v>
      </c>
      <c r="C23" t="str">
        <f>IF(Allocation!BK23="","",Allocation!BK23)</f>
        <v>ISCOM</v>
      </c>
      <c r="D23" t="str">
        <f>IF(Allocation!BL23="","",Allocation!BL23)</f>
        <v>BAC_COM</v>
      </c>
      <c r="E23" t="str">
        <f>IF(Allocation!BM23="","",Allocation!BM23)</f>
        <v>B3</v>
      </c>
      <c r="F23" t="str">
        <f>IF(Allocation!BN23="","",Allocation!BN23)</f>
        <v>ALT</v>
      </c>
      <c r="G23">
        <f>IF(Allocation!BO23="","",Allocation!BO23)</f>
        <v>40</v>
      </c>
      <c r="H23">
        <f>IF(Allocation!BP23="","",Allocation!BP23)</f>
        <v>2</v>
      </c>
      <c r="I23">
        <f>IF(Allocation!BQ23="","",Allocation!BQ23)</f>
        <v>268800</v>
      </c>
      <c r="J23">
        <f>IF(Allocation!CC23="","",Allocation!CC23)</f>
        <v>0</v>
      </c>
      <c r="K23">
        <f t="shared" si="0"/>
        <v>960</v>
      </c>
      <c r="L23">
        <f t="shared" si="1"/>
        <v>206</v>
      </c>
      <c r="M23">
        <f t="shared" si="2"/>
        <v>10</v>
      </c>
      <c r="N23">
        <f t="shared" si="3"/>
        <v>1451880</v>
      </c>
      <c r="O23">
        <f t="shared" si="4"/>
        <v>4800</v>
      </c>
      <c r="P23">
        <f t="shared" si="5"/>
        <v>84</v>
      </c>
      <c r="Q23">
        <f t="shared" si="6"/>
        <v>737</v>
      </c>
      <c r="R23">
        <f t="shared" si="7"/>
        <v>35</v>
      </c>
      <c r="S23">
        <f t="shared" si="8"/>
        <v>5593340</v>
      </c>
      <c r="T23">
        <f t="shared" si="9"/>
        <v>2773</v>
      </c>
      <c r="U23">
        <f t="shared" si="10"/>
        <v>135</v>
      </c>
      <c r="V23">
        <f t="shared" si="11"/>
        <v>20567210</v>
      </c>
      <c r="W23">
        <f>IF($A23="","",Allocation!CD23)</f>
        <v>110180</v>
      </c>
      <c r="X23">
        <f>IF($A23="","",Allocation!CE23)</f>
        <v>244893.8</v>
      </c>
      <c r="Y23">
        <f>IF($A23="","",Allocation!CF23)</f>
        <v>78443</v>
      </c>
      <c r="Z23">
        <f>IF($A23="","",Allocation!CG23)</f>
        <v>18251</v>
      </c>
      <c r="AA23">
        <f>IF($A23="","",Allocation!CH23)</f>
        <v>550631.56999999995</v>
      </c>
      <c r="AB23">
        <f>IF($A23="","",Allocation!CI23)</f>
        <v>2639292</v>
      </c>
      <c r="AC23">
        <f>IF($A23="","",IF(Allocation!$N$4="VOL_EFF",$G23,IF(Allocation!$N$4="VOL_CLASS",$H23,$I23)))</f>
        <v>2</v>
      </c>
      <c r="AD23">
        <f>IF($A23="","",IF(Allocation!$N$4="VOL_EFF",$L23,IF(Allocation!$N$4="VOL_CLASS",$M23,$N23)))</f>
        <v>10</v>
      </c>
      <c r="AE23">
        <f>IF($A23="","",IF(Allocation!$N$3="VOL_EFF",$L23,IF(Allocation!$N$3="VOL_CLASS",$M23,$N23)))</f>
        <v>206</v>
      </c>
      <c r="AF23">
        <f>IF($A23="","",IF(Allocation!$N$3="VOL_EFF",$Q23,IF(Allocation!$N$3="VOL_CLASS",$R23,$S23)))</f>
        <v>737</v>
      </c>
      <c r="AG23">
        <f>IF($A23="","",IF(Allocation!$N$1="VOL_EFF",$Q23,IF(Allocation!$N$1="VOL_CLASS",$R23,$S23)))</f>
        <v>737</v>
      </c>
      <c r="AH23">
        <f>IF($A23="","",IF(Allocation!$N$1="VOL_EFF",$T23,IF(Allocation!$N$1="VOL_CLASS",$U23,$V23)))</f>
        <v>2773</v>
      </c>
      <c r="AI23">
        <f t="shared" si="12"/>
        <v>22036</v>
      </c>
      <c r="AJ23">
        <f t="shared" si="13"/>
        <v>48978.76</v>
      </c>
      <c r="AK23">
        <f t="shared" si="14"/>
        <v>15231.650485436892</v>
      </c>
      <c r="AL23">
        <f t="shared" si="15"/>
        <v>110126.314</v>
      </c>
      <c r="AM23">
        <f t="shared" si="16"/>
        <v>39213.426036783269</v>
      </c>
      <c r="AN23">
        <f t="shared" si="17"/>
        <v>25613.539782401174</v>
      </c>
      <c r="AO23">
        <f>IF($A23="","",Allocation!CJ23)</f>
        <v>499926</v>
      </c>
      <c r="AP23">
        <f>IF($A23="","",IF(Allocation!$N$2="VOL_EFF",$Q23,IF(Allocation!$N$2="VOL_CLASS",$R23,$S23)))</f>
        <v>5593340</v>
      </c>
      <c r="AQ23">
        <f>IF($A23="","",IF(Allocation!$N$2="VOL_EFF",$T23,IF(Allocation!$N$2="VOL_CLASS",$U23,$V23)))</f>
        <v>20567210</v>
      </c>
      <c r="AR23">
        <f t="shared" si="18"/>
        <v>7600.3096953786508</v>
      </c>
      <c r="AS23" t="str">
        <f>IF($A23="","",$A23&amp;"|"&amp;Allocation!BG23)</f>
        <v>2024|ACT</v>
      </c>
    </row>
    <row r="24" spans="1:45" x14ac:dyDescent="0.45">
      <c r="A24" t="str">
        <f>IF(Allocation!BI24="","",Allocation!BI24)</f>
        <v>2024</v>
      </c>
      <c r="B24" t="str">
        <f>IF(Allocation!BJ24="","",Allocation!BJ24)</f>
        <v>ISCOM_TLS</v>
      </c>
      <c r="C24" t="str">
        <f>IF(Allocation!BK24="","",Allocation!BK24)</f>
        <v>ISCOM</v>
      </c>
      <c r="D24" t="str">
        <f>IF(Allocation!BL24="","",Allocation!BL24)</f>
        <v>MAS_COM</v>
      </c>
      <c r="E24" t="str">
        <f>IF(Allocation!BM24="","",Allocation!BM24)</f>
        <v>M1</v>
      </c>
      <c r="F24" t="str">
        <f>IF(Allocation!BN24="","",Allocation!BN24)</f>
        <v>ALT</v>
      </c>
      <c r="G24">
        <f>IF(Allocation!BO24="","",Allocation!BO24)</f>
        <v>42</v>
      </c>
      <c r="H24">
        <f>IF(Allocation!BP24="","",Allocation!BP24)</f>
        <v>2</v>
      </c>
      <c r="I24">
        <f>IF(Allocation!BQ24="","",Allocation!BQ24)</f>
        <v>306180</v>
      </c>
      <c r="J24">
        <f>IF(Allocation!CC24="","",Allocation!CC24)</f>
        <v>42</v>
      </c>
      <c r="K24">
        <f t="shared" si="0"/>
        <v>840</v>
      </c>
      <c r="L24">
        <f t="shared" si="1"/>
        <v>206</v>
      </c>
      <c r="M24">
        <f t="shared" si="2"/>
        <v>10</v>
      </c>
      <c r="N24">
        <f t="shared" si="3"/>
        <v>1451880</v>
      </c>
      <c r="O24">
        <f t="shared" si="4"/>
        <v>4800</v>
      </c>
      <c r="P24">
        <f t="shared" si="5"/>
        <v>84</v>
      </c>
      <c r="Q24">
        <f t="shared" si="6"/>
        <v>737</v>
      </c>
      <c r="R24">
        <f t="shared" si="7"/>
        <v>35</v>
      </c>
      <c r="S24">
        <f t="shared" si="8"/>
        <v>5593340</v>
      </c>
      <c r="T24">
        <f t="shared" si="9"/>
        <v>2773</v>
      </c>
      <c r="U24">
        <f t="shared" si="10"/>
        <v>135</v>
      </c>
      <c r="V24">
        <f t="shared" si="11"/>
        <v>20567210</v>
      </c>
      <c r="W24">
        <f>IF($A24="","",Allocation!CD24)</f>
        <v>110180</v>
      </c>
      <c r="X24">
        <f>IF($A24="","",Allocation!CE24)</f>
        <v>244893.8</v>
      </c>
      <c r="Y24">
        <f>IF($A24="","",Allocation!CF24)</f>
        <v>78443</v>
      </c>
      <c r="Z24">
        <f>IF($A24="","",Allocation!CG24)</f>
        <v>18251</v>
      </c>
      <c r="AA24">
        <f>IF($A24="","",Allocation!CH24)</f>
        <v>550631.56999999995</v>
      </c>
      <c r="AB24">
        <f>IF($A24="","",Allocation!CI24)</f>
        <v>2639292</v>
      </c>
      <c r="AC24">
        <f>IF($A24="","",IF(Allocation!$N$4="VOL_EFF",$G24,IF(Allocation!$N$4="VOL_CLASS",$H24,$I24)))</f>
        <v>2</v>
      </c>
      <c r="AD24">
        <f>IF($A24="","",IF(Allocation!$N$4="VOL_EFF",$L24,IF(Allocation!$N$4="VOL_CLASS",$M24,$N24)))</f>
        <v>10</v>
      </c>
      <c r="AE24">
        <f>IF($A24="","",IF(Allocation!$N$3="VOL_EFF",$L24,IF(Allocation!$N$3="VOL_CLASS",$M24,$N24)))</f>
        <v>206</v>
      </c>
      <c r="AF24">
        <f>IF($A24="","",IF(Allocation!$N$3="VOL_EFF",$Q24,IF(Allocation!$N$3="VOL_CLASS",$R24,$S24)))</f>
        <v>737</v>
      </c>
      <c r="AG24">
        <f>IF($A24="","",IF(Allocation!$N$1="VOL_EFF",$Q24,IF(Allocation!$N$1="VOL_CLASS",$R24,$S24)))</f>
        <v>737</v>
      </c>
      <c r="AH24">
        <f>IF($A24="","",IF(Allocation!$N$1="VOL_EFF",$T24,IF(Allocation!$N$1="VOL_CLASS",$U24,$V24)))</f>
        <v>2773</v>
      </c>
      <c r="AI24">
        <f t="shared" si="12"/>
        <v>19281.5</v>
      </c>
      <c r="AJ24">
        <f t="shared" si="13"/>
        <v>42856.414999999994</v>
      </c>
      <c r="AK24">
        <f t="shared" si="14"/>
        <v>25118.73300970874</v>
      </c>
      <c r="AL24">
        <f t="shared" si="15"/>
        <v>110126.314</v>
      </c>
      <c r="AM24">
        <f t="shared" si="16"/>
        <v>39213.426036783269</v>
      </c>
      <c r="AN24">
        <f t="shared" si="17"/>
        <v>61983.302258129348</v>
      </c>
      <c r="AO24">
        <f>IF($A24="","",Allocation!CJ24)</f>
        <v>499926</v>
      </c>
      <c r="AP24">
        <f>IF($A24="","",IF(Allocation!$N$2="VOL_EFF",$Q24,IF(Allocation!$N$2="VOL_CLASS",$R24,$S24)))</f>
        <v>5593340</v>
      </c>
      <c r="AQ24">
        <f>IF($A24="","",IF(Allocation!$N$2="VOL_EFF",$T24,IF(Allocation!$N$2="VOL_CLASS",$U24,$V24)))</f>
        <v>20567210</v>
      </c>
      <c r="AR24">
        <f t="shared" si="18"/>
        <v>7600.3096953786508</v>
      </c>
      <c r="AS24" t="str">
        <f>IF($A24="","",$A24&amp;"|"&amp;Allocation!BG24)</f>
        <v>2024|ACT</v>
      </c>
    </row>
    <row r="25" spans="1:45" x14ac:dyDescent="0.45">
      <c r="A25" t="str">
        <f>IF(Allocation!BI25="","",Allocation!BI25)</f>
        <v>2024</v>
      </c>
      <c r="B25" t="str">
        <f>IF(Allocation!BJ25="","",Allocation!BJ25)</f>
        <v>ISCOM_TLS</v>
      </c>
      <c r="C25" t="str">
        <f>IF(Allocation!BK25="","",Allocation!BK25)</f>
        <v>ISCOM</v>
      </c>
      <c r="D25" t="str">
        <f>IF(Allocation!BL25="","",Allocation!BL25)</f>
        <v>MAS_COM</v>
      </c>
      <c r="E25" t="str">
        <f>IF(Allocation!BM25="","",Allocation!BM25)</f>
        <v>M2</v>
      </c>
      <c r="F25" t="str">
        <f>IF(Allocation!BN25="","",Allocation!BN25)</f>
        <v>ALT</v>
      </c>
      <c r="G25">
        <f>IF(Allocation!BO25="","",Allocation!BO25)</f>
        <v>41</v>
      </c>
      <c r="H25">
        <f>IF(Allocation!BP25="","",Allocation!BP25)</f>
        <v>2</v>
      </c>
      <c r="I25">
        <f>IF(Allocation!BQ25="","",Allocation!BQ25)</f>
        <v>295200</v>
      </c>
      <c r="J25">
        <f>IF(Allocation!CC25="","",Allocation!CC25)</f>
        <v>0</v>
      </c>
      <c r="K25">
        <f t="shared" si="0"/>
        <v>840</v>
      </c>
      <c r="L25">
        <f t="shared" si="1"/>
        <v>206</v>
      </c>
      <c r="M25">
        <f t="shared" si="2"/>
        <v>10</v>
      </c>
      <c r="N25">
        <f t="shared" si="3"/>
        <v>1451880</v>
      </c>
      <c r="O25">
        <f t="shared" si="4"/>
        <v>4800</v>
      </c>
      <c r="P25">
        <f t="shared" si="5"/>
        <v>84</v>
      </c>
      <c r="Q25">
        <f t="shared" si="6"/>
        <v>737</v>
      </c>
      <c r="R25">
        <f t="shared" si="7"/>
        <v>35</v>
      </c>
      <c r="S25">
        <f t="shared" si="8"/>
        <v>5593340</v>
      </c>
      <c r="T25">
        <f t="shared" si="9"/>
        <v>2773</v>
      </c>
      <c r="U25">
        <f t="shared" si="10"/>
        <v>135</v>
      </c>
      <c r="V25">
        <f t="shared" si="11"/>
        <v>20567210</v>
      </c>
      <c r="W25">
        <f>IF($A25="","",Allocation!CD25)</f>
        <v>110180</v>
      </c>
      <c r="X25">
        <f>IF($A25="","",Allocation!CE25)</f>
        <v>244893.8</v>
      </c>
      <c r="Y25">
        <f>IF($A25="","",Allocation!CF25)</f>
        <v>78443</v>
      </c>
      <c r="Z25">
        <f>IF($A25="","",Allocation!CG25)</f>
        <v>18251</v>
      </c>
      <c r="AA25">
        <f>IF($A25="","",Allocation!CH25)</f>
        <v>550631.56999999995</v>
      </c>
      <c r="AB25">
        <f>IF($A25="","",Allocation!CI25)</f>
        <v>2639292</v>
      </c>
      <c r="AC25">
        <f>IF($A25="","",IF(Allocation!$N$4="VOL_EFF",$G25,IF(Allocation!$N$4="VOL_CLASS",$H25,$I25)))</f>
        <v>2</v>
      </c>
      <c r="AD25">
        <f>IF($A25="","",IF(Allocation!$N$4="VOL_EFF",$L25,IF(Allocation!$N$4="VOL_CLASS",$M25,$N25)))</f>
        <v>10</v>
      </c>
      <c r="AE25">
        <f>IF($A25="","",IF(Allocation!$N$3="VOL_EFF",$L25,IF(Allocation!$N$3="VOL_CLASS",$M25,$N25)))</f>
        <v>206</v>
      </c>
      <c r="AF25">
        <f>IF($A25="","",IF(Allocation!$N$3="VOL_EFF",$Q25,IF(Allocation!$N$3="VOL_CLASS",$R25,$S25)))</f>
        <v>737</v>
      </c>
      <c r="AG25">
        <f>IF($A25="","",IF(Allocation!$N$1="VOL_EFF",$Q25,IF(Allocation!$N$1="VOL_CLASS",$R25,$S25)))</f>
        <v>737</v>
      </c>
      <c r="AH25">
        <f>IF($A25="","",IF(Allocation!$N$1="VOL_EFF",$T25,IF(Allocation!$N$1="VOL_CLASS",$U25,$V25)))</f>
        <v>2773</v>
      </c>
      <c r="AI25">
        <f t="shared" si="12"/>
        <v>19281.5</v>
      </c>
      <c r="AJ25">
        <f t="shared" si="13"/>
        <v>42856.414999999994</v>
      </c>
      <c r="AK25">
        <f t="shared" si="14"/>
        <v>15612.441747572815</v>
      </c>
      <c r="AL25">
        <f t="shared" si="15"/>
        <v>110126.314</v>
      </c>
      <c r="AM25">
        <f t="shared" si="16"/>
        <v>39213.426036783269</v>
      </c>
      <c r="AN25">
        <f t="shared" si="17"/>
        <v>60509.593520265305</v>
      </c>
      <c r="AO25">
        <f>IF($A25="","",Allocation!CJ25)</f>
        <v>499926</v>
      </c>
      <c r="AP25">
        <f>IF($A25="","",IF(Allocation!$N$2="VOL_EFF",$Q25,IF(Allocation!$N$2="VOL_CLASS",$R25,$S25)))</f>
        <v>5593340</v>
      </c>
      <c r="AQ25">
        <f>IF($A25="","",IF(Allocation!$N$2="VOL_EFF",$T25,IF(Allocation!$N$2="VOL_CLASS",$U25,$V25)))</f>
        <v>20567210</v>
      </c>
      <c r="AR25">
        <f t="shared" si="18"/>
        <v>7600.3096953786508</v>
      </c>
      <c r="AS25" t="str">
        <f>IF($A25="","",$A25&amp;"|"&amp;Allocation!BG25)</f>
        <v>2024|ACT</v>
      </c>
    </row>
    <row r="26" spans="1:45" x14ac:dyDescent="0.45">
      <c r="A26" t="str">
        <f>IF(Allocation!BI26="","",Allocation!BI26)</f>
        <v>2024</v>
      </c>
      <c r="B26" t="str">
        <f>IF(Allocation!BJ26="","",Allocation!BJ26)</f>
        <v>MBWAY_BOR</v>
      </c>
      <c r="C26" t="str">
        <f>IF(Allocation!BK26="","",Allocation!BK26)</f>
        <v>MBWAY</v>
      </c>
      <c r="D26" t="str">
        <f>IF(Allocation!BL26="","",Allocation!BL26)</f>
        <v>BAC_MGT</v>
      </c>
      <c r="E26" t="str">
        <f>IF(Allocation!BM26="","",Allocation!BM26)</f>
        <v>B1</v>
      </c>
      <c r="F26" t="str">
        <f>IF(Allocation!BN26="","",Allocation!BN26)</f>
        <v>INIT</v>
      </c>
      <c r="G26">
        <f>IF(Allocation!BO26="","",Allocation!BO26)</f>
        <v>45</v>
      </c>
      <c r="H26">
        <f>IF(Allocation!BP26="","",Allocation!BP26)</f>
        <v>2</v>
      </c>
      <c r="I26">
        <f>IF(Allocation!BQ26="","",Allocation!BQ26)</f>
        <v>331425</v>
      </c>
      <c r="J26">
        <f>IF(Allocation!CC26="","",Allocation!CC26)</f>
        <v>45</v>
      </c>
      <c r="K26">
        <f t="shared" si="0"/>
        <v>1200</v>
      </c>
      <c r="L26">
        <f t="shared" si="1"/>
        <v>221</v>
      </c>
      <c r="M26">
        <f t="shared" si="2"/>
        <v>10</v>
      </c>
      <c r="N26">
        <f t="shared" si="3"/>
        <v>1573680</v>
      </c>
      <c r="O26">
        <f t="shared" si="4"/>
        <v>4800</v>
      </c>
      <c r="P26">
        <f t="shared" si="5"/>
        <v>90</v>
      </c>
      <c r="Q26">
        <f t="shared" si="6"/>
        <v>1112</v>
      </c>
      <c r="R26">
        <f t="shared" si="7"/>
        <v>50</v>
      </c>
      <c r="S26">
        <f t="shared" si="8"/>
        <v>8517270</v>
      </c>
      <c r="T26">
        <f t="shared" si="9"/>
        <v>2773</v>
      </c>
      <c r="U26">
        <f t="shared" si="10"/>
        <v>135</v>
      </c>
      <c r="V26">
        <f t="shared" si="11"/>
        <v>20567210</v>
      </c>
      <c r="W26">
        <f>IF($A26="","",Allocation!CD26)</f>
        <v>110180</v>
      </c>
      <c r="X26">
        <f>IF($A26="","",Allocation!CE26)</f>
        <v>256743.58</v>
      </c>
      <c r="Y26">
        <f>IF($A26="","",Allocation!CF26)</f>
        <v>84556</v>
      </c>
      <c r="Z26">
        <f>IF($A26="","",Allocation!CG26)</f>
        <v>20597</v>
      </c>
      <c r="AA26">
        <f>IF($A26="","",Allocation!CH26)</f>
        <v>606963.18000000005</v>
      </c>
      <c r="AB26">
        <f>IF($A26="","",Allocation!CI26)</f>
        <v>2639292</v>
      </c>
      <c r="AC26">
        <f>IF($A26="","",IF(Allocation!$N$4="VOL_EFF",$G26,IF(Allocation!$N$4="VOL_CLASS",$H26,$I26)))</f>
        <v>2</v>
      </c>
      <c r="AD26">
        <f>IF($A26="","",IF(Allocation!$N$4="VOL_EFF",$L26,IF(Allocation!$N$4="VOL_CLASS",$M26,$N26)))</f>
        <v>10</v>
      </c>
      <c r="AE26">
        <f>IF($A26="","",IF(Allocation!$N$3="VOL_EFF",$L26,IF(Allocation!$N$3="VOL_CLASS",$M26,$N26)))</f>
        <v>221</v>
      </c>
      <c r="AF26">
        <f>IF($A26="","",IF(Allocation!$N$3="VOL_EFF",$Q26,IF(Allocation!$N$3="VOL_CLASS",$R26,$S26)))</f>
        <v>1112</v>
      </c>
      <c r="AG26">
        <f>IF($A26="","",IF(Allocation!$N$1="VOL_EFF",$Q26,IF(Allocation!$N$1="VOL_CLASS",$R26,$S26)))</f>
        <v>1112</v>
      </c>
      <c r="AH26">
        <f>IF($A26="","",IF(Allocation!$N$1="VOL_EFF",$T26,IF(Allocation!$N$1="VOL_CLASS",$U26,$V26)))</f>
        <v>2773</v>
      </c>
      <c r="AI26">
        <f t="shared" si="12"/>
        <v>27545</v>
      </c>
      <c r="AJ26">
        <f t="shared" si="13"/>
        <v>64185.894999999997</v>
      </c>
      <c r="AK26">
        <f t="shared" si="14"/>
        <v>27515.785067873305</v>
      </c>
      <c r="AL26">
        <f t="shared" si="15"/>
        <v>121392.63600000001</v>
      </c>
      <c r="AM26">
        <f t="shared" si="16"/>
        <v>42068.772592859721</v>
      </c>
      <c r="AN26">
        <f t="shared" si="17"/>
        <v>40487.889054843283</v>
      </c>
      <c r="AO26">
        <f>IF($A26="","",Allocation!CJ26)</f>
        <v>499926</v>
      </c>
      <c r="AP26">
        <f>IF($A26="","",IF(Allocation!$N$2="VOL_EFF",$Q26,IF(Allocation!$N$2="VOL_CLASS",$R26,$S26)))</f>
        <v>8517270</v>
      </c>
      <c r="AQ26">
        <f>IF($A26="","",IF(Allocation!$N$2="VOL_EFF",$T26,IF(Allocation!$N$2="VOL_CLASS",$U26,$V26)))</f>
        <v>20567210</v>
      </c>
      <c r="AR26">
        <f t="shared" si="18"/>
        <v>8229.0222844236469</v>
      </c>
      <c r="AS26" t="str">
        <f>IF($A26="","",$A26&amp;"|"&amp;Allocation!BG26)</f>
        <v>2024|ACT</v>
      </c>
    </row>
    <row r="27" spans="1:45" x14ac:dyDescent="0.45">
      <c r="A27" t="str">
        <f>IF(Allocation!BI27="","",Allocation!BI27)</f>
        <v>2024</v>
      </c>
      <c r="B27" t="str">
        <f>IF(Allocation!BJ27="","",Allocation!BJ27)</f>
        <v>MBWAY_BOR</v>
      </c>
      <c r="C27" t="str">
        <f>IF(Allocation!BK27="","",Allocation!BK27)</f>
        <v>MBWAY</v>
      </c>
      <c r="D27" t="str">
        <f>IF(Allocation!BL27="","",Allocation!BL27)</f>
        <v>BAC_MGT</v>
      </c>
      <c r="E27" t="str">
        <f>IF(Allocation!BM27="","",Allocation!BM27)</f>
        <v>B2</v>
      </c>
      <c r="F27" t="str">
        <f>IF(Allocation!BN27="","",Allocation!BN27)</f>
        <v>ALT</v>
      </c>
      <c r="G27">
        <f>IF(Allocation!BO27="","",Allocation!BO27)</f>
        <v>44</v>
      </c>
      <c r="H27">
        <f>IF(Allocation!BP27="","",Allocation!BP27)</f>
        <v>2</v>
      </c>
      <c r="I27">
        <f>IF(Allocation!BQ27="","",Allocation!BQ27)</f>
        <v>298760</v>
      </c>
      <c r="J27">
        <f>IF(Allocation!CC27="","",Allocation!CC27)</f>
        <v>0</v>
      </c>
      <c r="K27">
        <f t="shared" si="0"/>
        <v>960</v>
      </c>
      <c r="L27">
        <f t="shared" si="1"/>
        <v>221</v>
      </c>
      <c r="M27">
        <f t="shared" si="2"/>
        <v>10</v>
      </c>
      <c r="N27">
        <f t="shared" si="3"/>
        <v>1573680</v>
      </c>
      <c r="O27">
        <f t="shared" si="4"/>
        <v>4800</v>
      </c>
      <c r="P27">
        <f t="shared" si="5"/>
        <v>90</v>
      </c>
      <c r="Q27">
        <f t="shared" si="6"/>
        <v>1112</v>
      </c>
      <c r="R27">
        <f t="shared" si="7"/>
        <v>50</v>
      </c>
      <c r="S27">
        <f t="shared" si="8"/>
        <v>8517270</v>
      </c>
      <c r="T27">
        <f t="shared" si="9"/>
        <v>2773</v>
      </c>
      <c r="U27">
        <f t="shared" si="10"/>
        <v>135</v>
      </c>
      <c r="V27">
        <f t="shared" si="11"/>
        <v>20567210</v>
      </c>
      <c r="W27">
        <f>IF($A27="","",Allocation!CD27)</f>
        <v>110180</v>
      </c>
      <c r="X27">
        <f>IF($A27="","",Allocation!CE27)</f>
        <v>256743.58</v>
      </c>
      <c r="Y27">
        <f>IF($A27="","",Allocation!CF27)</f>
        <v>84556</v>
      </c>
      <c r="Z27">
        <f>IF($A27="","",Allocation!CG27)</f>
        <v>20597</v>
      </c>
      <c r="AA27">
        <f>IF($A27="","",Allocation!CH27)</f>
        <v>606963.18000000005</v>
      </c>
      <c r="AB27">
        <f>IF($A27="","",Allocation!CI27)</f>
        <v>2639292</v>
      </c>
      <c r="AC27">
        <f>IF($A27="","",IF(Allocation!$N$4="VOL_EFF",$G27,IF(Allocation!$N$4="VOL_CLASS",$H27,$I27)))</f>
        <v>2</v>
      </c>
      <c r="AD27">
        <f>IF($A27="","",IF(Allocation!$N$4="VOL_EFF",$L27,IF(Allocation!$N$4="VOL_CLASS",$M27,$N27)))</f>
        <v>10</v>
      </c>
      <c r="AE27">
        <f>IF($A27="","",IF(Allocation!$N$3="VOL_EFF",$L27,IF(Allocation!$N$3="VOL_CLASS",$M27,$N27)))</f>
        <v>221</v>
      </c>
      <c r="AF27">
        <f>IF($A27="","",IF(Allocation!$N$3="VOL_EFF",$Q27,IF(Allocation!$N$3="VOL_CLASS",$R27,$S27)))</f>
        <v>1112</v>
      </c>
      <c r="AG27">
        <f>IF($A27="","",IF(Allocation!$N$1="VOL_EFF",$Q27,IF(Allocation!$N$1="VOL_CLASS",$R27,$S27)))</f>
        <v>1112</v>
      </c>
      <c r="AH27">
        <f>IF($A27="","",IF(Allocation!$N$1="VOL_EFF",$T27,IF(Allocation!$N$1="VOL_CLASS",$U27,$V27)))</f>
        <v>2773</v>
      </c>
      <c r="AI27">
        <f t="shared" si="12"/>
        <v>22036</v>
      </c>
      <c r="AJ27">
        <f t="shared" si="13"/>
        <v>51348.716</v>
      </c>
      <c r="AK27">
        <f t="shared" si="14"/>
        <v>16834.678733031673</v>
      </c>
      <c r="AL27">
        <f t="shared" si="15"/>
        <v>121392.63600000001</v>
      </c>
      <c r="AM27">
        <f t="shared" si="16"/>
        <v>42068.772592859721</v>
      </c>
      <c r="AN27">
        <f t="shared" si="17"/>
        <v>36850.174389684951</v>
      </c>
      <c r="AO27">
        <f>IF($A27="","",Allocation!CJ27)</f>
        <v>499926</v>
      </c>
      <c r="AP27">
        <f>IF($A27="","",IF(Allocation!$N$2="VOL_EFF",$Q27,IF(Allocation!$N$2="VOL_CLASS",$R27,$S27)))</f>
        <v>8517270</v>
      </c>
      <c r="AQ27">
        <f>IF($A27="","",IF(Allocation!$N$2="VOL_EFF",$T27,IF(Allocation!$N$2="VOL_CLASS",$U27,$V27)))</f>
        <v>20567210</v>
      </c>
      <c r="AR27">
        <f t="shared" si="18"/>
        <v>8229.0222844236469</v>
      </c>
      <c r="AS27" t="str">
        <f>IF($A27="","",$A27&amp;"|"&amp;Allocation!BG27)</f>
        <v>2024|ACT</v>
      </c>
    </row>
    <row r="28" spans="1:45" x14ac:dyDescent="0.45">
      <c r="A28" t="str">
        <f>IF(Allocation!BI28="","",Allocation!BI28)</f>
        <v>2024</v>
      </c>
      <c r="B28" t="str">
        <f>IF(Allocation!BJ28="","",Allocation!BJ28)</f>
        <v>MBWAY_BOR</v>
      </c>
      <c r="C28" t="str">
        <f>IF(Allocation!BK28="","",Allocation!BK28)</f>
        <v>MBWAY</v>
      </c>
      <c r="D28" t="str">
        <f>IF(Allocation!BL28="","",Allocation!BL28)</f>
        <v>BAC_MGT</v>
      </c>
      <c r="E28" t="str">
        <f>IF(Allocation!BM28="","",Allocation!BM28)</f>
        <v>B3</v>
      </c>
      <c r="F28" t="str">
        <f>IF(Allocation!BN28="","",Allocation!BN28)</f>
        <v>ALT</v>
      </c>
      <c r="G28">
        <f>IF(Allocation!BO28="","",Allocation!BO28)</f>
        <v>43</v>
      </c>
      <c r="H28">
        <f>IF(Allocation!BP28="","",Allocation!BP28)</f>
        <v>2</v>
      </c>
      <c r="I28">
        <f>IF(Allocation!BQ28="","",Allocation!BQ28)</f>
        <v>291970</v>
      </c>
      <c r="J28">
        <f>IF(Allocation!CC28="","",Allocation!CC28)</f>
        <v>0</v>
      </c>
      <c r="K28">
        <f t="shared" si="0"/>
        <v>960</v>
      </c>
      <c r="L28">
        <f t="shared" si="1"/>
        <v>221</v>
      </c>
      <c r="M28">
        <f t="shared" si="2"/>
        <v>10</v>
      </c>
      <c r="N28">
        <f t="shared" si="3"/>
        <v>1573680</v>
      </c>
      <c r="O28">
        <f t="shared" si="4"/>
        <v>4800</v>
      </c>
      <c r="P28">
        <f t="shared" si="5"/>
        <v>90</v>
      </c>
      <c r="Q28">
        <f t="shared" si="6"/>
        <v>1112</v>
      </c>
      <c r="R28">
        <f t="shared" si="7"/>
        <v>50</v>
      </c>
      <c r="S28">
        <f t="shared" si="8"/>
        <v>8517270</v>
      </c>
      <c r="T28">
        <f t="shared" si="9"/>
        <v>2773</v>
      </c>
      <c r="U28">
        <f t="shared" si="10"/>
        <v>135</v>
      </c>
      <c r="V28">
        <f t="shared" si="11"/>
        <v>20567210</v>
      </c>
      <c r="W28">
        <f>IF($A28="","",Allocation!CD28)</f>
        <v>110180</v>
      </c>
      <c r="X28">
        <f>IF($A28="","",Allocation!CE28)</f>
        <v>256743.58</v>
      </c>
      <c r="Y28">
        <f>IF($A28="","",Allocation!CF28)</f>
        <v>84556</v>
      </c>
      <c r="Z28">
        <f>IF($A28="","",Allocation!CG28)</f>
        <v>20597</v>
      </c>
      <c r="AA28">
        <f>IF($A28="","",Allocation!CH28)</f>
        <v>606963.18000000005</v>
      </c>
      <c r="AB28">
        <f>IF($A28="","",Allocation!CI28)</f>
        <v>2639292</v>
      </c>
      <c r="AC28">
        <f>IF($A28="","",IF(Allocation!$N$4="VOL_EFF",$G28,IF(Allocation!$N$4="VOL_CLASS",$H28,$I28)))</f>
        <v>2</v>
      </c>
      <c r="AD28">
        <f>IF($A28="","",IF(Allocation!$N$4="VOL_EFF",$L28,IF(Allocation!$N$4="VOL_CLASS",$M28,$N28)))</f>
        <v>10</v>
      </c>
      <c r="AE28">
        <f>IF($A28="","",IF(Allocation!$N$3="VOL_EFF",$L28,IF(Allocation!$N$3="VOL_CLASS",$M28,$N28)))</f>
        <v>221</v>
      </c>
      <c r="AF28">
        <f>IF($A28="","",IF(Allocation!$N$3="VOL_EFF",$Q28,IF(Allocation!$N$3="VOL_CLASS",$R28,$S28)))</f>
        <v>1112</v>
      </c>
      <c r="AG28">
        <f>IF($A28="","",IF(Allocation!$N$1="VOL_EFF",$Q28,IF(Allocation!$N$1="VOL_CLASS",$R28,$S28)))</f>
        <v>1112</v>
      </c>
      <c r="AH28">
        <f>IF($A28="","",IF(Allocation!$N$1="VOL_EFF",$T28,IF(Allocation!$N$1="VOL_CLASS",$U28,$V28)))</f>
        <v>2773</v>
      </c>
      <c r="AI28">
        <f t="shared" si="12"/>
        <v>22036</v>
      </c>
      <c r="AJ28">
        <f t="shared" si="13"/>
        <v>51348.716</v>
      </c>
      <c r="AK28">
        <f t="shared" si="14"/>
        <v>16452.072398190045</v>
      </c>
      <c r="AL28">
        <f t="shared" si="15"/>
        <v>121392.63600000001</v>
      </c>
      <c r="AM28">
        <f t="shared" si="16"/>
        <v>42068.772592859721</v>
      </c>
      <c r="AN28">
        <f t="shared" si="17"/>
        <v>30442.780724526587</v>
      </c>
      <c r="AO28">
        <f>IF($A28="","",Allocation!CJ28)</f>
        <v>499926</v>
      </c>
      <c r="AP28">
        <f>IF($A28="","",IF(Allocation!$N$2="VOL_EFF",$Q28,IF(Allocation!$N$2="VOL_CLASS",$R28,$S28)))</f>
        <v>8517270</v>
      </c>
      <c r="AQ28">
        <f>IF($A28="","",IF(Allocation!$N$2="VOL_EFF",$T28,IF(Allocation!$N$2="VOL_CLASS",$U28,$V28)))</f>
        <v>20567210</v>
      </c>
      <c r="AR28">
        <f t="shared" si="18"/>
        <v>8229.0222844236469</v>
      </c>
      <c r="AS28" t="str">
        <f>IF($A28="","",$A28&amp;"|"&amp;Allocation!BG28)</f>
        <v>2024|ACT</v>
      </c>
    </row>
    <row r="29" spans="1:45" x14ac:dyDescent="0.45">
      <c r="A29" t="str">
        <f>IF(Allocation!BI29="","",Allocation!BI29)</f>
        <v>2024</v>
      </c>
      <c r="B29" t="str">
        <f>IF(Allocation!BJ29="","",Allocation!BJ29)</f>
        <v>MBWAY_BOR</v>
      </c>
      <c r="C29" t="str">
        <f>IF(Allocation!BK29="","",Allocation!BK29)</f>
        <v>MBWAY</v>
      </c>
      <c r="D29" t="str">
        <f>IF(Allocation!BL29="","",Allocation!BL29)</f>
        <v>MAS_MGT</v>
      </c>
      <c r="E29" t="str">
        <f>IF(Allocation!BM29="","",Allocation!BM29)</f>
        <v>M1</v>
      </c>
      <c r="F29" t="str">
        <f>IF(Allocation!BN29="","",Allocation!BN29)</f>
        <v>ALT</v>
      </c>
      <c r="G29">
        <f>IF(Allocation!BO29="","",Allocation!BO29)</f>
        <v>45</v>
      </c>
      <c r="H29">
        <f>IF(Allocation!BP29="","",Allocation!BP29)</f>
        <v>2</v>
      </c>
      <c r="I29">
        <f>IF(Allocation!BQ29="","",Allocation!BQ29)</f>
        <v>331425</v>
      </c>
      <c r="J29">
        <f>IF(Allocation!CC29="","",Allocation!CC29)</f>
        <v>45</v>
      </c>
      <c r="K29">
        <f t="shared" si="0"/>
        <v>840</v>
      </c>
      <c r="L29">
        <f t="shared" si="1"/>
        <v>221</v>
      </c>
      <c r="M29">
        <f t="shared" si="2"/>
        <v>10</v>
      </c>
      <c r="N29">
        <f t="shared" si="3"/>
        <v>1573680</v>
      </c>
      <c r="O29">
        <f t="shared" si="4"/>
        <v>4800</v>
      </c>
      <c r="P29">
        <f t="shared" si="5"/>
        <v>90</v>
      </c>
      <c r="Q29">
        <f t="shared" si="6"/>
        <v>1112</v>
      </c>
      <c r="R29">
        <f t="shared" si="7"/>
        <v>50</v>
      </c>
      <c r="S29">
        <f t="shared" si="8"/>
        <v>8517270</v>
      </c>
      <c r="T29">
        <f t="shared" si="9"/>
        <v>2773</v>
      </c>
      <c r="U29">
        <f t="shared" si="10"/>
        <v>135</v>
      </c>
      <c r="V29">
        <f t="shared" si="11"/>
        <v>20567210</v>
      </c>
      <c r="W29">
        <f>IF($A29="","",Allocation!CD29)</f>
        <v>110180</v>
      </c>
      <c r="X29">
        <f>IF($A29="","",Allocation!CE29)</f>
        <v>256743.58</v>
      </c>
      <c r="Y29">
        <f>IF($A29="","",Allocation!CF29)</f>
        <v>84556</v>
      </c>
      <c r="Z29">
        <f>IF($A29="","",Allocation!CG29)</f>
        <v>20597</v>
      </c>
      <c r="AA29">
        <f>IF($A29="","",Allocation!CH29)</f>
        <v>606963.18000000005</v>
      </c>
      <c r="AB29">
        <f>IF($A29="","",Allocation!CI29)</f>
        <v>2639292</v>
      </c>
      <c r="AC29">
        <f>IF($A29="","",IF(Allocation!$N$4="VOL_EFF",$G29,IF(Allocation!$N$4="VOL_CLASS",$H29,$I29)))</f>
        <v>2</v>
      </c>
      <c r="AD29">
        <f>IF($A29="","",IF(Allocation!$N$4="VOL_EFF",$L29,IF(Allocation!$N$4="VOL_CLASS",$M29,$N29)))</f>
        <v>10</v>
      </c>
      <c r="AE29">
        <f>IF($A29="","",IF(Allocation!$N$3="VOL_EFF",$L29,IF(Allocation!$N$3="VOL_CLASS",$M29,$N29)))</f>
        <v>221</v>
      </c>
      <c r="AF29">
        <f>IF($A29="","",IF(Allocation!$N$3="VOL_EFF",$Q29,IF(Allocation!$N$3="VOL_CLASS",$R29,$S29)))</f>
        <v>1112</v>
      </c>
      <c r="AG29">
        <f>IF($A29="","",IF(Allocation!$N$1="VOL_EFF",$Q29,IF(Allocation!$N$1="VOL_CLASS",$R29,$S29)))</f>
        <v>1112</v>
      </c>
      <c r="AH29">
        <f>IF($A29="","",IF(Allocation!$N$1="VOL_EFF",$T29,IF(Allocation!$N$1="VOL_CLASS",$U29,$V29)))</f>
        <v>2773</v>
      </c>
      <c r="AI29">
        <f t="shared" si="12"/>
        <v>19281.5</v>
      </c>
      <c r="AJ29">
        <f t="shared" si="13"/>
        <v>44930.126499999998</v>
      </c>
      <c r="AK29">
        <f t="shared" si="14"/>
        <v>27515.785067873305</v>
      </c>
      <c r="AL29">
        <f t="shared" si="15"/>
        <v>121392.63600000001</v>
      </c>
      <c r="AM29">
        <f t="shared" si="16"/>
        <v>42068.772592859721</v>
      </c>
      <c r="AN29">
        <f t="shared" si="17"/>
        <v>68007.157554843288</v>
      </c>
      <c r="AO29">
        <f>IF($A29="","",Allocation!CJ29)</f>
        <v>499926</v>
      </c>
      <c r="AP29">
        <f>IF($A29="","",IF(Allocation!$N$2="VOL_EFF",$Q29,IF(Allocation!$N$2="VOL_CLASS",$R29,$S29)))</f>
        <v>8517270</v>
      </c>
      <c r="AQ29">
        <f>IF($A29="","",IF(Allocation!$N$2="VOL_EFF",$T29,IF(Allocation!$N$2="VOL_CLASS",$U29,$V29)))</f>
        <v>20567210</v>
      </c>
      <c r="AR29">
        <f t="shared" si="18"/>
        <v>8229.0222844236469</v>
      </c>
      <c r="AS29" t="str">
        <f>IF($A29="","",$A29&amp;"|"&amp;Allocation!BG29)</f>
        <v>2024|ACT</v>
      </c>
    </row>
    <row r="30" spans="1:45" x14ac:dyDescent="0.45">
      <c r="A30" t="str">
        <f>IF(Allocation!BI30="","",Allocation!BI30)</f>
        <v>2024</v>
      </c>
      <c r="B30" t="str">
        <f>IF(Allocation!BJ30="","",Allocation!BJ30)</f>
        <v>MBWAY_BOR</v>
      </c>
      <c r="C30" t="str">
        <f>IF(Allocation!BK30="","",Allocation!BK30)</f>
        <v>MBWAY</v>
      </c>
      <c r="D30" t="str">
        <f>IF(Allocation!BL30="","",Allocation!BL30)</f>
        <v>MAS_MGT</v>
      </c>
      <c r="E30" t="str">
        <f>IF(Allocation!BM30="","",Allocation!BM30)</f>
        <v>M2</v>
      </c>
      <c r="F30" t="str">
        <f>IF(Allocation!BN30="","",Allocation!BN30)</f>
        <v>ALT</v>
      </c>
      <c r="G30">
        <f>IF(Allocation!BO30="","",Allocation!BO30)</f>
        <v>44</v>
      </c>
      <c r="H30">
        <f>IF(Allocation!BP30="","",Allocation!BP30)</f>
        <v>2</v>
      </c>
      <c r="I30">
        <f>IF(Allocation!BQ30="","",Allocation!BQ30)</f>
        <v>320100</v>
      </c>
      <c r="J30">
        <f>IF(Allocation!CC30="","",Allocation!CC30)</f>
        <v>0</v>
      </c>
      <c r="K30">
        <f t="shared" si="0"/>
        <v>840</v>
      </c>
      <c r="L30">
        <f t="shared" si="1"/>
        <v>221</v>
      </c>
      <c r="M30">
        <f t="shared" si="2"/>
        <v>10</v>
      </c>
      <c r="N30">
        <f t="shared" si="3"/>
        <v>1573680</v>
      </c>
      <c r="O30">
        <f t="shared" si="4"/>
        <v>4800</v>
      </c>
      <c r="P30">
        <f t="shared" si="5"/>
        <v>90</v>
      </c>
      <c r="Q30">
        <f t="shared" si="6"/>
        <v>1112</v>
      </c>
      <c r="R30">
        <f t="shared" si="7"/>
        <v>50</v>
      </c>
      <c r="S30">
        <f t="shared" si="8"/>
        <v>8517270</v>
      </c>
      <c r="T30">
        <f t="shared" si="9"/>
        <v>2773</v>
      </c>
      <c r="U30">
        <f t="shared" si="10"/>
        <v>135</v>
      </c>
      <c r="V30">
        <f t="shared" si="11"/>
        <v>20567210</v>
      </c>
      <c r="W30">
        <f>IF($A30="","",Allocation!CD30)</f>
        <v>110180</v>
      </c>
      <c r="X30">
        <f>IF($A30="","",Allocation!CE30)</f>
        <v>256743.58</v>
      </c>
      <c r="Y30">
        <f>IF($A30="","",Allocation!CF30)</f>
        <v>84556</v>
      </c>
      <c r="Z30">
        <f>IF($A30="","",Allocation!CG30)</f>
        <v>20597</v>
      </c>
      <c r="AA30">
        <f>IF($A30="","",Allocation!CH30)</f>
        <v>606963.18000000005</v>
      </c>
      <c r="AB30">
        <f>IF($A30="","",Allocation!CI30)</f>
        <v>2639292</v>
      </c>
      <c r="AC30">
        <f>IF($A30="","",IF(Allocation!$N$4="VOL_EFF",$G30,IF(Allocation!$N$4="VOL_CLASS",$H30,$I30)))</f>
        <v>2</v>
      </c>
      <c r="AD30">
        <f>IF($A30="","",IF(Allocation!$N$4="VOL_EFF",$L30,IF(Allocation!$N$4="VOL_CLASS",$M30,$N30)))</f>
        <v>10</v>
      </c>
      <c r="AE30">
        <f>IF($A30="","",IF(Allocation!$N$3="VOL_EFF",$L30,IF(Allocation!$N$3="VOL_CLASS",$M30,$N30)))</f>
        <v>221</v>
      </c>
      <c r="AF30">
        <f>IF($A30="","",IF(Allocation!$N$3="VOL_EFF",$Q30,IF(Allocation!$N$3="VOL_CLASS",$R30,$S30)))</f>
        <v>1112</v>
      </c>
      <c r="AG30">
        <f>IF($A30="","",IF(Allocation!$N$1="VOL_EFF",$Q30,IF(Allocation!$N$1="VOL_CLASS",$R30,$S30)))</f>
        <v>1112</v>
      </c>
      <c r="AH30">
        <f>IF($A30="","",IF(Allocation!$N$1="VOL_EFF",$T30,IF(Allocation!$N$1="VOL_CLASS",$U30,$V30)))</f>
        <v>2773</v>
      </c>
      <c r="AI30">
        <f t="shared" si="12"/>
        <v>19281.5</v>
      </c>
      <c r="AJ30">
        <f t="shared" si="13"/>
        <v>44930.126499999998</v>
      </c>
      <c r="AK30">
        <f t="shared" si="14"/>
        <v>16834.678733031673</v>
      </c>
      <c r="AL30">
        <f t="shared" si="15"/>
        <v>121392.63600000001</v>
      </c>
      <c r="AM30">
        <f t="shared" si="16"/>
        <v>42068.772592859721</v>
      </c>
      <c r="AN30">
        <f t="shared" si="17"/>
        <v>67363.263889684953</v>
      </c>
      <c r="AO30">
        <f>IF($A30="","",Allocation!CJ30)</f>
        <v>499926</v>
      </c>
      <c r="AP30">
        <f>IF($A30="","",IF(Allocation!$N$2="VOL_EFF",$Q30,IF(Allocation!$N$2="VOL_CLASS",$R30,$S30)))</f>
        <v>8517270</v>
      </c>
      <c r="AQ30">
        <f>IF($A30="","",IF(Allocation!$N$2="VOL_EFF",$T30,IF(Allocation!$N$2="VOL_CLASS",$U30,$V30)))</f>
        <v>20567210</v>
      </c>
      <c r="AR30">
        <f t="shared" si="18"/>
        <v>8229.0222844236469</v>
      </c>
      <c r="AS30" t="str">
        <f>IF($A30="","",$A30&amp;"|"&amp;Allocation!BG30)</f>
        <v>2024|ACT</v>
      </c>
    </row>
    <row r="31" spans="1:45" x14ac:dyDescent="0.45">
      <c r="A31" t="str">
        <f>IF(Allocation!BI31="","",Allocation!BI31)</f>
        <v>2024</v>
      </c>
      <c r="B31" t="str">
        <f>IF(Allocation!BJ31="","",Allocation!BJ31)</f>
        <v>MBWAY_LYO</v>
      </c>
      <c r="C31" t="str">
        <f>IF(Allocation!BK31="","",Allocation!BK31)</f>
        <v>MBWAY</v>
      </c>
      <c r="D31" t="str">
        <f>IF(Allocation!BL31="","",Allocation!BL31)</f>
        <v>BAC_MGT</v>
      </c>
      <c r="E31" t="str">
        <f>IF(Allocation!BM31="","",Allocation!BM31)</f>
        <v>B1</v>
      </c>
      <c r="F31" t="str">
        <f>IF(Allocation!BN31="","",Allocation!BN31)</f>
        <v>INIT</v>
      </c>
      <c r="G31">
        <f>IF(Allocation!BO31="","",Allocation!BO31)</f>
        <v>59</v>
      </c>
      <c r="H31">
        <f>IF(Allocation!BP31="","",Allocation!BP31)</f>
        <v>3</v>
      </c>
      <c r="I31">
        <f>IF(Allocation!BQ31="","",Allocation!BQ31)</f>
        <v>469935</v>
      </c>
      <c r="J31">
        <f>IF(Allocation!CC31="","",Allocation!CC31)</f>
        <v>59</v>
      </c>
      <c r="K31">
        <f t="shared" si="0"/>
        <v>1800</v>
      </c>
      <c r="L31">
        <f t="shared" si="1"/>
        <v>289</v>
      </c>
      <c r="M31">
        <f t="shared" si="2"/>
        <v>13</v>
      </c>
      <c r="N31">
        <f t="shared" si="3"/>
        <v>2227170</v>
      </c>
      <c r="O31">
        <f t="shared" si="4"/>
        <v>6240</v>
      </c>
      <c r="P31">
        <f t="shared" si="5"/>
        <v>118</v>
      </c>
      <c r="Q31">
        <f t="shared" si="6"/>
        <v>1112</v>
      </c>
      <c r="R31">
        <f t="shared" si="7"/>
        <v>50</v>
      </c>
      <c r="S31">
        <f t="shared" si="8"/>
        <v>8517270</v>
      </c>
      <c r="T31">
        <f t="shared" si="9"/>
        <v>2773</v>
      </c>
      <c r="U31">
        <f t="shared" si="10"/>
        <v>135</v>
      </c>
      <c r="V31">
        <f t="shared" si="11"/>
        <v>20567210</v>
      </c>
      <c r="W31">
        <f>IF($A31="","",Allocation!CD31)</f>
        <v>143235</v>
      </c>
      <c r="X31">
        <f>IF($A31="","",Allocation!CE31)</f>
        <v>368902.58</v>
      </c>
      <c r="Y31">
        <f>IF($A31="","",Allocation!CF31)</f>
        <v>110025</v>
      </c>
      <c r="Z31">
        <f>IF($A31="","",Allocation!CG31)</f>
        <v>34532</v>
      </c>
      <c r="AA31">
        <f>IF($A31="","",Allocation!CH31)</f>
        <v>872661.51</v>
      </c>
      <c r="AB31">
        <f>IF($A31="","",Allocation!CI31)</f>
        <v>2639292</v>
      </c>
      <c r="AC31">
        <f>IF($A31="","",IF(Allocation!$N$4="VOL_EFF",$G31,IF(Allocation!$N$4="VOL_CLASS",$H31,$I31)))</f>
        <v>3</v>
      </c>
      <c r="AD31">
        <f>IF($A31="","",IF(Allocation!$N$4="VOL_EFF",$L31,IF(Allocation!$N$4="VOL_CLASS",$M31,$N31)))</f>
        <v>13</v>
      </c>
      <c r="AE31">
        <f>IF($A31="","",IF(Allocation!$N$3="VOL_EFF",$L31,IF(Allocation!$N$3="VOL_CLASS",$M31,$N31)))</f>
        <v>289</v>
      </c>
      <c r="AF31">
        <f>IF($A31="","",IF(Allocation!$N$3="VOL_EFF",$Q31,IF(Allocation!$N$3="VOL_CLASS",$R31,$S31)))</f>
        <v>1112</v>
      </c>
      <c r="AG31">
        <f>IF($A31="","",IF(Allocation!$N$1="VOL_EFF",$Q31,IF(Allocation!$N$1="VOL_CLASS",$R31,$S31)))</f>
        <v>1112</v>
      </c>
      <c r="AH31">
        <f>IF($A31="","",IF(Allocation!$N$1="VOL_EFF",$T31,IF(Allocation!$N$1="VOL_CLASS",$U31,$V31)))</f>
        <v>2773</v>
      </c>
      <c r="AI31">
        <f t="shared" si="12"/>
        <v>41317.788461538461</v>
      </c>
      <c r="AJ31">
        <f t="shared" si="13"/>
        <v>106414.20576923077</v>
      </c>
      <c r="AK31">
        <f t="shared" si="14"/>
        <v>39727.851211072659</v>
      </c>
      <c r="AL31">
        <f t="shared" si="15"/>
        <v>201383.4253846154</v>
      </c>
      <c r="AM31">
        <f t="shared" si="16"/>
        <v>63476.550362007263</v>
      </c>
      <c r="AN31">
        <f t="shared" si="17"/>
        <v>5198.6067255707458</v>
      </c>
      <c r="AO31">
        <f>IF($A31="","",Allocation!CJ31)</f>
        <v>499926</v>
      </c>
      <c r="AP31">
        <f>IF($A31="","",IF(Allocation!$N$2="VOL_EFF",$Q31,IF(Allocation!$N$2="VOL_CLASS",$R31,$S31)))</f>
        <v>8517270</v>
      </c>
      <c r="AQ31">
        <f>IF($A31="","",IF(Allocation!$N$2="VOL_EFF",$T31,IF(Allocation!$N$2="VOL_CLASS",$U31,$V31)))</f>
        <v>20567210</v>
      </c>
      <c r="AR31">
        <f t="shared" si="18"/>
        <v>12416.572085964674</v>
      </c>
      <c r="AS31" t="str">
        <f>IF($A31="","",$A31&amp;"|"&amp;Allocation!BG31)</f>
        <v>2024|ACT</v>
      </c>
    </row>
    <row r="32" spans="1:45" x14ac:dyDescent="0.45">
      <c r="A32" t="str">
        <f>IF(Allocation!BI32="","",Allocation!BI32)</f>
        <v>2024</v>
      </c>
      <c r="B32" t="str">
        <f>IF(Allocation!BJ32="","",Allocation!BJ32)</f>
        <v>MBWAY_LYO</v>
      </c>
      <c r="C32" t="str">
        <f>IF(Allocation!BK32="","",Allocation!BK32)</f>
        <v>MBWAY</v>
      </c>
      <c r="D32" t="str">
        <f>IF(Allocation!BL32="","",Allocation!BL32)</f>
        <v>BAC_MGT</v>
      </c>
      <c r="E32" t="str">
        <f>IF(Allocation!BM32="","",Allocation!BM32)</f>
        <v>B2</v>
      </c>
      <c r="F32" t="str">
        <f>IF(Allocation!BN32="","",Allocation!BN32)</f>
        <v>ALT</v>
      </c>
      <c r="G32">
        <f>IF(Allocation!BO32="","",Allocation!BO32)</f>
        <v>57</v>
      </c>
      <c r="H32">
        <f>IF(Allocation!BP32="","",Allocation!BP32)</f>
        <v>2</v>
      </c>
      <c r="I32">
        <f>IF(Allocation!BQ32="","",Allocation!BQ32)</f>
        <v>418950</v>
      </c>
      <c r="J32">
        <f>IF(Allocation!CC32="","",Allocation!CC32)</f>
        <v>0</v>
      </c>
      <c r="K32">
        <f t="shared" si="0"/>
        <v>960</v>
      </c>
      <c r="L32">
        <f t="shared" si="1"/>
        <v>289</v>
      </c>
      <c r="M32">
        <f t="shared" si="2"/>
        <v>13</v>
      </c>
      <c r="N32">
        <f t="shared" si="3"/>
        <v>2227170</v>
      </c>
      <c r="O32">
        <f t="shared" si="4"/>
        <v>6240</v>
      </c>
      <c r="P32">
        <f t="shared" si="5"/>
        <v>118</v>
      </c>
      <c r="Q32">
        <f t="shared" si="6"/>
        <v>1112</v>
      </c>
      <c r="R32">
        <f t="shared" si="7"/>
        <v>50</v>
      </c>
      <c r="S32">
        <f t="shared" si="8"/>
        <v>8517270</v>
      </c>
      <c r="T32">
        <f t="shared" si="9"/>
        <v>2773</v>
      </c>
      <c r="U32">
        <f t="shared" si="10"/>
        <v>135</v>
      </c>
      <c r="V32">
        <f t="shared" si="11"/>
        <v>20567210</v>
      </c>
      <c r="W32">
        <f>IF($A32="","",Allocation!CD32)</f>
        <v>143235</v>
      </c>
      <c r="X32">
        <f>IF($A32="","",Allocation!CE32)</f>
        <v>368902.58</v>
      </c>
      <c r="Y32">
        <f>IF($A32="","",Allocation!CF32)</f>
        <v>110025</v>
      </c>
      <c r="Z32">
        <f>IF($A32="","",Allocation!CG32)</f>
        <v>34532</v>
      </c>
      <c r="AA32">
        <f>IF($A32="","",Allocation!CH32)</f>
        <v>872661.51</v>
      </c>
      <c r="AB32">
        <f>IF($A32="","",Allocation!CI32)</f>
        <v>2639292</v>
      </c>
      <c r="AC32">
        <f>IF($A32="","",IF(Allocation!$N$4="VOL_EFF",$G32,IF(Allocation!$N$4="VOL_CLASS",$H32,$I32)))</f>
        <v>2</v>
      </c>
      <c r="AD32">
        <f>IF($A32="","",IF(Allocation!$N$4="VOL_EFF",$L32,IF(Allocation!$N$4="VOL_CLASS",$M32,$N32)))</f>
        <v>13</v>
      </c>
      <c r="AE32">
        <f>IF($A32="","",IF(Allocation!$N$3="VOL_EFF",$L32,IF(Allocation!$N$3="VOL_CLASS",$M32,$N32)))</f>
        <v>289</v>
      </c>
      <c r="AF32">
        <f>IF($A32="","",IF(Allocation!$N$3="VOL_EFF",$Q32,IF(Allocation!$N$3="VOL_CLASS",$R32,$S32)))</f>
        <v>1112</v>
      </c>
      <c r="AG32">
        <f>IF($A32="","",IF(Allocation!$N$1="VOL_EFF",$Q32,IF(Allocation!$N$1="VOL_CLASS",$R32,$S32)))</f>
        <v>1112</v>
      </c>
      <c r="AH32">
        <f>IF($A32="","",IF(Allocation!$N$1="VOL_EFF",$T32,IF(Allocation!$N$1="VOL_CLASS",$U32,$V32)))</f>
        <v>2773</v>
      </c>
      <c r="AI32">
        <f t="shared" si="12"/>
        <v>22036.153846153848</v>
      </c>
      <c r="AJ32">
        <f t="shared" si="13"/>
        <v>56754.243076923085</v>
      </c>
      <c r="AK32">
        <f t="shared" si="14"/>
        <v>21700.432525951557</v>
      </c>
      <c r="AL32">
        <f t="shared" si="15"/>
        <v>134255.61692307694</v>
      </c>
      <c r="AM32">
        <f t="shared" si="16"/>
        <v>42317.700241338178</v>
      </c>
      <c r="AN32">
        <f t="shared" si="17"/>
        <v>133608.13866257994</v>
      </c>
      <c r="AO32">
        <f>IF($A32="","",Allocation!CJ32)</f>
        <v>499926</v>
      </c>
      <c r="AP32">
        <f>IF($A32="","",IF(Allocation!$N$2="VOL_EFF",$Q32,IF(Allocation!$N$2="VOL_CLASS",$R32,$S32)))</f>
        <v>8517270</v>
      </c>
      <c r="AQ32">
        <f>IF($A32="","",IF(Allocation!$N$2="VOL_EFF",$T32,IF(Allocation!$N$2="VOL_CLASS",$U32,$V32)))</f>
        <v>20567210</v>
      </c>
      <c r="AR32">
        <f t="shared" si="18"/>
        <v>8277.714723976449</v>
      </c>
      <c r="AS32" t="str">
        <f>IF($A32="","",$A32&amp;"|"&amp;Allocation!BG32)</f>
        <v>2024|ACT</v>
      </c>
    </row>
    <row r="33" spans="1:45" x14ac:dyDescent="0.45">
      <c r="A33" t="str">
        <f>IF(Allocation!BI33="","",Allocation!BI33)</f>
        <v>2024</v>
      </c>
      <c r="B33" t="str">
        <f>IF(Allocation!BJ33="","",Allocation!BJ33)</f>
        <v>MBWAY_LYO</v>
      </c>
      <c r="C33" t="str">
        <f>IF(Allocation!BK33="","",Allocation!BK33)</f>
        <v>MBWAY</v>
      </c>
      <c r="D33" t="str">
        <f>IF(Allocation!BL33="","",Allocation!BL33)</f>
        <v>BAC_MGT</v>
      </c>
      <c r="E33" t="str">
        <f>IF(Allocation!BM33="","",Allocation!BM33)</f>
        <v>B3</v>
      </c>
      <c r="F33" t="str">
        <f>IF(Allocation!BN33="","",Allocation!BN33)</f>
        <v>ALT</v>
      </c>
      <c r="G33">
        <f>IF(Allocation!BO33="","",Allocation!BO33)</f>
        <v>56</v>
      </c>
      <c r="H33">
        <f>IF(Allocation!BP33="","",Allocation!BP33)</f>
        <v>2</v>
      </c>
      <c r="I33">
        <f>IF(Allocation!BQ33="","",Allocation!BQ33)</f>
        <v>411600</v>
      </c>
      <c r="J33">
        <f>IF(Allocation!CC33="","",Allocation!CC33)</f>
        <v>0</v>
      </c>
      <c r="K33">
        <f t="shared" si="0"/>
        <v>960</v>
      </c>
      <c r="L33">
        <f t="shared" si="1"/>
        <v>289</v>
      </c>
      <c r="M33">
        <f t="shared" si="2"/>
        <v>13</v>
      </c>
      <c r="N33">
        <f t="shared" si="3"/>
        <v>2227170</v>
      </c>
      <c r="O33">
        <f t="shared" si="4"/>
        <v>6240</v>
      </c>
      <c r="P33">
        <f t="shared" si="5"/>
        <v>118</v>
      </c>
      <c r="Q33">
        <f t="shared" si="6"/>
        <v>1112</v>
      </c>
      <c r="R33">
        <f t="shared" si="7"/>
        <v>50</v>
      </c>
      <c r="S33">
        <f t="shared" si="8"/>
        <v>8517270</v>
      </c>
      <c r="T33">
        <f t="shared" si="9"/>
        <v>2773</v>
      </c>
      <c r="U33">
        <f t="shared" si="10"/>
        <v>135</v>
      </c>
      <c r="V33">
        <f t="shared" si="11"/>
        <v>20567210</v>
      </c>
      <c r="W33">
        <f>IF($A33="","",Allocation!CD33)</f>
        <v>143235</v>
      </c>
      <c r="X33">
        <f>IF($A33="","",Allocation!CE33)</f>
        <v>368902.58</v>
      </c>
      <c r="Y33">
        <f>IF($A33="","",Allocation!CF33)</f>
        <v>110025</v>
      </c>
      <c r="Z33">
        <f>IF($A33="","",Allocation!CG33)</f>
        <v>34532</v>
      </c>
      <c r="AA33">
        <f>IF($A33="","",Allocation!CH33)</f>
        <v>872661.51</v>
      </c>
      <c r="AB33">
        <f>IF($A33="","",Allocation!CI33)</f>
        <v>2639292</v>
      </c>
      <c r="AC33">
        <f>IF($A33="","",IF(Allocation!$N$4="VOL_EFF",$G33,IF(Allocation!$N$4="VOL_CLASS",$H33,$I33)))</f>
        <v>2</v>
      </c>
      <c r="AD33">
        <f>IF($A33="","",IF(Allocation!$N$4="VOL_EFF",$L33,IF(Allocation!$N$4="VOL_CLASS",$M33,$N33)))</f>
        <v>13</v>
      </c>
      <c r="AE33">
        <f>IF($A33="","",IF(Allocation!$N$3="VOL_EFF",$L33,IF(Allocation!$N$3="VOL_CLASS",$M33,$N33)))</f>
        <v>289</v>
      </c>
      <c r="AF33">
        <f>IF($A33="","",IF(Allocation!$N$3="VOL_EFF",$Q33,IF(Allocation!$N$3="VOL_CLASS",$R33,$S33)))</f>
        <v>1112</v>
      </c>
      <c r="AG33">
        <f>IF($A33="","",IF(Allocation!$N$1="VOL_EFF",$Q33,IF(Allocation!$N$1="VOL_CLASS",$R33,$S33)))</f>
        <v>1112</v>
      </c>
      <c r="AH33">
        <f>IF($A33="","",IF(Allocation!$N$1="VOL_EFF",$T33,IF(Allocation!$N$1="VOL_CLASS",$U33,$V33)))</f>
        <v>2773</v>
      </c>
      <c r="AI33">
        <f t="shared" si="12"/>
        <v>22036.153846153848</v>
      </c>
      <c r="AJ33">
        <f t="shared" si="13"/>
        <v>56754.243076923085</v>
      </c>
      <c r="AK33">
        <f t="shared" si="14"/>
        <v>21319.723183391005</v>
      </c>
      <c r="AL33">
        <f t="shared" si="15"/>
        <v>134255.61692307694</v>
      </c>
      <c r="AM33">
        <f t="shared" si="16"/>
        <v>42317.700241338178</v>
      </c>
      <c r="AN33">
        <f t="shared" si="17"/>
        <v>126638.84800514049</v>
      </c>
      <c r="AO33">
        <f>IF($A33="","",Allocation!CJ33)</f>
        <v>499926</v>
      </c>
      <c r="AP33">
        <f>IF($A33="","",IF(Allocation!$N$2="VOL_EFF",$Q33,IF(Allocation!$N$2="VOL_CLASS",$R33,$S33)))</f>
        <v>8517270</v>
      </c>
      <c r="AQ33">
        <f>IF($A33="","",IF(Allocation!$N$2="VOL_EFF",$T33,IF(Allocation!$N$2="VOL_CLASS",$U33,$V33)))</f>
        <v>20567210</v>
      </c>
      <c r="AR33">
        <f t="shared" si="18"/>
        <v>8277.714723976449</v>
      </c>
      <c r="AS33" t="str">
        <f>IF($A33="","",$A33&amp;"|"&amp;Allocation!BG33)</f>
        <v>2024|ACT</v>
      </c>
    </row>
    <row r="34" spans="1:45" x14ac:dyDescent="0.45">
      <c r="A34" t="str">
        <f>IF(Allocation!BI34="","",Allocation!BI34)</f>
        <v>2024</v>
      </c>
      <c r="B34" t="str">
        <f>IF(Allocation!BJ34="","",Allocation!BJ34)</f>
        <v>MBWAY_LYO</v>
      </c>
      <c r="C34" t="str">
        <f>IF(Allocation!BK34="","",Allocation!BK34)</f>
        <v>MBWAY</v>
      </c>
      <c r="D34" t="str">
        <f>IF(Allocation!BL34="","",Allocation!BL34)</f>
        <v>MAS_MGT</v>
      </c>
      <c r="E34" t="str">
        <f>IF(Allocation!BM34="","",Allocation!BM34)</f>
        <v>M1</v>
      </c>
      <c r="F34" t="str">
        <f>IF(Allocation!BN34="","",Allocation!BN34)</f>
        <v>ALT</v>
      </c>
      <c r="G34">
        <f>IF(Allocation!BO34="","",Allocation!BO34)</f>
        <v>59</v>
      </c>
      <c r="H34">
        <f>IF(Allocation!BP34="","",Allocation!BP34)</f>
        <v>3</v>
      </c>
      <c r="I34">
        <f>IF(Allocation!BQ34="","",Allocation!BQ34)</f>
        <v>469935</v>
      </c>
      <c r="J34">
        <f>IF(Allocation!CC34="","",Allocation!CC34)</f>
        <v>59</v>
      </c>
      <c r="K34">
        <f t="shared" si="0"/>
        <v>1260</v>
      </c>
      <c r="L34">
        <f t="shared" si="1"/>
        <v>289</v>
      </c>
      <c r="M34">
        <f t="shared" si="2"/>
        <v>13</v>
      </c>
      <c r="N34">
        <f t="shared" si="3"/>
        <v>2227170</v>
      </c>
      <c r="O34">
        <f t="shared" si="4"/>
        <v>6240</v>
      </c>
      <c r="P34">
        <f t="shared" si="5"/>
        <v>118</v>
      </c>
      <c r="Q34">
        <f t="shared" si="6"/>
        <v>1112</v>
      </c>
      <c r="R34">
        <f t="shared" si="7"/>
        <v>50</v>
      </c>
      <c r="S34">
        <f t="shared" si="8"/>
        <v>8517270</v>
      </c>
      <c r="T34">
        <f t="shared" si="9"/>
        <v>2773</v>
      </c>
      <c r="U34">
        <f t="shared" si="10"/>
        <v>135</v>
      </c>
      <c r="V34">
        <f t="shared" si="11"/>
        <v>20567210</v>
      </c>
      <c r="W34">
        <f>IF($A34="","",Allocation!CD34)</f>
        <v>143235</v>
      </c>
      <c r="X34">
        <f>IF($A34="","",Allocation!CE34)</f>
        <v>368902.58</v>
      </c>
      <c r="Y34">
        <f>IF($A34="","",Allocation!CF34)</f>
        <v>110025</v>
      </c>
      <c r="Z34">
        <f>IF($A34="","",Allocation!CG34)</f>
        <v>34532</v>
      </c>
      <c r="AA34">
        <f>IF($A34="","",Allocation!CH34)</f>
        <v>872661.51</v>
      </c>
      <c r="AB34">
        <f>IF($A34="","",Allocation!CI34)</f>
        <v>2639292</v>
      </c>
      <c r="AC34">
        <f>IF($A34="","",IF(Allocation!$N$4="VOL_EFF",$G34,IF(Allocation!$N$4="VOL_CLASS",$H34,$I34)))</f>
        <v>3</v>
      </c>
      <c r="AD34">
        <f>IF($A34="","",IF(Allocation!$N$4="VOL_EFF",$L34,IF(Allocation!$N$4="VOL_CLASS",$M34,$N34)))</f>
        <v>13</v>
      </c>
      <c r="AE34">
        <f>IF($A34="","",IF(Allocation!$N$3="VOL_EFF",$L34,IF(Allocation!$N$3="VOL_CLASS",$M34,$N34)))</f>
        <v>289</v>
      </c>
      <c r="AF34">
        <f>IF($A34="","",IF(Allocation!$N$3="VOL_EFF",$Q34,IF(Allocation!$N$3="VOL_CLASS",$R34,$S34)))</f>
        <v>1112</v>
      </c>
      <c r="AG34">
        <f>IF($A34="","",IF(Allocation!$N$1="VOL_EFF",$Q34,IF(Allocation!$N$1="VOL_CLASS",$R34,$S34)))</f>
        <v>1112</v>
      </c>
      <c r="AH34">
        <f>IF($A34="","",IF(Allocation!$N$1="VOL_EFF",$T34,IF(Allocation!$N$1="VOL_CLASS",$U34,$V34)))</f>
        <v>2773</v>
      </c>
      <c r="AI34">
        <f t="shared" si="12"/>
        <v>28922.451923076922</v>
      </c>
      <c r="AJ34">
        <f t="shared" si="13"/>
        <v>74489.944038461545</v>
      </c>
      <c r="AK34">
        <f t="shared" si="14"/>
        <v>39727.851211072659</v>
      </c>
      <c r="AL34">
        <f t="shared" si="15"/>
        <v>201383.4253846154</v>
      </c>
      <c r="AM34">
        <f t="shared" si="16"/>
        <v>63476.550362007263</v>
      </c>
      <c r="AN34">
        <f t="shared" si="17"/>
        <v>49518.204994801548</v>
      </c>
      <c r="AO34">
        <f>IF($A34="","",Allocation!CJ34)</f>
        <v>499926</v>
      </c>
      <c r="AP34">
        <f>IF($A34="","",IF(Allocation!$N$2="VOL_EFF",$Q34,IF(Allocation!$N$2="VOL_CLASS",$R34,$S34)))</f>
        <v>8517270</v>
      </c>
      <c r="AQ34">
        <f>IF($A34="","",IF(Allocation!$N$2="VOL_EFF",$T34,IF(Allocation!$N$2="VOL_CLASS",$U34,$V34)))</f>
        <v>20567210</v>
      </c>
      <c r="AR34">
        <f t="shared" si="18"/>
        <v>12416.572085964674</v>
      </c>
      <c r="AS34" t="str">
        <f>IF($A34="","",$A34&amp;"|"&amp;Allocation!BG34)</f>
        <v>2024|ACT</v>
      </c>
    </row>
    <row r="35" spans="1:45" x14ac:dyDescent="0.45">
      <c r="A35" t="str">
        <f>IF(Allocation!BI35="","",Allocation!BI35)</f>
        <v>2024</v>
      </c>
      <c r="B35" t="str">
        <f>IF(Allocation!BJ35="","",Allocation!BJ35)</f>
        <v>MBWAY_LYO</v>
      </c>
      <c r="C35" t="str">
        <f>IF(Allocation!BK35="","",Allocation!BK35)</f>
        <v>MBWAY</v>
      </c>
      <c r="D35" t="str">
        <f>IF(Allocation!BL35="","",Allocation!BL35)</f>
        <v>MAS_MGT</v>
      </c>
      <c r="E35" t="str">
        <f>IF(Allocation!BM35="","",Allocation!BM35)</f>
        <v>M2</v>
      </c>
      <c r="F35" t="str">
        <f>IF(Allocation!BN35="","",Allocation!BN35)</f>
        <v>ALT</v>
      </c>
      <c r="G35">
        <f>IF(Allocation!BO35="","",Allocation!BO35)</f>
        <v>58</v>
      </c>
      <c r="H35">
        <f>IF(Allocation!BP35="","",Allocation!BP35)</f>
        <v>3</v>
      </c>
      <c r="I35">
        <f>IF(Allocation!BQ35="","",Allocation!BQ35)</f>
        <v>456750</v>
      </c>
      <c r="J35">
        <f>IF(Allocation!CC35="","",Allocation!CC35)</f>
        <v>0</v>
      </c>
      <c r="K35">
        <f t="shared" si="0"/>
        <v>1260</v>
      </c>
      <c r="L35">
        <f t="shared" si="1"/>
        <v>289</v>
      </c>
      <c r="M35">
        <f t="shared" si="2"/>
        <v>13</v>
      </c>
      <c r="N35">
        <f t="shared" si="3"/>
        <v>2227170</v>
      </c>
      <c r="O35">
        <f t="shared" si="4"/>
        <v>6240</v>
      </c>
      <c r="P35">
        <f t="shared" si="5"/>
        <v>118</v>
      </c>
      <c r="Q35">
        <f t="shared" si="6"/>
        <v>1112</v>
      </c>
      <c r="R35">
        <f t="shared" si="7"/>
        <v>50</v>
      </c>
      <c r="S35">
        <f t="shared" si="8"/>
        <v>8517270</v>
      </c>
      <c r="T35">
        <f t="shared" si="9"/>
        <v>2773</v>
      </c>
      <c r="U35">
        <f t="shared" si="10"/>
        <v>135</v>
      </c>
      <c r="V35">
        <f t="shared" si="11"/>
        <v>20567210</v>
      </c>
      <c r="W35">
        <f>IF($A35="","",Allocation!CD35)</f>
        <v>143235</v>
      </c>
      <c r="X35">
        <f>IF($A35="","",Allocation!CE35)</f>
        <v>368902.58</v>
      </c>
      <c r="Y35">
        <f>IF($A35="","",Allocation!CF35)</f>
        <v>110025</v>
      </c>
      <c r="Z35">
        <f>IF($A35="","",Allocation!CG35)</f>
        <v>34532</v>
      </c>
      <c r="AA35">
        <f>IF($A35="","",Allocation!CH35)</f>
        <v>872661.51</v>
      </c>
      <c r="AB35">
        <f>IF($A35="","",Allocation!CI35)</f>
        <v>2639292</v>
      </c>
      <c r="AC35">
        <f>IF($A35="","",IF(Allocation!$N$4="VOL_EFF",$G35,IF(Allocation!$N$4="VOL_CLASS",$H35,$I35)))</f>
        <v>3</v>
      </c>
      <c r="AD35">
        <f>IF($A35="","",IF(Allocation!$N$4="VOL_EFF",$L35,IF(Allocation!$N$4="VOL_CLASS",$M35,$N35)))</f>
        <v>13</v>
      </c>
      <c r="AE35">
        <f>IF($A35="","",IF(Allocation!$N$3="VOL_EFF",$L35,IF(Allocation!$N$3="VOL_CLASS",$M35,$N35)))</f>
        <v>289</v>
      </c>
      <c r="AF35">
        <f>IF($A35="","",IF(Allocation!$N$3="VOL_EFF",$Q35,IF(Allocation!$N$3="VOL_CLASS",$R35,$S35)))</f>
        <v>1112</v>
      </c>
      <c r="AG35">
        <f>IF($A35="","",IF(Allocation!$N$1="VOL_EFF",$Q35,IF(Allocation!$N$1="VOL_CLASS",$R35,$S35)))</f>
        <v>1112</v>
      </c>
      <c r="AH35">
        <f>IF($A35="","",IF(Allocation!$N$1="VOL_EFF",$T35,IF(Allocation!$N$1="VOL_CLASS",$U35,$V35)))</f>
        <v>2773</v>
      </c>
      <c r="AI35">
        <f t="shared" si="12"/>
        <v>28922.451923076922</v>
      </c>
      <c r="AJ35">
        <f t="shared" si="13"/>
        <v>74489.944038461545</v>
      </c>
      <c r="AK35">
        <f t="shared" si="14"/>
        <v>22081.14186851211</v>
      </c>
      <c r="AL35">
        <f t="shared" si="15"/>
        <v>201383.4253846154</v>
      </c>
      <c r="AM35">
        <f t="shared" si="16"/>
        <v>63476.550362007263</v>
      </c>
      <c r="AN35">
        <f t="shared" si="17"/>
        <v>53979.914337362046</v>
      </c>
      <c r="AO35">
        <f>IF($A35="","",Allocation!CJ35)</f>
        <v>499926</v>
      </c>
      <c r="AP35">
        <f>IF($A35="","",IF(Allocation!$N$2="VOL_EFF",$Q35,IF(Allocation!$N$2="VOL_CLASS",$R35,$S35)))</f>
        <v>8517270</v>
      </c>
      <c r="AQ35">
        <f>IF($A35="","",IF(Allocation!$N$2="VOL_EFF",$T35,IF(Allocation!$N$2="VOL_CLASS",$U35,$V35)))</f>
        <v>20567210</v>
      </c>
      <c r="AR35">
        <f t="shared" si="18"/>
        <v>12416.572085964674</v>
      </c>
      <c r="AS35" t="str">
        <f>IF($A35="","",$A35&amp;"|"&amp;Allocation!BG35)</f>
        <v>2024|ACT</v>
      </c>
    </row>
    <row r="36" spans="1:45" x14ac:dyDescent="0.45">
      <c r="A36" t="str">
        <f>IF(Allocation!BI36="","",Allocation!BI36)</f>
        <v>2024</v>
      </c>
      <c r="B36" t="str">
        <f>IF(Allocation!BJ36="","",Allocation!BJ36)</f>
        <v>MBWAY_NAN</v>
      </c>
      <c r="C36" t="str">
        <f>IF(Allocation!BK36="","",Allocation!BK36)</f>
        <v>MBWAY</v>
      </c>
      <c r="D36" t="str">
        <f>IF(Allocation!BL36="","",Allocation!BL36)</f>
        <v>BAC_MGT</v>
      </c>
      <c r="E36" t="str">
        <f>IF(Allocation!BM36="","",Allocation!BM36)</f>
        <v>B1</v>
      </c>
      <c r="F36" t="str">
        <f>IF(Allocation!BN36="","",Allocation!BN36)</f>
        <v>INIT</v>
      </c>
      <c r="G36">
        <f>IF(Allocation!BO36="","",Allocation!BO36)</f>
        <v>53</v>
      </c>
      <c r="H36">
        <f>IF(Allocation!BP36="","",Allocation!BP36)</f>
        <v>2</v>
      </c>
      <c r="I36">
        <f>IF(Allocation!BQ36="","",Allocation!BQ36)</f>
        <v>402270</v>
      </c>
      <c r="J36">
        <f>IF(Allocation!CC36="","",Allocation!CC36)</f>
        <v>53</v>
      </c>
      <c r="K36">
        <f t="shared" si="0"/>
        <v>1200</v>
      </c>
      <c r="L36">
        <f t="shared" si="1"/>
        <v>262</v>
      </c>
      <c r="M36">
        <f t="shared" si="2"/>
        <v>12</v>
      </c>
      <c r="N36">
        <f t="shared" si="3"/>
        <v>1923040</v>
      </c>
      <c r="O36">
        <f t="shared" si="4"/>
        <v>5640</v>
      </c>
      <c r="P36">
        <f t="shared" si="5"/>
        <v>106</v>
      </c>
      <c r="Q36">
        <f t="shared" si="6"/>
        <v>1112</v>
      </c>
      <c r="R36">
        <f t="shared" si="7"/>
        <v>50</v>
      </c>
      <c r="S36">
        <f t="shared" si="8"/>
        <v>8517270</v>
      </c>
      <c r="T36">
        <f t="shared" si="9"/>
        <v>2773</v>
      </c>
      <c r="U36">
        <f t="shared" si="10"/>
        <v>135</v>
      </c>
      <c r="V36">
        <f t="shared" si="11"/>
        <v>20567210</v>
      </c>
      <c r="W36">
        <f>IF($A36="","",Allocation!CD36)</f>
        <v>132216</v>
      </c>
      <c r="X36">
        <f>IF($A36="","",Allocation!CE36)</f>
        <v>316903.03999999998</v>
      </c>
      <c r="Y36">
        <f>IF($A36="","",Allocation!CF36)</f>
        <v>99837</v>
      </c>
      <c r="Z36">
        <f>IF($A36="","",Allocation!CG36)</f>
        <v>26060</v>
      </c>
      <c r="AA36">
        <f>IF($A36="","",Allocation!CH36)</f>
        <v>741040.34</v>
      </c>
      <c r="AB36">
        <f>IF($A36="","",Allocation!CI36)</f>
        <v>2639292</v>
      </c>
      <c r="AC36">
        <f>IF($A36="","",IF(Allocation!$N$4="VOL_EFF",$G36,IF(Allocation!$N$4="VOL_CLASS",$H36,$I36)))</f>
        <v>2</v>
      </c>
      <c r="AD36">
        <f>IF($A36="","",IF(Allocation!$N$4="VOL_EFF",$L36,IF(Allocation!$N$4="VOL_CLASS",$M36,$N36)))</f>
        <v>12</v>
      </c>
      <c r="AE36">
        <f>IF($A36="","",IF(Allocation!$N$3="VOL_EFF",$L36,IF(Allocation!$N$3="VOL_CLASS",$M36,$N36)))</f>
        <v>262</v>
      </c>
      <c r="AF36">
        <f>IF($A36="","",IF(Allocation!$N$3="VOL_EFF",$Q36,IF(Allocation!$N$3="VOL_CLASS",$R36,$S36)))</f>
        <v>1112</v>
      </c>
      <c r="AG36">
        <f>IF($A36="","",IF(Allocation!$N$1="VOL_EFF",$Q36,IF(Allocation!$N$1="VOL_CLASS",$R36,$S36)))</f>
        <v>1112</v>
      </c>
      <c r="AH36">
        <f>IF($A36="","",IF(Allocation!$N$1="VOL_EFF",$T36,IF(Allocation!$N$1="VOL_CLASS",$U36,$V36)))</f>
        <v>2773</v>
      </c>
      <c r="AI36">
        <f t="shared" si="12"/>
        <v>28131.063829787236</v>
      </c>
      <c r="AJ36">
        <f t="shared" si="13"/>
        <v>67426.178723404257</v>
      </c>
      <c r="AK36">
        <f t="shared" si="14"/>
        <v>33226.034351145034</v>
      </c>
      <c r="AL36">
        <f t="shared" si="15"/>
        <v>123506.72333333333</v>
      </c>
      <c r="AM36">
        <f t="shared" si="16"/>
        <v>41561.155427335012</v>
      </c>
      <c r="AN36">
        <f t="shared" si="17"/>
        <v>100289.11643711053</v>
      </c>
      <c r="AO36">
        <f>IF($A36="","",Allocation!CJ36)</f>
        <v>499926</v>
      </c>
      <c r="AP36">
        <f>IF($A36="","",IF(Allocation!$N$2="VOL_EFF",$Q36,IF(Allocation!$N$2="VOL_CLASS",$R36,$S36)))</f>
        <v>8517270</v>
      </c>
      <c r="AQ36">
        <f>IF($A36="","",IF(Allocation!$N$2="VOL_EFF",$T36,IF(Allocation!$N$2="VOL_CLASS",$U36,$V36)))</f>
        <v>20567210</v>
      </c>
      <c r="AR36">
        <f t="shared" si="18"/>
        <v>8129.727897884598</v>
      </c>
      <c r="AS36" t="str">
        <f>IF($A36="","",$A36&amp;"|"&amp;Allocation!BG36)</f>
        <v>2024|ACT</v>
      </c>
    </row>
    <row r="37" spans="1:45" x14ac:dyDescent="0.45">
      <c r="A37" t="str">
        <f>IF(Allocation!BI37="","",Allocation!BI37)</f>
        <v>2024</v>
      </c>
      <c r="B37" t="str">
        <f>IF(Allocation!BJ37="","",Allocation!BJ37)</f>
        <v>MBWAY_NAN</v>
      </c>
      <c r="C37" t="str">
        <f>IF(Allocation!BK37="","",Allocation!BK37)</f>
        <v>MBWAY</v>
      </c>
      <c r="D37" t="str">
        <f>IF(Allocation!BL37="","",Allocation!BL37)</f>
        <v>BAC_MGT</v>
      </c>
      <c r="E37" t="str">
        <f>IF(Allocation!BM37="","",Allocation!BM37)</f>
        <v>B2</v>
      </c>
      <c r="F37" t="str">
        <f>IF(Allocation!BN37="","",Allocation!BN37)</f>
        <v>ALT</v>
      </c>
      <c r="G37">
        <f>IF(Allocation!BO37="","",Allocation!BO37)</f>
        <v>52</v>
      </c>
      <c r="H37">
        <f>IF(Allocation!BP37="","",Allocation!BP37)</f>
        <v>2</v>
      </c>
      <c r="I37">
        <f>IF(Allocation!BQ37="","",Allocation!BQ37)</f>
        <v>364000</v>
      </c>
      <c r="J37">
        <f>IF(Allocation!CC37="","",Allocation!CC37)</f>
        <v>0</v>
      </c>
      <c r="K37">
        <f t="shared" si="0"/>
        <v>960</v>
      </c>
      <c r="L37">
        <f t="shared" si="1"/>
        <v>262</v>
      </c>
      <c r="M37">
        <f t="shared" si="2"/>
        <v>12</v>
      </c>
      <c r="N37">
        <f t="shared" si="3"/>
        <v>1923040</v>
      </c>
      <c r="O37">
        <f t="shared" si="4"/>
        <v>5640</v>
      </c>
      <c r="P37">
        <f t="shared" si="5"/>
        <v>106</v>
      </c>
      <c r="Q37">
        <f t="shared" si="6"/>
        <v>1112</v>
      </c>
      <c r="R37">
        <f t="shared" si="7"/>
        <v>50</v>
      </c>
      <c r="S37">
        <f t="shared" si="8"/>
        <v>8517270</v>
      </c>
      <c r="T37">
        <f t="shared" si="9"/>
        <v>2773</v>
      </c>
      <c r="U37">
        <f t="shared" si="10"/>
        <v>135</v>
      </c>
      <c r="V37">
        <f t="shared" si="11"/>
        <v>20567210</v>
      </c>
      <c r="W37">
        <f>IF($A37="","",Allocation!CD37)</f>
        <v>132216</v>
      </c>
      <c r="X37">
        <f>IF($A37="","",Allocation!CE37)</f>
        <v>316903.03999999998</v>
      </c>
      <c r="Y37">
        <f>IF($A37="","",Allocation!CF37)</f>
        <v>99837</v>
      </c>
      <c r="Z37">
        <f>IF($A37="","",Allocation!CG37)</f>
        <v>26060</v>
      </c>
      <c r="AA37">
        <f>IF($A37="","",Allocation!CH37)</f>
        <v>741040.34</v>
      </c>
      <c r="AB37">
        <f>IF($A37="","",Allocation!CI37)</f>
        <v>2639292</v>
      </c>
      <c r="AC37">
        <f>IF($A37="","",IF(Allocation!$N$4="VOL_EFF",$G37,IF(Allocation!$N$4="VOL_CLASS",$H37,$I37)))</f>
        <v>2</v>
      </c>
      <c r="AD37">
        <f>IF($A37="","",IF(Allocation!$N$4="VOL_EFF",$L37,IF(Allocation!$N$4="VOL_CLASS",$M37,$N37)))</f>
        <v>12</v>
      </c>
      <c r="AE37">
        <f>IF($A37="","",IF(Allocation!$N$3="VOL_EFF",$L37,IF(Allocation!$N$3="VOL_CLASS",$M37,$N37)))</f>
        <v>262</v>
      </c>
      <c r="AF37">
        <f>IF($A37="","",IF(Allocation!$N$3="VOL_EFF",$Q37,IF(Allocation!$N$3="VOL_CLASS",$R37,$S37)))</f>
        <v>1112</v>
      </c>
      <c r="AG37">
        <f>IF($A37="","",IF(Allocation!$N$1="VOL_EFF",$Q37,IF(Allocation!$N$1="VOL_CLASS",$R37,$S37)))</f>
        <v>1112</v>
      </c>
      <c r="AH37">
        <f>IF($A37="","",IF(Allocation!$N$1="VOL_EFF",$T37,IF(Allocation!$N$1="VOL_CLASS",$U37,$V37)))</f>
        <v>2773</v>
      </c>
      <c r="AI37">
        <f t="shared" si="12"/>
        <v>22504.851063829788</v>
      </c>
      <c r="AJ37">
        <f t="shared" si="13"/>
        <v>53940.942978723397</v>
      </c>
      <c r="AK37">
        <f t="shared" si="14"/>
        <v>19814.977099236639</v>
      </c>
      <c r="AL37">
        <f t="shared" si="15"/>
        <v>123506.72333333333</v>
      </c>
      <c r="AM37">
        <f t="shared" si="16"/>
        <v>41561.155427335012</v>
      </c>
      <c r="AN37">
        <f t="shared" si="17"/>
        <v>94541.622199657257</v>
      </c>
      <c r="AO37">
        <f>IF($A37="","",Allocation!CJ37)</f>
        <v>499926</v>
      </c>
      <c r="AP37">
        <f>IF($A37="","",IF(Allocation!$N$2="VOL_EFF",$Q37,IF(Allocation!$N$2="VOL_CLASS",$R37,$S37)))</f>
        <v>8517270</v>
      </c>
      <c r="AQ37">
        <f>IF($A37="","",IF(Allocation!$N$2="VOL_EFF",$T37,IF(Allocation!$N$2="VOL_CLASS",$U37,$V37)))</f>
        <v>20567210</v>
      </c>
      <c r="AR37">
        <f t="shared" si="18"/>
        <v>8129.727897884598</v>
      </c>
      <c r="AS37" t="str">
        <f>IF($A37="","",$A37&amp;"|"&amp;Allocation!BG37)</f>
        <v>2024|ACT</v>
      </c>
    </row>
    <row r="38" spans="1:45" x14ac:dyDescent="0.45">
      <c r="A38" t="str">
        <f>IF(Allocation!BI38="","",Allocation!BI38)</f>
        <v>2024</v>
      </c>
      <c r="B38" t="str">
        <f>IF(Allocation!BJ38="","",Allocation!BJ38)</f>
        <v>MBWAY_NAN</v>
      </c>
      <c r="C38" t="str">
        <f>IF(Allocation!BK38="","",Allocation!BK38)</f>
        <v>MBWAY</v>
      </c>
      <c r="D38" t="str">
        <f>IF(Allocation!BL38="","",Allocation!BL38)</f>
        <v>BAC_MGT</v>
      </c>
      <c r="E38" t="str">
        <f>IF(Allocation!BM38="","",Allocation!BM38)</f>
        <v>B3</v>
      </c>
      <c r="F38" t="str">
        <f>IF(Allocation!BN38="","",Allocation!BN38)</f>
        <v>ALT</v>
      </c>
      <c r="G38">
        <f>IF(Allocation!BO38="","",Allocation!BO38)</f>
        <v>51</v>
      </c>
      <c r="H38">
        <f>IF(Allocation!BP38="","",Allocation!BP38)</f>
        <v>2</v>
      </c>
      <c r="I38">
        <f>IF(Allocation!BQ38="","",Allocation!BQ38)</f>
        <v>357000</v>
      </c>
      <c r="J38">
        <f>IF(Allocation!CC38="","",Allocation!CC38)</f>
        <v>0</v>
      </c>
      <c r="K38">
        <f t="shared" si="0"/>
        <v>960</v>
      </c>
      <c r="L38">
        <f t="shared" si="1"/>
        <v>262</v>
      </c>
      <c r="M38">
        <f t="shared" si="2"/>
        <v>12</v>
      </c>
      <c r="N38">
        <f t="shared" si="3"/>
        <v>1923040</v>
      </c>
      <c r="O38">
        <f t="shared" si="4"/>
        <v>5640</v>
      </c>
      <c r="P38">
        <f t="shared" si="5"/>
        <v>106</v>
      </c>
      <c r="Q38">
        <f t="shared" si="6"/>
        <v>1112</v>
      </c>
      <c r="R38">
        <f t="shared" si="7"/>
        <v>50</v>
      </c>
      <c r="S38">
        <f t="shared" si="8"/>
        <v>8517270</v>
      </c>
      <c r="T38">
        <f t="shared" si="9"/>
        <v>2773</v>
      </c>
      <c r="U38">
        <f t="shared" si="10"/>
        <v>135</v>
      </c>
      <c r="V38">
        <f t="shared" si="11"/>
        <v>20567210</v>
      </c>
      <c r="W38">
        <f>IF($A38="","",Allocation!CD38)</f>
        <v>132216</v>
      </c>
      <c r="X38">
        <f>IF($A38="","",Allocation!CE38)</f>
        <v>316903.03999999998</v>
      </c>
      <c r="Y38">
        <f>IF($A38="","",Allocation!CF38)</f>
        <v>99837</v>
      </c>
      <c r="Z38">
        <f>IF($A38="","",Allocation!CG38)</f>
        <v>26060</v>
      </c>
      <c r="AA38">
        <f>IF($A38="","",Allocation!CH38)</f>
        <v>741040.34</v>
      </c>
      <c r="AB38">
        <f>IF($A38="","",Allocation!CI38)</f>
        <v>2639292</v>
      </c>
      <c r="AC38">
        <f>IF($A38="","",IF(Allocation!$N$4="VOL_EFF",$G38,IF(Allocation!$N$4="VOL_CLASS",$H38,$I38)))</f>
        <v>2</v>
      </c>
      <c r="AD38">
        <f>IF($A38="","",IF(Allocation!$N$4="VOL_EFF",$L38,IF(Allocation!$N$4="VOL_CLASS",$M38,$N38)))</f>
        <v>12</v>
      </c>
      <c r="AE38">
        <f>IF($A38="","",IF(Allocation!$N$3="VOL_EFF",$L38,IF(Allocation!$N$3="VOL_CLASS",$M38,$N38)))</f>
        <v>262</v>
      </c>
      <c r="AF38">
        <f>IF($A38="","",IF(Allocation!$N$3="VOL_EFF",$Q38,IF(Allocation!$N$3="VOL_CLASS",$R38,$S38)))</f>
        <v>1112</v>
      </c>
      <c r="AG38">
        <f>IF($A38="","",IF(Allocation!$N$1="VOL_EFF",$Q38,IF(Allocation!$N$1="VOL_CLASS",$R38,$S38)))</f>
        <v>1112</v>
      </c>
      <c r="AH38">
        <f>IF($A38="","",IF(Allocation!$N$1="VOL_EFF",$T38,IF(Allocation!$N$1="VOL_CLASS",$U38,$V38)))</f>
        <v>2773</v>
      </c>
      <c r="AI38">
        <f t="shared" si="12"/>
        <v>22504.851063829788</v>
      </c>
      <c r="AJ38">
        <f t="shared" si="13"/>
        <v>53940.942978723397</v>
      </c>
      <c r="AK38">
        <f t="shared" si="14"/>
        <v>19433.919847328245</v>
      </c>
      <c r="AL38">
        <f t="shared" si="15"/>
        <v>123506.72333333333</v>
      </c>
      <c r="AM38">
        <f t="shared" si="16"/>
        <v>41561.155427335012</v>
      </c>
      <c r="AN38">
        <f t="shared" si="17"/>
        <v>87922.679451565607</v>
      </c>
      <c r="AO38">
        <f>IF($A38="","",Allocation!CJ38)</f>
        <v>499926</v>
      </c>
      <c r="AP38">
        <f>IF($A38="","",IF(Allocation!$N$2="VOL_EFF",$Q38,IF(Allocation!$N$2="VOL_CLASS",$R38,$S38)))</f>
        <v>8517270</v>
      </c>
      <c r="AQ38">
        <f>IF($A38="","",IF(Allocation!$N$2="VOL_EFF",$T38,IF(Allocation!$N$2="VOL_CLASS",$U38,$V38)))</f>
        <v>20567210</v>
      </c>
      <c r="AR38">
        <f t="shared" si="18"/>
        <v>8129.727897884598</v>
      </c>
      <c r="AS38" t="str">
        <f>IF($A38="","",$A38&amp;"|"&amp;Allocation!BG38)</f>
        <v>2024|ACT</v>
      </c>
    </row>
    <row r="39" spans="1:45" x14ac:dyDescent="0.45">
      <c r="A39" t="str">
        <f>IF(Allocation!BI39="","",Allocation!BI39)</f>
        <v>2024</v>
      </c>
      <c r="B39" t="str">
        <f>IF(Allocation!BJ39="","",Allocation!BJ39)</f>
        <v>MBWAY_NAN</v>
      </c>
      <c r="C39" t="str">
        <f>IF(Allocation!BK39="","",Allocation!BK39)</f>
        <v>MBWAY</v>
      </c>
      <c r="D39" t="str">
        <f>IF(Allocation!BL39="","",Allocation!BL39)</f>
        <v>MAS_MGT</v>
      </c>
      <c r="E39" t="str">
        <f>IF(Allocation!BM39="","",Allocation!BM39)</f>
        <v>M1</v>
      </c>
      <c r="F39" t="str">
        <f>IF(Allocation!BN39="","",Allocation!BN39)</f>
        <v>ALT</v>
      </c>
      <c r="G39">
        <f>IF(Allocation!BO39="","",Allocation!BO39)</f>
        <v>53</v>
      </c>
      <c r="H39">
        <f>IF(Allocation!BP39="","",Allocation!BP39)</f>
        <v>3</v>
      </c>
      <c r="I39">
        <f>IF(Allocation!BQ39="","",Allocation!BQ39)</f>
        <v>402270</v>
      </c>
      <c r="J39">
        <f>IF(Allocation!CC39="","",Allocation!CC39)</f>
        <v>53</v>
      </c>
      <c r="K39">
        <f t="shared" si="0"/>
        <v>1260</v>
      </c>
      <c r="L39">
        <f t="shared" si="1"/>
        <v>262</v>
      </c>
      <c r="M39">
        <f t="shared" si="2"/>
        <v>12</v>
      </c>
      <c r="N39">
        <f t="shared" si="3"/>
        <v>1923040</v>
      </c>
      <c r="O39">
        <f t="shared" si="4"/>
        <v>5640</v>
      </c>
      <c r="P39">
        <f t="shared" si="5"/>
        <v>106</v>
      </c>
      <c r="Q39">
        <f t="shared" si="6"/>
        <v>1112</v>
      </c>
      <c r="R39">
        <f t="shared" si="7"/>
        <v>50</v>
      </c>
      <c r="S39">
        <f t="shared" si="8"/>
        <v>8517270</v>
      </c>
      <c r="T39">
        <f t="shared" si="9"/>
        <v>2773</v>
      </c>
      <c r="U39">
        <f t="shared" si="10"/>
        <v>135</v>
      </c>
      <c r="V39">
        <f t="shared" si="11"/>
        <v>20567210</v>
      </c>
      <c r="W39">
        <f>IF($A39="","",Allocation!CD39)</f>
        <v>132216</v>
      </c>
      <c r="X39">
        <f>IF($A39="","",Allocation!CE39)</f>
        <v>316903.03999999998</v>
      </c>
      <c r="Y39">
        <f>IF($A39="","",Allocation!CF39)</f>
        <v>99837</v>
      </c>
      <c r="Z39">
        <f>IF($A39="","",Allocation!CG39)</f>
        <v>26060</v>
      </c>
      <c r="AA39">
        <f>IF($A39="","",Allocation!CH39)</f>
        <v>741040.34</v>
      </c>
      <c r="AB39">
        <f>IF($A39="","",Allocation!CI39)</f>
        <v>2639292</v>
      </c>
      <c r="AC39">
        <f>IF($A39="","",IF(Allocation!$N$4="VOL_EFF",$G39,IF(Allocation!$N$4="VOL_CLASS",$H39,$I39)))</f>
        <v>3</v>
      </c>
      <c r="AD39">
        <f>IF($A39="","",IF(Allocation!$N$4="VOL_EFF",$L39,IF(Allocation!$N$4="VOL_CLASS",$M39,$N39)))</f>
        <v>12</v>
      </c>
      <c r="AE39">
        <f>IF($A39="","",IF(Allocation!$N$3="VOL_EFF",$L39,IF(Allocation!$N$3="VOL_CLASS",$M39,$N39)))</f>
        <v>262</v>
      </c>
      <c r="AF39">
        <f>IF($A39="","",IF(Allocation!$N$3="VOL_EFF",$Q39,IF(Allocation!$N$3="VOL_CLASS",$R39,$S39)))</f>
        <v>1112</v>
      </c>
      <c r="AG39">
        <f>IF($A39="","",IF(Allocation!$N$1="VOL_EFF",$Q39,IF(Allocation!$N$1="VOL_CLASS",$R39,$S39)))</f>
        <v>1112</v>
      </c>
      <c r="AH39">
        <f>IF($A39="","",IF(Allocation!$N$1="VOL_EFF",$T39,IF(Allocation!$N$1="VOL_CLASS",$U39,$V39)))</f>
        <v>2773</v>
      </c>
      <c r="AI39">
        <f t="shared" si="12"/>
        <v>29537.617021276594</v>
      </c>
      <c r="AJ39">
        <f t="shared" si="13"/>
        <v>70797.487659574457</v>
      </c>
      <c r="AK39">
        <f t="shared" si="14"/>
        <v>33226.034351145034</v>
      </c>
      <c r="AL39">
        <f t="shared" si="15"/>
        <v>185260.08499999999</v>
      </c>
      <c r="AM39">
        <f t="shared" si="16"/>
        <v>62341.733141002522</v>
      </c>
      <c r="AN39">
        <f t="shared" si="17"/>
        <v>8912.4509801744716</v>
      </c>
      <c r="AO39">
        <f>IF($A39="","",Allocation!CJ39)</f>
        <v>499926</v>
      </c>
      <c r="AP39">
        <f>IF($A39="","",IF(Allocation!$N$2="VOL_EFF",$Q39,IF(Allocation!$N$2="VOL_CLASS",$R39,$S39)))</f>
        <v>8517270</v>
      </c>
      <c r="AQ39">
        <f>IF($A39="","",IF(Allocation!$N$2="VOL_EFF",$T39,IF(Allocation!$N$2="VOL_CLASS",$U39,$V39)))</f>
        <v>20567210</v>
      </c>
      <c r="AR39">
        <f t="shared" si="18"/>
        <v>12194.591846826897</v>
      </c>
      <c r="AS39" t="str">
        <f>IF($A39="","",$A39&amp;"|"&amp;Allocation!BG39)</f>
        <v>2024|ACT</v>
      </c>
    </row>
    <row r="40" spans="1:45" x14ac:dyDescent="0.45">
      <c r="A40" t="str">
        <f>IF(Allocation!BI40="","",Allocation!BI40)</f>
        <v>2024</v>
      </c>
      <c r="B40" t="str">
        <f>IF(Allocation!BJ40="","",Allocation!BJ40)</f>
        <v>MBWAY_NAN</v>
      </c>
      <c r="C40" t="str">
        <f>IF(Allocation!BK40="","",Allocation!BK40)</f>
        <v>MBWAY</v>
      </c>
      <c r="D40" t="str">
        <f>IF(Allocation!BL40="","",Allocation!BL40)</f>
        <v>MAS_MGT</v>
      </c>
      <c r="E40" t="str">
        <f>IF(Allocation!BM40="","",Allocation!BM40)</f>
        <v>M2</v>
      </c>
      <c r="F40" t="str">
        <f>IF(Allocation!BN40="","",Allocation!BN40)</f>
        <v>ALT</v>
      </c>
      <c r="G40">
        <f>IF(Allocation!BO40="","",Allocation!BO40)</f>
        <v>53</v>
      </c>
      <c r="H40">
        <f>IF(Allocation!BP40="","",Allocation!BP40)</f>
        <v>3</v>
      </c>
      <c r="I40">
        <f>IF(Allocation!BQ40="","",Allocation!BQ40)</f>
        <v>397500</v>
      </c>
      <c r="J40">
        <f>IF(Allocation!CC40="","",Allocation!CC40)</f>
        <v>0</v>
      </c>
      <c r="K40">
        <f t="shared" si="0"/>
        <v>1260</v>
      </c>
      <c r="L40">
        <f t="shared" si="1"/>
        <v>262</v>
      </c>
      <c r="M40">
        <f t="shared" si="2"/>
        <v>12</v>
      </c>
      <c r="N40">
        <f t="shared" si="3"/>
        <v>1923040</v>
      </c>
      <c r="O40">
        <f t="shared" si="4"/>
        <v>5640</v>
      </c>
      <c r="P40">
        <f t="shared" si="5"/>
        <v>106</v>
      </c>
      <c r="Q40">
        <f t="shared" si="6"/>
        <v>1112</v>
      </c>
      <c r="R40">
        <f t="shared" si="7"/>
        <v>50</v>
      </c>
      <c r="S40">
        <f t="shared" si="8"/>
        <v>8517270</v>
      </c>
      <c r="T40">
        <f t="shared" si="9"/>
        <v>2773</v>
      </c>
      <c r="U40">
        <f t="shared" si="10"/>
        <v>135</v>
      </c>
      <c r="V40">
        <f t="shared" si="11"/>
        <v>20567210</v>
      </c>
      <c r="W40">
        <f>IF($A40="","",Allocation!CD40)</f>
        <v>132216</v>
      </c>
      <c r="X40">
        <f>IF($A40="","",Allocation!CE40)</f>
        <v>316903.03999999998</v>
      </c>
      <c r="Y40">
        <f>IF($A40="","",Allocation!CF40)</f>
        <v>99837</v>
      </c>
      <c r="Z40">
        <f>IF($A40="","",Allocation!CG40)</f>
        <v>26060</v>
      </c>
      <c r="AA40">
        <f>IF($A40="","",Allocation!CH40)</f>
        <v>741040.34</v>
      </c>
      <c r="AB40">
        <f>IF($A40="","",Allocation!CI40)</f>
        <v>2639292</v>
      </c>
      <c r="AC40">
        <f>IF($A40="","",IF(Allocation!$N$4="VOL_EFF",$G40,IF(Allocation!$N$4="VOL_CLASS",$H40,$I40)))</f>
        <v>3</v>
      </c>
      <c r="AD40">
        <f>IF($A40="","",IF(Allocation!$N$4="VOL_EFF",$L40,IF(Allocation!$N$4="VOL_CLASS",$M40,$N40)))</f>
        <v>12</v>
      </c>
      <c r="AE40">
        <f>IF($A40="","",IF(Allocation!$N$3="VOL_EFF",$L40,IF(Allocation!$N$3="VOL_CLASS",$M40,$N40)))</f>
        <v>262</v>
      </c>
      <c r="AF40">
        <f>IF($A40="","",IF(Allocation!$N$3="VOL_EFF",$Q40,IF(Allocation!$N$3="VOL_CLASS",$R40,$S40)))</f>
        <v>1112</v>
      </c>
      <c r="AG40">
        <f>IF($A40="","",IF(Allocation!$N$1="VOL_EFF",$Q40,IF(Allocation!$N$1="VOL_CLASS",$R40,$S40)))</f>
        <v>1112</v>
      </c>
      <c r="AH40">
        <f>IF($A40="","",IF(Allocation!$N$1="VOL_EFF",$T40,IF(Allocation!$N$1="VOL_CLASS",$U40,$V40)))</f>
        <v>2773</v>
      </c>
      <c r="AI40">
        <f t="shared" si="12"/>
        <v>29537.617021276594</v>
      </c>
      <c r="AJ40">
        <f t="shared" si="13"/>
        <v>70797.487659574457</v>
      </c>
      <c r="AK40">
        <f t="shared" si="14"/>
        <v>20196.034351145037</v>
      </c>
      <c r="AL40">
        <f t="shared" si="15"/>
        <v>185260.08499999999</v>
      </c>
      <c r="AM40">
        <f t="shared" si="16"/>
        <v>62341.733141002522</v>
      </c>
      <c r="AN40">
        <f t="shared" si="17"/>
        <v>17172.450980174472</v>
      </c>
      <c r="AO40">
        <f>IF($A40="","",Allocation!CJ40)</f>
        <v>499926</v>
      </c>
      <c r="AP40">
        <f>IF($A40="","",IF(Allocation!$N$2="VOL_EFF",$Q40,IF(Allocation!$N$2="VOL_CLASS",$R40,$S40)))</f>
        <v>8517270</v>
      </c>
      <c r="AQ40">
        <f>IF($A40="","",IF(Allocation!$N$2="VOL_EFF",$T40,IF(Allocation!$N$2="VOL_CLASS",$U40,$V40)))</f>
        <v>20567210</v>
      </c>
      <c r="AR40">
        <f t="shared" si="18"/>
        <v>12194.591846826897</v>
      </c>
      <c r="AS40" t="str">
        <f>IF($A40="","",$A40&amp;"|"&amp;Allocation!BG40)</f>
        <v>2024|ACT</v>
      </c>
    </row>
    <row r="41" spans="1:45" x14ac:dyDescent="0.45">
      <c r="A41" t="str">
        <f>IF(Allocation!BI41="","",Allocation!BI41)</f>
        <v>2024</v>
      </c>
      <c r="B41" t="str">
        <f>IF(Allocation!BJ41="","",Allocation!BJ41)</f>
        <v>MBWAY_PAR</v>
      </c>
      <c r="C41" t="str">
        <f>IF(Allocation!BK41="","",Allocation!BK41)</f>
        <v>MBWAY</v>
      </c>
      <c r="D41" t="str">
        <f>IF(Allocation!BL41="","",Allocation!BL41)</f>
        <v>BAC_MGT</v>
      </c>
      <c r="E41" t="str">
        <f>IF(Allocation!BM41="","",Allocation!BM41)</f>
        <v>B1</v>
      </c>
      <c r="F41" t="str">
        <f>IF(Allocation!BN41="","",Allocation!BN41)</f>
        <v>INIT</v>
      </c>
      <c r="G41">
        <f>IF(Allocation!BO41="","",Allocation!BO41)</f>
        <v>69</v>
      </c>
      <c r="H41">
        <f>IF(Allocation!BP41="","",Allocation!BP41)</f>
        <v>3</v>
      </c>
      <c r="I41">
        <f>IF(Allocation!BQ41="","",Allocation!BQ41)</f>
        <v>585810</v>
      </c>
      <c r="J41">
        <f>IF(Allocation!CC41="","",Allocation!CC41)</f>
        <v>69</v>
      </c>
      <c r="K41">
        <f t="shared" si="0"/>
        <v>1800</v>
      </c>
      <c r="L41">
        <f t="shared" si="1"/>
        <v>340</v>
      </c>
      <c r="M41">
        <f t="shared" si="2"/>
        <v>15</v>
      </c>
      <c r="N41">
        <f t="shared" si="3"/>
        <v>2793380</v>
      </c>
      <c r="O41">
        <f t="shared" si="4"/>
        <v>7200</v>
      </c>
      <c r="P41">
        <f t="shared" si="5"/>
        <v>138</v>
      </c>
      <c r="Q41">
        <f t="shared" si="6"/>
        <v>1112</v>
      </c>
      <c r="R41">
        <f t="shared" si="7"/>
        <v>50</v>
      </c>
      <c r="S41">
        <f t="shared" si="8"/>
        <v>8517270</v>
      </c>
      <c r="T41">
        <f t="shared" si="9"/>
        <v>2773</v>
      </c>
      <c r="U41">
        <f t="shared" si="10"/>
        <v>135</v>
      </c>
      <c r="V41">
        <f t="shared" si="11"/>
        <v>20567210</v>
      </c>
      <c r="W41">
        <f>IF($A41="","",Allocation!CD41)</f>
        <v>165271</v>
      </c>
      <c r="X41">
        <f>IF($A41="","",Allocation!CE41)</f>
        <v>461593.76</v>
      </c>
      <c r="Y41">
        <f>IF($A41="","",Allocation!CF41)</f>
        <v>129720</v>
      </c>
      <c r="Z41">
        <f>IF($A41="","",Allocation!CG41)</f>
        <v>56438</v>
      </c>
      <c r="AA41">
        <f>IF($A41="","",Allocation!CH41)</f>
        <v>1108043.31</v>
      </c>
      <c r="AB41">
        <f>IF($A41="","",Allocation!CI41)</f>
        <v>2639292</v>
      </c>
      <c r="AC41">
        <f>IF($A41="","",IF(Allocation!$N$4="VOL_EFF",$G41,IF(Allocation!$N$4="VOL_CLASS",$H41,$I41)))</f>
        <v>3</v>
      </c>
      <c r="AD41">
        <f>IF($A41="","",IF(Allocation!$N$4="VOL_EFF",$L41,IF(Allocation!$N$4="VOL_CLASS",$M41,$N41)))</f>
        <v>15</v>
      </c>
      <c r="AE41">
        <f>IF($A41="","",IF(Allocation!$N$3="VOL_EFF",$L41,IF(Allocation!$N$3="VOL_CLASS",$M41,$N41)))</f>
        <v>340</v>
      </c>
      <c r="AF41">
        <f>IF($A41="","",IF(Allocation!$N$3="VOL_EFF",$Q41,IF(Allocation!$N$3="VOL_CLASS",$R41,$S41)))</f>
        <v>1112</v>
      </c>
      <c r="AG41">
        <f>IF($A41="","",IF(Allocation!$N$1="VOL_EFF",$Q41,IF(Allocation!$N$1="VOL_CLASS",$R41,$S41)))</f>
        <v>1112</v>
      </c>
      <c r="AH41">
        <f>IF($A41="","",IF(Allocation!$N$1="VOL_EFF",$T41,IF(Allocation!$N$1="VOL_CLASS",$U41,$V41)))</f>
        <v>2773</v>
      </c>
      <c r="AI41">
        <f t="shared" si="12"/>
        <v>41317.75</v>
      </c>
      <c r="AJ41">
        <f t="shared" si="13"/>
        <v>115398.44</v>
      </c>
      <c r="AK41">
        <f t="shared" si="14"/>
        <v>54544.529411764706</v>
      </c>
      <c r="AL41">
        <f t="shared" si="15"/>
        <v>221608.66200000001</v>
      </c>
      <c r="AM41">
        <f t="shared" si="16"/>
        <v>64721.188604399562</v>
      </c>
      <c r="AN41">
        <f t="shared" si="17"/>
        <v>75559.395700107038</v>
      </c>
      <c r="AO41">
        <f>IF($A41="","",Allocation!CJ41)</f>
        <v>499926</v>
      </c>
      <c r="AP41">
        <f>IF($A41="","",IF(Allocation!$N$2="VOL_EFF",$Q41,IF(Allocation!$N$2="VOL_CLASS",$R41,$S41)))</f>
        <v>8517270</v>
      </c>
      <c r="AQ41">
        <f>IF($A41="","",IF(Allocation!$N$2="VOL_EFF",$T41,IF(Allocation!$N$2="VOL_CLASS",$U41,$V41)))</f>
        <v>20567210</v>
      </c>
      <c r="AR41">
        <f t="shared" si="18"/>
        <v>12660.034283728688</v>
      </c>
      <c r="AS41" t="str">
        <f>IF($A41="","",$A41&amp;"|"&amp;Allocation!BG41)</f>
        <v>2024|ACT</v>
      </c>
    </row>
    <row r="42" spans="1:45" x14ac:dyDescent="0.45">
      <c r="A42" t="str">
        <f>IF(Allocation!BI42="","",Allocation!BI42)</f>
        <v>2024</v>
      </c>
      <c r="B42" t="str">
        <f>IF(Allocation!BJ42="","",Allocation!BJ42)</f>
        <v>MBWAY_PAR</v>
      </c>
      <c r="C42" t="str">
        <f>IF(Allocation!BK42="","",Allocation!BK42)</f>
        <v>MBWAY</v>
      </c>
      <c r="D42" t="str">
        <f>IF(Allocation!BL42="","",Allocation!BL42)</f>
        <v>BAC_MGT</v>
      </c>
      <c r="E42" t="str">
        <f>IF(Allocation!BM42="","",Allocation!BM42)</f>
        <v>B2</v>
      </c>
      <c r="F42" t="str">
        <f>IF(Allocation!BN42="","",Allocation!BN42)</f>
        <v>ALT</v>
      </c>
      <c r="G42">
        <f>IF(Allocation!BO42="","",Allocation!BO42)</f>
        <v>68</v>
      </c>
      <c r="H42">
        <f>IF(Allocation!BP42="","",Allocation!BP42)</f>
        <v>3</v>
      </c>
      <c r="I42">
        <f>IF(Allocation!BQ42="","",Allocation!BQ42)</f>
        <v>533120</v>
      </c>
      <c r="J42">
        <f>IF(Allocation!CC42="","",Allocation!CC42)</f>
        <v>0</v>
      </c>
      <c r="K42">
        <f t="shared" si="0"/>
        <v>1440</v>
      </c>
      <c r="L42">
        <f t="shared" si="1"/>
        <v>340</v>
      </c>
      <c r="M42">
        <f t="shared" si="2"/>
        <v>15</v>
      </c>
      <c r="N42">
        <f t="shared" si="3"/>
        <v>2793380</v>
      </c>
      <c r="O42">
        <f t="shared" si="4"/>
        <v>7200</v>
      </c>
      <c r="P42">
        <f t="shared" si="5"/>
        <v>138</v>
      </c>
      <c r="Q42">
        <f t="shared" si="6"/>
        <v>1112</v>
      </c>
      <c r="R42">
        <f t="shared" si="7"/>
        <v>50</v>
      </c>
      <c r="S42">
        <f t="shared" si="8"/>
        <v>8517270</v>
      </c>
      <c r="T42">
        <f t="shared" si="9"/>
        <v>2773</v>
      </c>
      <c r="U42">
        <f t="shared" si="10"/>
        <v>135</v>
      </c>
      <c r="V42">
        <f t="shared" si="11"/>
        <v>20567210</v>
      </c>
      <c r="W42">
        <f>IF($A42="","",Allocation!CD42)</f>
        <v>165271</v>
      </c>
      <c r="X42">
        <f>IF($A42="","",Allocation!CE42)</f>
        <v>461593.76</v>
      </c>
      <c r="Y42">
        <f>IF($A42="","",Allocation!CF42)</f>
        <v>129720</v>
      </c>
      <c r="Z42">
        <f>IF($A42="","",Allocation!CG42)</f>
        <v>56438</v>
      </c>
      <c r="AA42">
        <f>IF($A42="","",Allocation!CH42)</f>
        <v>1108043.31</v>
      </c>
      <c r="AB42">
        <f>IF($A42="","",Allocation!CI42)</f>
        <v>2639292</v>
      </c>
      <c r="AC42">
        <f>IF($A42="","",IF(Allocation!$N$4="VOL_EFF",$G42,IF(Allocation!$N$4="VOL_CLASS",$H42,$I42)))</f>
        <v>3</v>
      </c>
      <c r="AD42">
        <f>IF($A42="","",IF(Allocation!$N$4="VOL_EFF",$L42,IF(Allocation!$N$4="VOL_CLASS",$M42,$N42)))</f>
        <v>15</v>
      </c>
      <c r="AE42">
        <f>IF($A42="","",IF(Allocation!$N$3="VOL_EFF",$L42,IF(Allocation!$N$3="VOL_CLASS",$M42,$N42)))</f>
        <v>340</v>
      </c>
      <c r="AF42">
        <f>IF($A42="","",IF(Allocation!$N$3="VOL_EFF",$Q42,IF(Allocation!$N$3="VOL_CLASS",$R42,$S42)))</f>
        <v>1112</v>
      </c>
      <c r="AG42">
        <f>IF($A42="","",IF(Allocation!$N$1="VOL_EFF",$Q42,IF(Allocation!$N$1="VOL_CLASS",$R42,$S42)))</f>
        <v>1112</v>
      </c>
      <c r="AH42">
        <f>IF($A42="","",IF(Allocation!$N$1="VOL_EFF",$T42,IF(Allocation!$N$1="VOL_CLASS",$U42,$V42)))</f>
        <v>2773</v>
      </c>
      <c r="AI42">
        <f t="shared" si="12"/>
        <v>33054.200000000004</v>
      </c>
      <c r="AJ42">
        <f t="shared" si="13"/>
        <v>92318.752000000008</v>
      </c>
      <c r="AK42">
        <f t="shared" si="14"/>
        <v>25944</v>
      </c>
      <c r="AL42">
        <f t="shared" si="15"/>
        <v>221608.66200000001</v>
      </c>
      <c r="AM42">
        <f t="shared" si="16"/>
        <v>64721.188604399562</v>
      </c>
      <c r="AN42">
        <f t="shared" si="17"/>
        <v>82813.16311187169</v>
      </c>
      <c r="AO42">
        <f>IF($A42="","",Allocation!CJ42)</f>
        <v>499926</v>
      </c>
      <c r="AP42">
        <f>IF($A42="","",IF(Allocation!$N$2="VOL_EFF",$Q42,IF(Allocation!$N$2="VOL_CLASS",$R42,$S42)))</f>
        <v>8517270</v>
      </c>
      <c r="AQ42">
        <f>IF($A42="","",IF(Allocation!$N$2="VOL_EFF",$T42,IF(Allocation!$N$2="VOL_CLASS",$U42,$V42)))</f>
        <v>20567210</v>
      </c>
      <c r="AR42">
        <f t="shared" si="18"/>
        <v>12660.034283728688</v>
      </c>
      <c r="AS42" t="str">
        <f>IF($A42="","",$A42&amp;"|"&amp;Allocation!BG42)</f>
        <v>2024|ACT</v>
      </c>
    </row>
    <row r="43" spans="1:45" x14ac:dyDescent="0.45">
      <c r="A43" t="str">
        <f>IF(Allocation!BI43="","",Allocation!BI43)</f>
        <v>2024</v>
      </c>
      <c r="B43" t="str">
        <f>IF(Allocation!BJ43="","",Allocation!BJ43)</f>
        <v>MBWAY_PAR</v>
      </c>
      <c r="C43" t="str">
        <f>IF(Allocation!BK43="","",Allocation!BK43)</f>
        <v>MBWAY</v>
      </c>
      <c r="D43" t="str">
        <f>IF(Allocation!BL43="","",Allocation!BL43)</f>
        <v>BAC_MGT</v>
      </c>
      <c r="E43" t="str">
        <f>IF(Allocation!BM43="","",Allocation!BM43)</f>
        <v>B3</v>
      </c>
      <c r="F43" t="str">
        <f>IF(Allocation!BN43="","",Allocation!BN43)</f>
        <v>ALT</v>
      </c>
      <c r="G43">
        <f>IF(Allocation!BO43="","",Allocation!BO43)</f>
        <v>66</v>
      </c>
      <c r="H43">
        <f>IF(Allocation!BP43="","",Allocation!BP43)</f>
        <v>3</v>
      </c>
      <c r="I43">
        <f>IF(Allocation!BQ43="","",Allocation!BQ43)</f>
        <v>517440</v>
      </c>
      <c r="J43">
        <f>IF(Allocation!CC43="","",Allocation!CC43)</f>
        <v>0</v>
      </c>
      <c r="K43">
        <f t="shared" si="0"/>
        <v>1440</v>
      </c>
      <c r="L43">
        <f t="shared" si="1"/>
        <v>340</v>
      </c>
      <c r="M43">
        <f t="shared" si="2"/>
        <v>15</v>
      </c>
      <c r="N43">
        <f t="shared" si="3"/>
        <v>2793380</v>
      </c>
      <c r="O43">
        <f t="shared" si="4"/>
        <v>7200</v>
      </c>
      <c r="P43">
        <f t="shared" si="5"/>
        <v>138</v>
      </c>
      <c r="Q43">
        <f t="shared" si="6"/>
        <v>1112</v>
      </c>
      <c r="R43">
        <f t="shared" si="7"/>
        <v>50</v>
      </c>
      <c r="S43">
        <f t="shared" si="8"/>
        <v>8517270</v>
      </c>
      <c r="T43">
        <f t="shared" si="9"/>
        <v>2773</v>
      </c>
      <c r="U43">
        <f t="shared" si="10"/>
        <v>135</v>
      </c>
      <c r="V43">
        <f t="shared" si="11"/>
        <v>20567210</v>
      </c>
      <c r="W43">
        <f>IF($A43="","",Allocation!CD43)</f>
        <v>165271</v>
      </c>
      <c r="X43">
        <f>IF($A43="","",Allocation!CE43)</f>
        <v>461593.76</v>
      </c>
      <c r="Y43">
        <f>IF($A43="","",Allocation!CF43)</f>
        <v>129720</v>
      </c>
      <c r="Z43">
        <f>IF($A43="","",Allocation!CG43)</f>
        <v>56438</v>
      </c>
      <c r="AA43">
        <f>IF($A43="","",Allocation!CH43)</f>
        <v>1108043.31</v>
      </c>
      <c r="AB43">
        <f>IF($A43="","",Allocation!CI43)</f>
        <v>2639292</v>
      </c>
      <c r="AC43">
        <f>IF($A43="","",IF(Allocation!$N$4="VOL_EFF",$G43,IF(Allocation!$N$4="VOL_CLASS",$H43,$I43)))</f>
        <v>3</v>
      </c>
      <c r="AD43">
        <f>IF($A43="","",IF(Allocation!$N$4="VOL_EFF",$L43,IF(Allocation!$N$4="VOL_CLASS",$M43,$N43)))</f>
        <v>15</v>
      </c>
      <c r="AE43">
        <f>IF($A43="","",IF(Allocation!$N$3="VOL_EFF",$L43,IF(Allocation!$N$3="VOL_CLASS",$M43,$N43)))</f>
        <v>340</v>
      </c>
      <c r="AF43">
        <f>IF($A43="","",IF(Allocation!$N$3="VOL_EFF",$Q43,IF(Allocation!$N$3="VOL_CLASS",$R43,$S43)))</f>
        <v>1112</v>
      </c>
      <c r="AG43">
        <f>IF($A43="","",IF(Allocation!$N$1="VOL_EFF",$Q43,IF(Allocation!$N$1="VOL_CLASS",$R43,$S43)))</f>
        <v>1112</v>
      </c>
      <c r="AH43">
        <f>IF($A43="","",IF(Allocation!$N$1="VOL_EFF",$T43,IF(Allocation!$N$1="VOL_CLASS",$U43,$V43)))</f>
        <v>2773</v>
      </c>
      <c r="AI43">
        <f t="shared" si="12"/>
        <v>33054.200000000004</v>
      </c>
      <c r="AJ43">
        <f t="shared" si="13"/>
        <v>92318.752000000008</v>
      </c>
      <c r="AK43">
        <f t="shared" si="14"/>
        <v>25180.941176470587</v>
      </c>
      <c r="AL43">
        <f t="shared" si="15"/>
        <v>221608.66200000001</v>
      </c>
      <c r="AM43">
        <f t="shared" si="16"/>
        <v>64721.188604399562</v>
      </c>
      <c r="AN43">
        <f t="shared" si="17"/>
        <v>67896.221935401147</v>
      </c>
      <c r="AO43">
        <f>IF($A43="","",Allocation!CJ43)</f>
        <v>499926</v>
      </c>
      <c r="AP43">
        <f>IF($A43="","",IF(Allocation!$N$2="VOL_EFF",$Q43,IF(Allocation!$N$2="VOL_CLASS",$R43,$S43)))</f>
        <v>8517270</v>
      </c>
      <c r="AQ43">
        <f>IF($A43="","",IF(Allocation!$N$2="VOL_EFF",$T43,IF(Allocation!$N$2="VOL_CLASS",$U43,$V43)))</f>
        <v>20567210</v>
      </c>
      <c r="AR43">
        <f t="shared" si="18"/>
        <v>12660.034283728688</v>
      </c>
      <c r="AS43" t="str">
        <f>IF($A43="","",$A43&amp;"|"&amp;Allocation!BG43)</f>
        <v>2024|ACT</v>
      </c>
    </row>
    <row r="44" spans="1:45" x14ac:dyDescent="0.45">
      <c r="A44" t="str">
        <f>IF(Allocation!BI44="","",Allocation!BI44)</f>
        <v>2024</v>
      </c>
      <c r="B44" t="str">
        <f>IF(Allocation!BJ44="","",Allocation!BJ44)</f>
        <v>MBWAY_PAR</v>
      </c>
      <c r="C44" t="str">
        <f>IF(Allocation!BK44="","",Allocation!BK44)</f>
        <v>MBWAY</v>
      </c>
      <c r="D44" t="str">
        <f>IF(Allocation!BL44="","",Allocation!BL44)</f>
        <v>MAS_MGT</v>
      </c>
      <c r="E44" t="str">
        <f>IF(Allocation!BM44="","",Allocation!BM44)</f>
        <v>M1</v>
      </c>
      <c r="F44" t="str">
        <f>IF(Allocation!BN44="","",Allocation!BN44)</f>
        <v>ALT</v>
      </c>
      <c r="G44">
        <f>IF(Allocation!BO44="","",Allocation!BO44)</f>
        <v>69</v>
      </c>
      <c r="H44">
        <f>IF(Allocation!BP44="","",Allocation!BP44)</f>
        <v>3</v>
      </c>
      <c r="I44">
        <f>IF(Allocation!BQ44="","",Allocation!BQ44)</f>
        <v>585810</v>
      </c>
      <c r="J44">
        <f>IF(Allocation!CC44="","",Allocation!CC44)</f>
        <v>69</v>
      </c>
      <c r="K44">
        <f t="shared" si="0"/>
        <v>1260</v>
      </c>
      <c r="L44">
        <f t="shared" si="1"/>
        <v>340</v>
      </c>
      <c r="M44">
        <f t="shared" si="2"/>
        <v>15</v>
      </c>
      <c r="N44">
        <f t="shared" si="3"/>
        <v>2793380</v>
      </c>
      <c r="O44">
        <f t="shared" si="4"/>
        <v>7200</v>
      </c>
      <c r="P44">
        <f t="shared" si="5"/>
        <v>138</v>
      </c>
      <c r="Q44">
        <f t="shared" si="6"/>
        <v>1112</v>
      </c>
      <c r="R44">
        <f t="shared" si="7"/>
        <v>50</v>
      </c>
      <c r="S44">
        <f t="shared" si="8"/>
        <v>8517270</v>
      </c>
      <c r="T44">
        <f t="shared" si="9"/>
        <v>2773</v>
      </c>
      <c r="U44">
        <f t="shared" si="10"/>
        <v>135</v>
      </c>
      <c r="V44">
        <f t="shared" si="11"/>
        <v>20567210</v>
      </c>
      <c r="W44">
        <f>IF($A44="","",Allocation!CD44)</f>
        <v>165271</v>
      </c>
      <c r="X44">
        <f>IF($A44="","",Allocation!CE44)</f>
        <v>461593.76</v>
      </c>
      <c r="Y44">
        <f>IF($A44="","",Allocation!CF44)</f>
        <v>129720</v>
      </c>
      <c r="Z44">
        <f>IF($A44="","",Allocation!CG44)</f>
        <v>56438</v>
      </c>
      <c r="AA44">
        <f>IF($A44="","",Allocation!CH44)</f>
        <v>1108043.31</v>
      </c>
      <c r="AB44">
        <f>IF($A44="","",Allocation!CI44)</f>
        <v>2639292</v>
      </c>
      <c r="AC44">
        <f>IF($A44="","",IF(Allocation!$N$4="VOL_EFF",$G44,IF(Allocation!$N$4="VOL_CLASS",$H44,$I44)))</f>
        <v>3</v>
      </c>
      <c r="AD44">
        <f>IF($A44="","",IF(Allocation!$N$4="VOL_EFF",$L44,IF(Allocation!$N$4="VOL_CLASS",$M44,$N44)))</f>
        <v>15</v>
      </c>
      <c r="AE44">
        <f>IF($A44="","",IF(Allocation!$N$3="VOL_EFF",$L44,IF(Allocation!$N$3="VOL_CLASS",$M44,$N44)))</f>
        <v>340</v>
      </c>
      <c r="AF44">
        <f>IF($A44="","",IF(Allocation!$N$3="VOL_EFF",$Q44,IF(Allocation!$N$3="VOL_CLASS",$R44,$S44)))</f>
        <v>1112</v>
      </c>
      <c r="AG44">
        <f>IF($A44="","",IF(Allocation!$N$1="VOL_EFF",$Q44,IF(Allocation!$N$1="VOL_CLASS",$R44,$S44)))</f>
        <v>1112</v>
      </c>
      <c r="AH44">
        <f>IF($A44="","",IF(Allocation!$N$1="VOL_EFF",$T44,IF(Allocation!$N$1="VOL_CLASS",$U44,$V44)))</f>
        <v>2773</v>
      </c>
      <c r="AI44">
        <f t="shared" si="12"/>
        <v>28922.424999999999</v>
      </c>
      <c r="AJ44">
        <f t="shared" si="13"/>
        <v>80778.907999999996</v>
      </c>
      <c r="AK44">
        <f t="shared" si="14"/>
        <v>54544.529411764706</v>
      </c>
      <c r="AL44">
        <f t="shared" si="15"/>
        <v>221608.66200000001</v>
      </c>
      <c r="AM44">
        <f t="shared" si="16"/>
        <v>64721.188604399562</v>
      </c>
      <c r="AN44">
        <f t="shared" si="17"/>
        <v>122574.25270010706</v>
      </c>
      <c r="AO44">
        <f>IF($A44="","",Allocation!CJ44)</f>
        <v>499926</v>
      </c>
      <c r="AP44">
        <f>IF($A44="","",IF(Allocation!$N$2="VOL_EFF",$Q44,IF(Allocation!$N$2="VOL_CLASS",$R44,$S44)))</f>
        <v>8517270</v>
      </c>
      <c r="AQ44">
        <f>IF($A44="","",IF(Allocation!$N$2="VOL_EFF",$T44,IF(Allocation!$N$2="VOL_CLASS",$U44,$V44)))</f>
        <v>20567210</v>
      </c>
      <c r="AR44">
        <f t="shared" si="18"/>
        <v>12660.034283728688</v>
      </c>
      <c r="AS44" t="str">
        <f>IF($A44="","",$A44&amp;"|"&amp;Allocation!BG44)</f>
        <v>2024|ACT</v>
      </c>
    </row>
    <row r="45" spans="1:45" x14ac:dyDescent="0.45">
      <c r="A45" t="str">
        <f>IF(Allocation!BI45="","",Allocation!BI45)</f>
        <v>2024</v>
      </c>
      <c r="B45" t="str">
        <f>IF(Allocation!BJ45="","",Allocation!BJ45)</f>
        <v>MBWAY_PAR</v>
      </c>
      <c r="C45" t="str">
        <f>IF(Allocation!BK45="","",Allocation!BK45)</f>
        <v>MBWAY</v>
      </c>
      <c r="D45" t="str">
        <f>IF(Allocation!BL45="","",Allocation!BL45)</f>
        <v>MAS_MGT</v>
      </c>
      <c r="E45" t="str">
        <f>IF(Allocation!BM45="","",Allocation!BM45)</f>
        <v>M2</v>
      </c>
      <c r="F45" t="str">
        <f>IF(Allocation!BN45="","",Allocation!BN45)</f>
        <v>ALT</v>
      </c>
      <c r="G45">
        <f>IF(Allocation!BO45="","",Allocation!BO45)</f>
        <v>68</v>
      </c>
      <c r="H45">
        <f>IF(Allocation!BP45="","",Allocation!BP45)</f>
        <v>3</v>
      </c>
      <c r="I45">
        <f>IF(Allocation!BQ45="","",Allocation!BQ45)</f>
        <v>571200</v>
      </c>
      <c r="J45">
        <f>IF(Allocation!CC45="","",Allocation!CC45)</f>
        <v>0</v>
      </c>
      <c r="K45">
        <f t="shared" si="0"/>
        <v>1260</v>
      </c>
      <c r="L45">
        <f t="shared" si="1"/>
        <v>340</v>
      </c>
      <c r="M45">
        <f t="shared" si="2"/>
        <v>15</v>
      </c>
      <c r="N45">
        <f t="shared" si="3"/>
        <v>2793380</v>
      </c>
      <c r="O45">
        <f t="shared" si="4"/>
        <v>7200</v>
      </c>
      <c r="P45">
        <f t="shared" si="5"/>
        <v>138</v>
      </c>
      <c r="Q45">
        <f t="shared" si="6"/>
        <v>1112</v>
      </c>
      <c r="R45">
        <f t="shared" si="7"/>
        <v>50</v>
      </c>
      <c r="S45">
        <f t="shared" si="8"/>
        <v>8517270</v>
      </c>
      <c r="T45">
        <f t="shared" si="9"/>
        <v>2773</v>
      </c>
      <c r="U45">
        <f t="shared" si="10"/>
        <v>135</v>
      </c>
      <c r="V45">
        <f t="shared" si="11"/>
        <v>20567210</v>
      </c>
      <c r="W45">
        <f>IF($A45="","",Allocation!CD45)</f>
        <v>165271</v>
      </c>
      <c r="X45">
        <f>IF($A45="","",Allocation!CE45)</f>
        <v>461593.76</v>
      </c>
      <c r="Y45">
        <f>IF($A45="","",Allocation!CF45)</f>
        <v>129720</v>
      </c>
      <c r="Z45">
        <f>IF($A45="","",Allocation!CG45)</f>
        <v>56438</v>
      </c>
      <c r="AA45">
        <f>IF($A45="","",Allocation!CH45)</f>
        <v>1108043.31</v>
      </c>
      <c r="AB45">
        <f>IF($A45="","",Allocation!CI45)</f>
        <v>2639292</v>
      </c>
      <c r="AC45">
        <f>IF($A45="","",IF(Allocation!$N$4="VOL_EFF",$G45,IF(Allocation!$N$4="VOL_CLASS",$H45,$I45)))</f>
        <v>3</v>
      </c>
      <c r="AD45">
        <f>IF($A45="","",IF(Allocation!$N$4="VOL_EFF",$L45,IF(Allocation!$N$4="VOL_CLASS",$M45,$N45)))</f>
        <v>15</v>
      </c>
      <c r="AE45">
        <f>IF($A45="","",IF(Allocation!$N$3="VOL_EFF",$L45,IF(Allocation!$N$3="VOL_CLASS",$M45,$N45)))</f>
        <v>340</v>
      </c>
      <c r="AF45">
        <f>IF($A45="","",IF(Allocation!$N$3="VOL_EFF",$Q45,IF(Allocation!$N$3="VOL_CLASS",$R45,$S45)))</f>
        <v>1112</v>
      </c>
      <c r="AG45">
        <f>IF($A45="","",IF(Allocation!$N$1="VOL_EFF",$Q45,IF(Allocation!$N$1="VOL_CLASS",$R45,$S45)))</f>
        <v>1112</v>
      </c>
      <c r="AH45">
        <f>IF($A45="","",IF(Allocation!$N$1="VOL_EFF",$T45,IF(Allocation!$N$1="VOL_CLASS",$U45,$V45)))</f>
        <v>2773</v>
      </c>
      <c r="AI45">
        <f t="shared" si="12"/>
        <v>28922.424999999999</v>
      </c>
      <c r="AJ45">
        <f t="shared" si="13"/>
        <v>80778.907999999996</v>
      </c>
      <c r="AK45">
        <f t="shared" si="14"/>
        <v>25944</v>
      </c>
      <c r="AL45">
        <f t="shared" si="15"/>
        <v>221608.66200000001</v>
      </c>
      <c r="AM45">
        <f t="shared" si="16"/>
        <v>64721.188604399562</v>
      </c>
      <c r="AN45">
        <f t="shared" si="17"/>
        <v>136564.78211187175</v>
      </c>
      <c r="AO45">
        <f>IF($A45="","",Allocation!CJ45)</f>
        <v>499926</v>
      </c>
      <c r="AP45">
        <f>IF($A45="","",IF(Allocation!$N$2="VOL_EFF",$Q45,IF(Allocation!$N$2="VOL_CLASS",$R45,$S45)))</f>
        <v>8517270</v>
      </c>
      <c r="AQ45">
        <f>IF($A45="","",IF(Allocation!$N$2="VOL_EFF",$T45,IF(Allocation!$N$2="VOL_CLASS",$U45,$V45)))</f>
        <v>20567210</v>
      </c>
      <c r="AR45">
        <f t="shared" si="18"/>
        <v>12660.034283728688</v>
      </c>
      <c r="AS45" t="str">
        <f>IF($A45="","",$A45&amp;"|"&amp;Allocation!BG45)</f>
        <v>2024|ACT</v>
      </c>
    </row>
    <row r="46" spans="1:45" x14ac:dyDescent="0.45">
      <c r="A46" t="str">
        <f>IF(Allocation!BI46="","",Allocation!BI46)</f>
        <v>2024</v>
      </c>
      <c r="B46" t="str">
        <f>IF(Allocation!BJ46="","",Allocation!BJ46)</f>
        <v>PIGIER_BOR</v>
      </c>
      <c r="C46" t="str">
        <f>IF(Allocation!BK46="","",Allocation!BK46)</f>
        <v>PIGIER</v>
      </c>
      <c r="D46" t="str">
        <f>IF(Allocation!BL46="","",Allocation!BL46)</f>
        <v>BTS_GES</v>
      </c>
      <c r="E46" t="str">
        <f>IF(Allocation!BM46="","",Allocation!BM46)</f>
        <v>BTS1</v>
      </c>
      <c r="F46" t="str">
        <f>IF(Allocation!BN46="","",Allocation!BN46)</f>
        <v>ALT</v>
      </c>
      <c r="G46">
        <f>IF(Allocation!BO46="","",Allocation!BO46)</f>
        <v>32</v>
      </c>
      <c r="H46">
        <f>IF(Allocation!BP46="","",Allocation!BP46)</f>
        <v>2</v>
      </c>
      <c r="I46">
        <f>IF(Allocation!BQ46="","",Allocation!BQ46)</f>
        <v>189120</v>
      </c>
      <c r="J46">
        <f>IF(Allocation!CC46="","",Allocation!CC46)</f>
        <v>32</v>
      </c>
      <c r="K46">
        <f t="shared" si="0"/>
        <v>1400</v>
      </c>
      <c r="L46">
        <f t="shared" si="1"/>
        <v>156</v>
      </c>
      <c r="M46">
        <f t="shared" si="2"/>
        <v>10</v>
      </c>
      <c r="N46">
        <f t="shared" si="3"/>
        <v>1003890</v>
      </c>
      <c r="O46">
        <f t="shared" si="4"/>
        <v>5680</v>
      </c>
      <c r="P46">
        <f t="shared" si="5"/>
        <v>64</v>
      </c>
      <c r="Q46">
        <f t="shared" si="6"/>
        <v>357</v>
      </c>
      <c r="R46">
        <f t="shared" si="7"/>
        <v>20</v>
      </c>
      <c r="S46">
        <f t="shared" si="8"/>
        <v>2403570</v>
      </c>
      <c r="T46">
        <f t="shared" si="9"/>
        <v>2773</v>
      </c>
      <c r="U46">
        <f t="shared" si="10"/>
        <v>135</v>
      </c>
      <c r="V46">
        <f t="shared" si="11"/>
        <v>20567210</v>
      </c>
      <c r="W46">
        <f>IF($A46="","",Allocation!CD46)</f>
        <v>88144</v>
      </c>
      <c r="X46">
        <f>IF($A46="","",Allocation!CE46)</f>
        <v>166342.39999999999</v>
      </c>
      <c r="Y46">
        <f>IF($A46="","",Allocation!CF46)</f>
        <v>48220</v>
      </c>
      <c r="Z46">
        <f>IF($A46="","",Allocation!CG46)</f>
        <v>18155</v>
      </c>
      <c r="AA46">
        <f>IF($A46="","",Allocation!CH46)</f>
        <v>316851.76</v>
      </c>
      <c r="AB46">
        <f>IF($A46="","",Allocation!CI46)</f>
        <v>2639292</v>
      </c>
      <c r="AC46">
        <f>IF($A46="","",IF(Allocation!$N$4="VOL_EFF",$G46,IF(Allocation!$N$4="VOL_CLASS",$H46,$I46)))</f>
        <v>2</v>
      </c>
      <c r="AD46">
        <f>IF($A46="","",IF(Allocation!$N$4="VOL_EFF",$L46,IF(Allocation!$N$4="VOL_CLASS",$M46,$N46)))</f>
        <v>10</v>
      </c>
      <c r="AE46">
        <f>IF($A46="","",IF(Allocation!$N$3="VOL_EFF",$L46,IF(Allocation!$N$3="VOL_CLASS",$M46,$N46)))</f>
        <v>156</v>
      </c>
      <c r="AF46">
        <f>IF($A46="","",IF(Allocation!$N$3="VOL_EFF",$Q46,IF(Allocation!$N$3="VOL_CLASS",$R46,$S46)))</f>
        <v>357</v>
      </c>
      <c r="AG46">
        <f>IF($A46="","",IF(Allocation!$N$1="VOL_EFF",$Q46,IF(Allocation!$N$1="VOL_CLASS",$R46,$S46)))</f>
        <v>357</v>
      </c>
      <c r="AH46">
        <f>IF($A46="","",IF(Allocation!$N$1="VOL_EFF",$T46,IF(Allocation!$N$1="VOL_CLASS",$U46,$V46)))</f>
        <v>2773</v>
      </c>
      <c r="AI46">
        <f t="shared" si="12"/>
        <v>21725.633802816901</v>
      </c>
      <c r="AJ46">
        <f t="shared" si="13"/>
        <v>40999.887323943658</v>
      </c>
      <c r="AK46">
        <f t="shared" si="14"/>
        <v>18968.782051282051</v>
      </c>
      <c r="AL46">
        <f t="shared" si="15"/>
        <v>63370.352000000006</v>
      </c>
      <c r="AM46">
        <f t="shared" si="16"/>
        <v>29695.604183195101</v>
      </c>
      <c r="AN46">
        <f t="shared" si="17"/>
        <v>9253.8266549358668</v>
      </c>
      <c r="AO46">
        <f>IF($A46="","",Allocation!CJ46)</f>
        <v>499926</v>
      </c>
      <c r="AP46">
        <f>IF($A46="","",IF(Allocation!$N$2="VOL_EFF",$Q46,IF(Allocation!$N$2="VOL_CLASS",$R46,$S46)))</f>
        <v>2403570</v>
      </c>
      <c r="AQ46">
        <f>IF($A46="","",IF(Allocation!$N$2="VOL_EFF",$T46,IF(Allocation!$N$2="VOL_CLASS",$U46,$V46)))</f>
        <v>20567210</v>
      </c>
      <c r="AR46">
        <f t="shared" si="18"/>
        <v>5105.9139838263982</v>
      </c>
      <c r="AS46" t="str">
        <f>IF($A46="","",$A46&amp;"|"&amp;Allocation!BG46)</f>
        <v>2024|ACT</v>
      </c>
    </row>
    <row r="47" spans="1:45" x14ac:dyDescent="0.45">
      <c r="A47" t="str">
        <f>IF(Allocation!BI47="","",Allocation!BI47)</f>
        <v>2024</v>
      </c>
      <c r="B47" t="str">
        <f>IF(Allocation!BJ47="","",Allocation!BJ47)</f>
        <v>PIGIER_BOR</v>
      </c>
      <c r="C47" t="str">
        <f>IF(Allocation!BK47="","",Allocation!BK47)</f>
        <v>PIGIER</v>
      </c>
      <c r="D47" t="str">
        <f>IF(Allocation!BL47="","",Allocation!BL47)</f>
        <v>BTS_GES</v>
      </c>
      <c r="E47" t="str">
        <f>IF(Allocation!BM47="","",Allocation!BM47)</f>
        <v>BTS2</v>
      </c>
      <c r="F47" t="str">
        <f>IF(Allocation!BN47="","",Allocation!BN47)</f>
        <v>ALT</v>
      </c>
      <c r="G47">
        <f>IF(Allocation!BO47="","",Allocation!BO47)</f>
        <v>31</v>
      </c>
      <c r="H47">
        <f>IF(Allocation!BP47="","",Allocation!BP47)</f>
        <v>2</v>
      </c>
      <c r="I47">
        <f>IF(Allocation!BQ47="","",Allocation!BQ47)</f>
        <v>180420</v>
      </c>
      <c r="J47">
        <f>IF(Allocation!CC47="","",Allocation!CC47)</f>
        <v>0</v>
      </c>
      <c r="K47">
        <f t="shared" si="0"/>
        <v>1400</v>
      </c>
      <c r="L47">
        <f t="shared" si="1"/>
        <v>156</v>
      </c>
      <c r="M47">
        <f t="shared" si="2"/>
        <v>10</v>
      </c>
      <c r="N47">
        <f t="shared" si="3"/>
        <v>1003890</v>
      </c>
      <c r="O47">
        <f t="shared" si="4"/>
        <v>5680</v>
      </c>
      <c r="P47">
        <f t="shared" si="5"/>
        <v>64</v>
      </c>
      <c r="Q47">
        <f t="shared" si="6"/>
        <v>357</v>
      </c>
      <c r="R47">
        <f t="shared" si="7"/>
        <v>20</v>
      </c>
      <c r="S47">
        <f t="shared" si="8"/>
        <v>2403570</v>
      </c>
      <c r="T47">
        <f t="shared" si="9"/>
        <v>2773</v>
      </c>
      <c r="U47">
        <f t="shared" si="10"/>
        <v>135</v>
      </c>
      <c r="V47">
        <f t="shared" si="11"/>
        <v>20567210</v>
      </c>
      <c r="W47">
        <f>IF($A47="","",Allocation!CD47)</f>
        <v>88144</v>
      </c>
      <c r="X47">
        <f>IF($A47="","",Allocation!CE47)</f>
        <v>166342.39999999999</v>
      </c>
      <c r="Y47">
        <f>IF($A47="","",Allocation!CF47)</f>
        <v>48220</v>
      </c>
      <c r="Z47">
        <f>IF($A47="","",Allocation!CG47)</f>
        <v>18155</v>
      </c>
      <c r="AA47">
        <f>IF($A47="","",Allocation!CH47)</f>
        <v>316851.76</v>
      </c>
      <c r="AB47">
        <f>IF($A47="","",Allocation!CI47)</f>
        <v>2639292</v>
      </c>
      <c r="AC47">
        <f>IF($A47="","",IF(Allocation!$N$4="VOL_EFF",$G47,IF(Allocation!$N$4="VOL_CLASS",$H47,$I47)))</f>
        <v>2</v>
      </c>
      <c r="AD47">
        <f>IF($A47="","",IF(Allocation!$N$4="VOL_EFF",$L47,IF(Allocation!$N$4="VOL_CLASS",$M47,$N47)))</f>
        <v>10</v>
      </c>
      <c r="AE47">
        <f>IF($A47="","",IF(Allocation!$N$3="VOL_EFF",$L47,IF(Allocation!$N$3="VOL_CLASS",$M47,$N47)))</f>
        <v>156</v>
      </c>
      <c r="AF47">
        <f>IF($A47="","",IF(Allocation!$N$3="VOL_EFF",$Q47,IF(Allocation!$N$3="VOL_CLASS",$R47,$S47)))</f>
        <v>357</v>
      </c>
      <c r="AG47">
        <f>IF($A47="","",IF(Allocation!$N$1="VOL_EFF",$Q47,IF(Allocation!$N$1="VOL_CLASS",$R47,$S47)))</f>
        <v>357</v>
      </c>
      <c r="AH47">
        <f>IF($A47="","",IF(Allocation!$N$1="VOL_EFF",$T47,IF(Allocation!$N$1="VOL_CLASS",$U47,$V47)))</f>
        <v>2773</v>
      </c>
      <c r="AI47">
        <f t="shared" si="12"/>
        <v>21725.633802816901</v>
      </c>
      <c r="AJ47">
        <f t="shared" si="13"/>
        <v>40999.887323943658</v>
      </c>
      <c r="AK47">
        <f t="shared" si="14"/>
        <v>9582.1794871794864</v>
      </c>
      <c r="AL47">
        <f t="shared" si="15"/>
        <v>63370.352000000006</v>
      </c>
      <c r="AM47">
        <f t="shared" si="16"/>
        <v>29695.604183195101</v>
      </c>
      <c r="AN47">
        <f t="shared" si="17"/>
        <v>9940.4292190384294</v>
      </c>
      <c r="AO47">
        <f>IF($A47="","",Allocation!CJ47)</f>
        <v>499926</v>
      </c>
      <c r="AP47">
        <f>IF($A47="","",IF(Allocation!$N$2="VOL_EFF",$Q47,IF(Allocation!$N$2="VOL_CLASS",$R47,$S47)))</f>
        <v>2403570</v>
      </c>
      <c r="AQ47">
        <f>IF($A47="","",IF(Allocation!$N$2="VOL_EFF",$T47,IF(Allocation!$N$2="VOL_CLASS",$U47,$V47)))</f>
        <v>20567210</v>
      </c>
      <c r="AR47">
        <f t="shared" si="18"/>
        <v>5105.9139838263982</v>
      </c>
      <c r="AS47" t="str">
        <f>IF($A47="","",$A47&amp;"|"&amp;Allocation!BG47)</f>
        <v>2024|ACT</v>
      </c>
    </row>
    <row r="48" spans="1:45" x14ac:dyDescent="0.45">
      <c r="A48" t="str">
        <f>IF(Allocation!BI48="","",Allocation!BI48)</f>
        <v>2024</v>
      </c>
      <c r="B48" t="str">
        <f>IF(Allocation!BJ48="","",Allocation!BJ48)</f>
        <v>PIGIER_BOR</v>
      </c>
      <c r="C48" t="str">
        <f>IF(Allocation!BK48="","",Allocation!BK48)</f>
        <v>PIGIER</v>
      </c>
      <c r="D48" t="str">
        <f>IF(Allocation!BL48="","",Allocation!BL48)</f>
        <v>BAC_RH</v>
      </c>
      <c r="E48" t="str">
        <f>IF(Allocation!BM48="","",Allocation!BM48)</f>
        <v>B1</v>
      </c>
      <c r="F48" t="str">
        <f>IF(Allocation!BN48="","",Allocation!BN48)</f>
        <v>ALT</v>
      </c>
      <c r="G48">
        <f>IF(Allocation!BO48="","",Allocation!BO48)</f>
        <v>32</v>
      </c>
      <c r="H48">
        <f>IF(Allocation!BP48="","",Allocation!BP48)</f>
        <v>2</v>
      </c>
      <c r="I48">
        <f>IF(Allocation!BQ48="","",Allocation!BQ48)</f>
        <v>220160</v>
      </c>
      <c r="J48">
        <f>IF(Allocation!CC48="","",Allocation!CC48)</f>
        <v>32</v>
      </c>
      <c r="K48">
        <f t="shared" si="0"/>
        <v>960</v>
      </c>
      <c r="L48">
        <f t="shared" si="1"/>
        <v>156</v>
      </c>
      <c r="M48">
        <f t="shared" si="2"/>
        <v>10</v>
      </c>
      <c r="N48">
        <f t="shared" si="3"/>
        <v>1003890</v>
      </c>
      <c r="O48">
        <f t="shared" si="4"/>
        <v>5680</v>
      </c>
      <c r="P48">
        <f t="shared" si="5"/>
        <v>64</v>
      </c>
      <c r="Q48">
        <f t="shared" si="6"/>
        <v>357</v>
      </c>
      <c r="R48">
        <f t="shared" si="7"/>
        <v>20</v>
      </c>
      <c r="S48">
        <f t="shared" si="8"/>
        <v>2403570</v>
      </c>
      <c r="T48">
        <f t="shared" si="9"/>
        <v>2773</v>
      </c>
      <c r="U48">
        <f t="shared" si="10"/>
        <v>135</v>
      </c>
      <c r="V48">
        <f t="shared" si="11"/>
        <v>20567210</v>
      </c>
      <c r="W48">
        <f>IF($A48="","",Allocation!CD48)</f>
        <v>88144</v>
      </c>
      <c r="X48">
        <f>IF($A48="","",Allocation!CE48)</f>
        <v>166342.39999999999</v>
      </c>
      <c r="Y48">
        <f>IF($A48="","",Allocation!CF48)</f>
        <v>48220</v>
      </c>
      <c r="Z48">
        <f>IF($A48="","",Allocation!CG48)</f>
        <v>18155</v>
      </c>
      <c r="AA48">
        <f>IF($A48="","",Allocation!CH48)</f>
        <v>316851.76</v>
      </c>
      <c r="AB48">
        <f>IF($A48="","",Allocation!CI48)</f>
        <v>2639292</v>
      </c>
      <c r="AC48">
        <f>IF($A48="","",IF(Allocation!$N$4="VOL_EFF",$G48,IF(Allocation!$N$4="VOL_CLASS",$H48,$I48)))</f>
        <v>2</v>
      </c>
      <c r="AD48">
        <f>IF($A48="","",IF(Allocation!$N$4="VOL_EFF",$L48,IF(Allocation!$N$4="VOL_CLASS",$M48,$N48)))</f>
        <v>10</v>
      </c>
      <c r="AE48">
        <f>IF($A48="","",IF(Allocation!$N$3="VOL_EFF",$L48,IF(Allocation!$N$3="VOL_CLASS",$M48,$N48)))</f>
        <v>156</v>
      </c>
      <c r="AF48">
        <f>IF($A48="","",IF(Allocation!$N$3="VOL_EFF",$Q48,IF(Allocation!$N$3="VOL_CLASS",$R48,$S48)))</f>
        <v>357</v>
      </c>
      <c r="AG48">
        <f>IF($A48="","",IF(Allocation!$N$1="VOL_EFF",$Q48,IF(Allocation!$N$1="VOL_CLASS",$R48,$S48)))</f>
        <v>357</v>
      </c>
      <c r="AH48">
        <f>IF($A48="","",IF(Allocation!$N$1="VOL_EFF",$T48,IF(Allocation!$N$1="VOL_CLASS",$U48,$V48)))</f>
        <v>2773</v>
      </c>
      <c r="AI48">
        <f t="shared" si="12"/>
        <v>14897.577464788732</v>
      </c>
      <c r="AJ48">
        <f t="shared" si="13"/>
        <v>28114.208450704224</v>
      </c>
      <c r="AK48">
        <f t="shared" si="14"/>
        <v>18968.782051282051</v>
      </c>
      <c r="AL48">
        <f t="shared" si="15"/>
        <v>63370.352000000006</v>
      </c>
      <c r="AM48">
        <f t="shared" si="16"/>
        <v>29695.604183195101</v>
      </c>
      <c r="AN48">
        <f t="shared" si="17"/>
        <v>60007.561866203469</v>
      </c>
      <c r="AO48">
        <f>IF($A48="","",Allocation!CJ48)</f>
        <v>499926</v>
      </c>
      <c r="AP48">
        <f>IF($A48="","",IF(Allocation!$N$2="VOL_EFF",$Q48,IF(Allocation!$N$2="VOL_CLASS",$R48,$S48)))</f>
        <v>2403570</v>
      </c>
      <c r="AQ48">
        <f>IF($A48="","",IF(Allocation!$N$2="VOL_EFF",$T48,IF(Allocation!$N$2="VOL_CLASS",$U48,$V48)))</f>
        <v>20567210</v>
      </c>
      <c r="AR48">
        <f t="shared" si="18"/>
        <v>5105.9139838263982</v>
      </c>
      <c r="AS48" t="str">
        <f>IF($A48="","",$A48&amp;"|"&amp;Allocation!BG48)</f>
        <v>2024|ACT</v>
      </c>
    </row>
    <row r="49" spans="1:45" x14ac:dyDescent="0.45">
      <c r="A49" t="str">
        <f>IF(Allocation!BI49="","",Allocation!BI49)</f>
        <v>2024</v>
      </c>
      <c r="B49" t="str">
        <f>IF(Allocation!BJ49="","",Allocation!BJ49)</f>
        <v>PIGIER_BOR</v>
      </c>
      <c r="C49" t="str">
        <f>IF(Allocation!BK49="","",Allocation!BK49)</f>
        <v>PIGIER</v>
      </c>
      <c r="D49" t="str">
        <f>IF(Allocation!BL49="","",Allocation!BL49)</f>
        <v>BAC_RH</v>
      </c>
      <c r="E49" t="str">
        <f>IF(Allocation!BM49="","",Allocation!BM49)</f>
        <v>B2</v>
      </c>
      <c r="F49" t="str">
        <f>IF(Allocation!BN49="","",Allocation!BN49)</f>
        <v>ALT</v>
      </c>
      <c r="G49">
        <f>IF(Allocation!BO49="","",Allocation!BO49)</f>
        <v>31</v>
      </c>
      <c r="H49">
        <f>IF(Allocation!BP49="","",Allocation!BP49)</f>
        <v>2</v>
      </c>
      <c r="I49">
        <f>IF(Allocation!BQ49="","",Allocation!BQ49)</f>
        <v>210490</v>
      </c>
      <c r="J49">
        <f>IF(Allocation!CC49="","",Allocation!CC49)</f>
        <v>0</v>
      </c>
      <c r="K49">
        <f t="shared" si="0"/>
        <v>960</v>
      </c>
      <c r="L49">
        <f t="shared" si="1"/>
        <v>156</v>
      </c>
      <c r="M49">
        <f t="shared" si="2"/>
        <v>10</v>
      </c>
      <c r="N49">
        <f t="shared" si="3"/>
        <v>1003890</v>
      </c>
      <c r="O49">
        <f t="shared" si="4"/>
        <v>5680</v>
      </c>
      <c r="P49">
        <f t="shared" si="5"/>
        <v>64</v>
      </c>
      <c r="Q49">
        <f t="shared" si="6"/>
        <v>357</v>
      </c>
      <c r="R49">
        <f t="shared" si="7"/>
        <v>20</v>
      </c>
      <c r="S49">
        <f t="shared" si="8"/>
        <v>2403570</v>
      </c>
      <c r="T49">
        <f t="shared" si="9"/>
        <v>2773</v>
      </c>
      <c r="U49">
        <f t="shared" si="10"/>
        <v>135</v>
      </c>
      <c r="V49">
        <f t="shared" si="11"/>
        <v>20567210</v>
      </c>
      <c r="W49">
        <f>IF($A49="","",Allocation!CD49)</f>
        <v>88144</v>
      </c>
      <c r="X49">
        <f>IF($A49="","",Allocation!CE49)</f>
        <v>166342.39999999999</v>
      </c>
      <c r="Y49">
        <f>IF($A49="","",Allocation!CF49)</f>
        <v>48220</v>
      </c>
      <c r="Z49">
        <f>IF($A49="","",Allocation!CG49)</f>
        <v>18155</v>
      </c>
      <c r="AA49">
        <f>IF($A49="","",Allocation!CH49)</f>
        <v>316851.76</v>
      </c>
      <c r="AB49">
        <f>IF($A49="","",Allocation!CI49)</f>
        <v>2639292</v>
      </c>
      <c r="AC49">
        <f>IF($A49="","",IF(Allocation!$N$4="VOL_EFF",$G49,IF(Allocation!$N$4="VOL_CLASS",$H49,$I49)))</f>
        <v>2</v>
      </c>
      <c r="AD49">
        <f>IF($A49="","",IF(Allocation!$N$4="VOL_EFF",$L49,IF(Allocation!$N$4="VOL_CLASS",$M49,$N49)))</f>
        <v>10</v>
      </c>
      <c r="AE49">
        <f>IF($A49="","",IF(Allocation!$N$3="VOL_EFF",$L49,IF(Allocation!$N$3="VOL_CLASS",$M49,$N49)))</f>
        <v>156</v>
      </c>
      <c r="AF49">
        <f>IF($A49="","",IF(Allocation!$N$3="VOL_EFF",$Q49,IF(Allocation!$N$3="VOL_CLASS",$R49,$S49)))</f>
        <v>357</v>
      </c>
      <c r="AG49">
        <f>IF($A49="","",IF(Allocation!$N$1="VOL_EFF",$Q49,IF(Allocation!$N$1="VOL_CLASS",$R49,$S49)))</f>
        <v>357</v>
      </c>
      <c r="AH49">
        <f>IF($A49="","",IF(Allocation!$N$1="VOL_EFF",$T49,IF(Allocation!$N$1="VOL_CLASS",$U49,$V49)))</f>
        <v>2773</v>
      </c>
      <c r="AI49">
        <f t="shared" si="12"/>
        <v>14897.577464788732</v>
      </c>
      <c r="AJ49">
        <f t="shared" si="13"/>
        <v>28114.208450704224</v>
      </c>
      <c r="AK49">
        <f t="shared" si="14"/>
        <v>9582.1794871794864</v>
      </c>
      <c r="AL49">
        <f t="shared" si="15"/>
        <v>63370.352000000006</v>
      </c>
      <c r="AM49">
        <f t="shared" si="16"/>
        <v>29695.604183195101</v>
      </c>
      <c r="AN49">
        <f t="shared" si="17"/>
        <v>59724.16443030606</v>
      </c>
      <c r="AO49">
        <f>IF($A49="","",Allocation!CJ49)</f>
        <v>499926</v>
      </c>
      <c r="AP49">
        <f>IF($A49="","",IF(Allocation!$N$2="VOL_EFF",$Q49,IF(Allocation!$N$2="VOL_CLASS",$R49,$S49)))</f>
        <v>2403570</v>
      </c>
      <c r="AQ49">
        <f>IF($A49="","",IF(Allocation!$N$2="VOL_EFF",$T49,IF(Allocation!$N$2="VOL_CLASS",$U49,$V49)))</f>
        <v>20567210</v>
      </c>
      <c r="AR49">
        <f t="shared" si="18"/>
        <v>5105.9139838263982</v>
      </c>
      <c r="AS49" t="str">
        <f>IF($A49="","",$A49&amp;"|"&amp;Allocation!BG49)</f>
        <v>2024|ACT</v>
      </c>
    </row>
    <row r="50" spans="1:45" x14ac:dyDescent="0.45">
      <c r="A50" t="str">
        <f>IF(Allocation!BI50="","",Allocation!BI50)</f>
        <v>2024</v>
      </c>
      <c r="B50" t="str">
        <f>IF(Allocation!BJ50="","",Allocation!BJ50)</f>
        <v>PIGIER_BOR</v>
      </c>
      <c r="C50" t="str">
        <f>IF(Allocation!BK50="","",Allocation!BK50)</f>
        <v>PIGIER</v>
      </c>
      <c r="D50" t="str">
        <f>IF(Allocation!BL50="","",Allocation!BL50)</f>
        <v>BAC_RH</v>
      </c>
      <c r="E50" t="str">
        <f>IF(Allocation!BM50="","",Allocation!BM50)</f>
        <v>B3</v>
      </c>
      <c r="F50" t="str">
        <f>IF(Allocation!BN50="","",Allocation!BN50)</f>
        <v>ALT</v>
      </c>
      <c r="G50">
        <f>IF(Allocation!BO50="","",Allocation!BO50)</f>
        <v>30</v>
      </c>
      <c r="H50">
        <f>IF(Allocation!BP50="","",Allocation!BP50)</f>
        <v>2</v>
      </c>
      <c r="I50">
        <f>IF(Allocation!BQ50="","",Allocation!BQ50)</f>
        <v>203700</v>
      </c>
      <c r="J50">
        <f>IF(Allocation!CC50="","",Allocation!CC50)</f>
        <v>0</v>
      </c>
      <c r="K50">
        <f t="shared" si="0"/>
        <v>960</v>
      </c>
      <c r="L50">
        <f t="shared" si="1"/>
        <v>156</v>
      </c>
      <c r="M50">
        <f t="shared" si="2"/>
        <v>10</v>
      </c>
      <c r="N50">
        <f t="shared" si="3"/>
        <v>1003890</v>
      </c>
      <c r="O50">
        <f t="shared" si="4"/>
        <v>5680</v>
      </c>
      <c r="P50">
        <f t="shared" si="5"/>
        <v>64</v>
      </c>
      <c r="Q50">
        <f t="shared" si="6"/>
        <v>357</v>
      </c>
      <c r="R50">
        <f t="shared" si="7"/>
        <v>20</v>
      </c>
      <c r="S50">
        <f t="shared" si="8"/>
        <v>2403570</v>
      </c>
      <c r="T50">
        <f t="shared" si="9"/>
        <v>2773</v>
      </c>
      <c r="U50">
        <f t="shared" si="10"/>
        <v>135</v>
      </c>
      <c r="V50">
        <f t="shared" si="11"/>
        <v>20567210</v>
      </c>
      <c r="W50">
        <f>IF($A50="","",Allocation!CD50)</f>
        <v>88144</v>
      </c>
      <c r="X50">
        <f>IF($A50="","",Allocation!CE50)</f>
        <v>166342.39999999999</v>
      </c>
      <c r="Y50">
        <f>IF($A50="","",Allocation!CF50)</f>
        <v>48220</v>
      </c>
      <c r="Z50">
        <f>IF($A50="","",Allocation!CG50)</f>
        <v>18155</v>
      </c>
      <c r="AA50">
        <f>IF($A50="","",Allocation!CH50)</f>
        <v>316851.76</v>
      </c>
      <c r="AB50">
        <f>IF($A50="","",Allocation!CI50)</f>
        <v>2639292</v>
      </c>
      <c r="AC50">
        <f>IF($A50="","",IF(Allocation!$N$4="VOL_EFF",$G50,IF(Allocation!$N$4="VOL_CLASS",$H50,$I50)))</f>
        <v>2</v>
      </c>
      <c r="AD50">
        <f>IF($A50="","",IF(Allocation!$N$4="VOL_EFF",$L50,IF(Allocation!$N$4="VOL_CLASS",$M50,$N50)))</f>
        <v>10</v>
      </c>
      <c r="AE50">
        <f>IF($A50="","",IF(Allocation!$N$3="VOL_EFF",$L50,IF(Allocation!$N$3="VOL_CLASS",$M50,$N50)))</f>
        <v>156</v>
      </c>
      <c r="AF50">
        <f>IF($A50="","",IF(Allocation!$N$3="VOL_EFF",$Q50,IF(Allocation!$N$3="VOL_CLASS",$R50,$S50)))</f>
        <v>357</v>
      </c>
      <c r="AG50">
        <f>IF($A50="","",IF(Allocation!$N$1="VOL_EFF",$Q50,IF(Allocation!$N$1="VOL_CLASS",$R50,$S50)))</f>
        <v>357</v>
      </c>
      <c r="AH50">
        <f>IF($A50="","",IF(Allocation!$N$1="VOL_EFF",$T50,IF(Allocation!$N$1="VOL_CLASS",$U50,$V50)))</f>
        <v>2773</v>
      </c>
      <c r="AI50">
        <f t="shared" si="12"/>
        <v>14897.577464788732</v>
      </c>
      <c r="AJ50">
        <f t="shared" si="13"/>
        <v>28114.208450704224</v>
      </c>
      <c r="AK50">
        <f t="shared" si="14"/>
        <v>9273.0769230769238</v>
      </c>
      <c r="AL50">
        <f t="shared" si="15"/>
        <v>63370.352000000006</v>
      </c>
      <c r="AM50">
        <f t="shared" si="16"/>
        <v>29695.604183195101</v>
      </c>
      <c r="AN50">
        <f t="shared" si="17"/>
        <v>53243.266994408623</v>
      </c>
      <c r="AO50">
        <f>IF($A50="","",Allocation!CJ50)</f>
        <v>499926</v>
      </c>
      <c r="AP50">
        <f>IF($A50="","",IF(Allocation!$N$2="VOL_EFF",$Q50,IF(Allocation!$N$2="VOL_CLASS",$R50,$S50)))</f>
        <v>2403570</v>
      </c>
      <c r="AQ50">
        <f>IF($A50="","",IF(Allocation!$N$2="VOL_EFF",$T50,IF(Allocation!$N$2="VOL_CLASS",$U50,$V50)))</f>
        <v>20567210</v>
      </c>
      <c r="AR50">
        <f t="shared" si="18"/>
        <v>5105.9139838263982</v>
      </c>
      <c r="AS50" t="str">
        <f>IF($A50="","",$A50&amp;"|"&amp;Allocation!BG50)</f>
        <v>2024|ACT</v>
      </c>
    </row>
    <row r="51" spans="1:45" x14ac:dyDescent="0.45">
      <c r="A51" t="str">
        <f>IF(Allocation!BI51="","",Allocation!BI51)</f>
        <v>2024</v>
      </c>
      <c r="B51" t="str">
        <f>IF(Allocation!BJ51="","",Allocation!BJ51)</f>
        <v>PIGIER_LYO</v>
      </c>
      <c r="C51" t="str">
        <f>IF(Allocation!BK51="","",Allocation!BK51)</f>
        <v>PIGIER</v>
      </c>
      <c r="D51" t="str">
        <f>IF(Allocation!BL51="","",Allocation!BL51)</f>
        <v>BAC_RH</v>
      </c>
      <c r="E51" t="str">
        <f>IF(Allocation!BM51="","",Allocation!BM51)</f>
        <v>B3</v>
      </c>
      <c r="F51" t="str">
        <f>IF(Allocation!BN51="","",Allocation!BN51)</f>
        <v>ALT</v>
      </c>
      <c r="G51">
        <f>IF(Allocation!BO51="","",Allocation!BO51)</f>
        <v>39</v>
      </c>
      <c r="H51">
        <f>IF(Allocation!BP51="","",Allocation!BP51)</f>
        <v>2</v>
      </c>
      <c r="I51">
        <f>IF(Allocation!BQ51="","",Allocation!BQ51)</f>
        <v>286650</v>
      </c>
      <c r="J51">
        <f>IF(Allocation!CC51="","",Allocation!CC51)</f>
        <v>0</v>
      </c>
      <c r="K51">
        <f t="shared" si="0"/>
        <v>960</v>
      </c>
      <c r="L51">
        <f t="shared" si="1"/>
        <v>201</v>
      </c>
      <c r="M51">
        <f t="shared" si="2"/>
        <v>10</v>
      </c>
      <c r="N51">
        <f t="shared" si="3"/>
        <v>1399680</v>
      </c>
      <c r="O51">
        <f t="shared" si="4"/>
        <v>5680</v>
      </c>
      <c r="P51">
        <f t="shared" si="5"/>
        <v>82</v>
      </c>
      <c r="Q51">
        <f t="shared" si="6"/>
        <v>357</v>
      </c>
      <c r="R51">
        <f t="shared" si="7"/>
        <v>20</v>
      </c>
      <c r="S51">
        <f t="shared" si="8"/>
        <v>2403570</v>
      </c>
      <c r="T51">
        <f t="shared" si="9"/>
        <v>2773</v>
      </c>
      <c r="U51">
        <f t="shared" si="10"/>
        <v>135</v>
      </c>
      <c r="V51">
        <f t="shared" si="11"/>
        <v>20567210</v>
      </c>
      <c r="W51">
        <f>IF($A51="","",Allocation!CD51)</f>
        <v>88144</v>
      </c>
      <c r="X51">
        <f>IF($A51="","",Allocation!CE51)</f>
        <v>220599.82</v>
      </c>
      <c r="Y51">
        <f>IF($A51="","",Allocation!CF51)</f>
        <v>61804</v>
      </c>
      <c r="Z51">
        <f>IF($A51="","",Allocation!CG51)</f>
        <v>30258</v>
      </c>
      <c r="AA51">
        <f>IF($A51="","",Allocation!CH51)</f>
        <v>491052.17</v>
      </c>
      <c r="AB51">
        <f>IF($A51="","",Allocation!CI51)</f>
        <v>2639292</v>
      </c>
      <c r="AC51">
        <f>IF($A51="","",IF(Allocation!$N$4="VOL_EFF",$G51,IF(Allocation!$N$4="VOL_CLASS",$H51,$I51)))</f>
        <v>2</v>
      </c>
      <c r="AD51">
        <f>IF($A51="","",IF(Allocation!$N$4="VOL_EFF",$L51,IF(Allocation!$N$4="VOL_CLASS",$M51,$N51)))</f>
        <v>10</v>
      </c>
      <c r="AE51">
        <f>IF($A51="","",IF(Allocation!$N$3="VOL_EFF",$L51,IF(Allocation!$N$3="VOL_CLASS",$M51,$N51)))</f>
        <v>201</v>
      </c>
      <c r="AF51">
        <f>IF($A51="","",IF(Allocation!$N$3="VOL_EFF",$Q51,IF(Allocation!$N$3="VOL_CLASS",$R51,$S51)))</f>
        <v>357</v>
      </c>
      <c r="AG51">
        <f>IF($A51="","",IF(Allocation!$N$1="VOL_EFF",$Q51,IF(Allocation!$N$1="VOL_CLASS",$R51,$S51)))</f>
        <v>357</v>
      </c>
      <c r="AH51">
        <f>IF($A51="","",IF(Allocation!$N$1="VOL_EFF",$T51,IF(Allocation!$N$1="VOL_CLASS",$U51,$V51)))</f>
        <v>2773</v>
      </c>
      <c r="AI51">
        <f t="shared" si="12"/>
        <v>14897.577464788732</v>
      </c>
      <c r="AJ51">
        <f t="shared" si="13"/>
        <v>37284.476619718313</v>
      </c>
      <c r="AK51">
        <f t="shared" si="14"/>
        <v>11991.820895522389</v>
      </c>
      <c r="AL51">
        <f t="shared" si="15"/>
        <v>98210.434000000008</v>
      </c>
      <c r="AM51">
        <f t="shared" si="16"/>
        <v>38261.643851424451</v>
      </c>
      <c r="AN51">
        <f t="shared" si="17"/>
        <v>79425.273381692881</v>
      </c>
      <c r="AO51">
        <f>IF($A51="","",Allocation!CJ51)</f>
        <v>499926</v>
      </c>
      <c r="AP51">
        <f>IF($A51="","",IF(Allocation!$N$2="VOL_EFF",$Q51,IF(Allocation!$N$2="VOL_CLASS",$R51,$S51)))</f>
        <v>2403570</v>
      </c>
      <c r="AQ51">
        <f>IF($A51="","",IF(Allocation!$N$2="VOL_EFF",$T51,IF(Allocation!$N$2="VOL_CLASS",$U51,$V51)))</f>
        <v>20567210</v>
      </c>
      <c r="AR51">
        <f t="shared" si="18"/>
        <v>6578.7737868532422</v>
      </c>
      <c r="AS51" t="str">
        <f>IF($A51="","",$A51&amp;"|"&amp;Allocation!BG51)</f>
        <v>2024|ACT</v>
      </c>
    </row>
    <row r="52" spans="1:45" x14ac:dyDescent="0.45">
      <c r="A52" t="str">
        <f>IF(Allocation!BI52="","",Allocation!BI52)</f>
        <v>2024</v>
      </c>
      <c r="B52" t="str">
        <f>IF(Allocation!BJ52="","",Allocation!BJ52)</f>
        <v>PIGIER_LYO</v>
      </c>
      <c r="C52" t="str">
        <f>IF(Allocation!BK52="","",Allocation!BK52)</f>
        <v>PIGIER</v>
      </c>
      <c r="D52" t="str">
        <f>IF(Allocation!BL52="","",Allocation!BL52)</f>
        <v>BTS_GES</v>
      </c>
      <c r="E52" t="str">
        <f>IF(Allocation!BM52="","",Allocation!BM52)</f>
        <v>BTS1</v>
      </c>
      <c r="F52" t="str">
        <f>IF(Allocation!BN52="","",Allocation!BN52)</f>
        <v>ALT</v>
      </c>
      <c r="G52">
        <f>IF(Allocation!BO52="","",Allocation!BO52)</f>
        <v>41</v>
      </c>
      <c r="H52">
        <f>IF(Allocation!BP52="","",Allocation!BP52)</f>
        <v>2</v>
      </c>
      <c r="I52">
        <f>IF(Allocation!BQ52="","",Allocation!BQ52)</f>
        <v>261990</v>
      </c>
      <c r="J52">
        <f>IF(Allocation!CC52="","",Allocation!CC52)</f>
        <v>41</v>
      </c>
      <c r="K52">
        <f t="shared" si="0"/>
        <v>1400</v>
      </c>
      <c r="L52">
        <f t="shared" si="1"/>
        <v>201</v>
      </c>
      <c r="M52">
        <f t="shared" si="2"/>
        <v>10</v>
      </c>
      <c r="N52">
        <f t="shared" si="3"/>
        <v>1399680</v>
      </c>
      <c r="O52">
        <f t="shared" si="4"/>
        <v>5680</v>
      </c>
      <c r="P52">
        <f t="shared" si="5"/>
        <v>82</v>
      </c>
      <c r="Q52">
        <f t="shared" si="6"/>
        <v>357</v>
      </c>
      <c r="R52">
        <f t="shared" si="7"/>
        <v>20</v>
      </c>
      <c r="S52">
        <f t="shared" si="8"/>
        <v>2403570</v>
      </c>
      <c r="T52">
        <f t="shared" si="9"/>
        <v>2773</v>
      </c>
      <c r="U52">
        <f t="shared" si="10"/>
        <v>135</v>
      </c>
      <c r="V52">
        <f t="shared" si="11"/>
        <v>20567210</v>
      </c>
      <c r="W52">
        <f>IF($A52="","",Allocation!CD52)</f>
        <v>88144</v>
      </c>
      <c r="X52">
        <f>IF($A52="","",Allocation!CE52)</f>
        <v>220599.82</v>
      </c>
      <c r="Y52">
        <f>IF($A52="","",Allocation!CF52)</f>
        <v>61804</v>
      </c>
      <c r="Z52">
        <f>IF($A52="","",Allocation!CG52)</f>
        <v>30258</v>
      </c>
      <c r="AA52">
        <f>IF($A52="","",Allocation!CH52)</f>
        <v>491052.17</v>
      </c>
      <c r="AB52">
        <f>IF($A52="","",Allocation!CI52)</f>
        <v>2639292</v>
      </c>
      <c r="AC52">
        <f>IF($A52="","",IF(Allocation!$N$4="VOL_EFF",$G52,IF(Allocation!$N$4="VOL_CLASS",$H52,$I52)))</f>
        <v>2</v>
      </c>
      <c r="AD52">
        <f>IF($A52="","",IF(Allocation!$N$4="VOL_EFF",$L52,IF(Allocation!$N$4="VOL_CLASS",$M52,$N52)))</f>
        <v>10</v>
      </c>
      <c r="AE52">
        <f>IF($A52="","",IF(Allocation!$N$3="VOL_EFF",$L52,IF(Allocation!$N$3="VOL_CLASS",$M52,$N52)))</f>
        <v>201</v>
      </c>
      <c r="AF52">
        <f>IF($A52="","",IF(Allocation!$N$3="VOL_EFF",$Q52,IF(Allocation!$N$3="VOL_CLASS",$R52,$S52)))</f>
        <v>357</v>
      </c>
      <c r="AG52">
        <f>IF($A52="","",IF(Allocation!$N$1="VOL_EFF",$Q52,IF(Allocation!$N$1="VOL_CLASS",$R52,$S52)))</f>
        <v>357</v>
      </c>
      <c r="AH52">
        <f>IF($A52="","",IF(Allocation!$N$1="VOL_EFF",$T52,IF(Allocation!$N$1="VOL_CLASS",$U52,$V52)))</f>
        <v>2773</v>
      </c>
      <c r="AI52">
        <f t="shared" si="12"/>
        <v>21725.633802816901</v>
      </c>
      <c r="AJ52">
        <f t="shared" si="13"/>
        <v>54373.195070422538</v>
      </c>
      <c r="AK52">
        <f t="shared" si="14"/>
        <v>27735.786069651738</v>
      </c>
      <c r="AL52">
        <f t="shared" si="15"/>
        <v>98210.434000000008</v>
      </c>
      <c r="AM52">
        <f t="shared" si="16"/>
        <v>38261.643851424451</v>
      </c>
      <c r="AN52">
        <f t="shared" si="17"/>
        <v>15104.533418831124</v>
      </c>
      <c r="AO52">
        <f>IF($A52="","",Allocation!CJ52)</f>
        <v>499926</v>
      </c>
      <c r="AP52">
        <f>IF($A52="","",IF(Allocation!$N$2="VOL_EFF",$Q52,IF(Allocation!$N$2="VOL_CLASS",$R52,$S52)))</f>
        <v>2403570</v>
      </c>
      <c r="AQ52">
        <f>IF($A52="","",IF(Allocation!$N$2="VOL_EFF",$T52,IF(Allocation!$N$2="VOL_CLASS",$U52,$V52)))</f>
        <v>20567210</v>
      </c>
      <c r="AR52">
        <f t="shared" si="18"/>
        <v>6578.7737868532422</v>
      </c>
      <c r="AS52" t="str">
        <f>IF($A52="","",$A52&amp;"|"&amp;Allocation!BG52)</f>
        <v>2024|ACT</v>
      </c>
    </row>
    <row r="53" spans="1:45" x14ac:dyDescent="0.45">
      <c r="A53" t="str">
        <f>IF(Allocation!BI53="","",Allocation!BI53)</f>
        <v>2024</v>
      </c>
      <c r="B53" t="str">
        <f>IF(Allocation!BJ53="","",Allocation!BJ53)</f>
        <v>PIGIER_LYO</v>
      </c>
      <c r="C53" t="str">
        <f>IF(Allocation!BK53="","",Allocation!BK53)</f>
        <v>PIGIER</v>
      </c>
      <c r="D53" t="str">
        <f>IF(Allocation!BL53="","",Allocation!BL53)</f>
        <v>BTS_GES</v>
      </c>
      <c r="E53" t="str">
        <f>IF(Allocation!BM53="","",Allocation!BM53)</f>
        <v>BTS2</v>
      </c>
      <c r="F53" t="str">
        <f>IF(Allocation!BN53="","",Allocation!BN53)</f>
        <v>ALT</v>
      </c>
      <c r="G53">
        <f>IF(Allocation!BO53="","",Allocation!BO53)</f>
        <v>40</v>
      </c>
      <c r="H53">
        <f>IF(Allocation!BP53="","",Allocation!BP53)</f>
        <v>2</v>
      </c>
      <c r="I53">
        <f>IF(Allocation!BQ53="","",Allocation!BQ53)</f>
        <v>252000</v>
      </c>
      <c r="J53">
        <f>IF(Allocation!CC53="","",Allocation!CC53)</f>
        <v>0</v>
      </c>
      <c r="K53">
        <f t="shared" si="0"/>
        <v>1400</v>
      </c>
      <c r="L53">
        <f t="shared" si="1"/>
        <v>201</v>
      </c>
      <c r="M53">
        <f t="shared" si="2"/>
        <v>10</v>
      </c>
      <c r="N53">
        <f t="shared" si="3"/>
        <v>1399680</v>
      </c>
      <c r="O53">
        <f t="shared" si="4"/>
        <v>5680</v>
      </c>
      <c r="P53">
        <f t="shared" si="5"/>
        <v>82</v>
      </c>
      <c r="Q53">
        <f t="shared" si="6"/>
        <v>357</v>
      </c>
      <c r="R53">
        <f t="shared" si="7"/>
        <v>20</v>
      </c>
      <c r="S53">
        <f t="shared" si="8"/>
        <v>2403570</v>
      </c>
      <c r="T53">
        <f t="shared" si="9"/>
        <v>2773</v>
      </c>
      <c r="U53">
        <f t="shared" si="10"/>
        <v>135</v>
      </c>
      <c r="V53">
        <f t="shared" si="11"/>
        <v>20567210</v>
      </c>
      <c r="W53">
        <f>IF($A53="","",Allocation!CD53)</f>
        <v>88144</v>
      </c>
      <c r="X53">
        <f>IF($A53="","",Allocation!CE53)</f>
        <v>220599.82</v>
      </c>
      <c r="Y53">
        <f>IF($A53="","",Allocation!CF53)</f>
        <v>61804</v>
      </c>
      <c r="Z53">
        <f>IF($A53="","",Allocation!CG53)</f>
        <v>30258</v>
      </c>
      <c r="AA53">
        <f>IF($A53="","",Allocation!CH53)</f>
        <v>491052.17</v>
      </c>
      <c r="AB53">
        <f>IF($A53="","",Allocation!CI53)</f>
        <v>2639292</v>
      </c>
      <c r="AC53">
        <f>IF($A53="","",IF(Allocation!$N$4="VOL_EFF",$G53,IF(Allocation!$N$4="VOL_CLASS",$H53,$I53)))</f>
        <v>2</v>
      </c>
      <c r="AD53">
        <f>IF($A53="","",IF(Allocation!$N$4="VOL_EFF",$L53,IF(Allocation!$N$4="VOL_CLASS",$M53,$N53)))</f>
        <v>10</v>
      </c>
      <c r="AE53">
        <f>IF($A53="","",IF(Allocation!$N$3="VOL_EFF",$L53,IF(Allocation!$N$3="VOL_CLASS",$M53,$N53)))</f>
        <v>201</v>
      </c>
      <c r="AF53">
        <f>IF($A53="","",IF(Allocation!$N$3="VOL_EFF",$Q53,IF(Allocation!$N$3="VOL_CLASS",$R53,$S53)))</f>
        <v>357</v>
      </c>
      <c r="AG53">
        <f>IF($A53="","",IF(Allocation!$N$1="VOL_EFF",$Q53,IF(Allocation!$N$1="VOL_CLASS",$R53,$S53)))</f>
        <v>357</v>
      </c>
      <c r="AH53">
        <f>IF($A53="","",IF(Allocation!$N$1="VOL_EFF",$T53,IF(Allocation!$N$1="VOL_CLASS",$U53,$V53)))</f>
        <v>2773</v>
      </c>
      <c r="AI53">
        <f t="shared" si="12"/>
        <v>21725.633802816901</v>
      </c>
      <c r="AJ53">
        <f t="shared" si="13"/>
        <v>54373.195070422538</v>
      </c>
      <c r="AK53">
        <f t="shared" si="14"/>
        <v>12299.303482587065</v>
      </c>
      <c r="AL53">
        <f t="shared" si="15"/>
        <v>98210.434000000008</v>
      </c>
      <c r="AM53">
        <f t="shared" si="16"/>
        <v>38261.643851424451</v>
      </c>
      <c r="AN53">
        <f t="shared" si="17"/>
        <v>20551.016005895799</v>
      </c>
      <c r="AO53">
        <f>IF($A53="","",Allocation!CJ53)</f>
        <v>499926</v>
      </c>
      <c r="AP53">
        <f>IF($A53="","",IF(Allocation!$N$2="VOL_EFF",$Q53,IF(Allocation!$N$2="VOL_CLASS",$R53,$S53)))</f>
        <v>2403570</v>
      </c>
      <c r="AQ53">
        <f>IF($A53="","",IF(Allocation!$N$2="VOL_EFF",$T53,IF(Allocation!$N$2="VOL_CLASS",$U53,$V53)))</f>
        <v>20567210</v>
      </c>
      <c r="AR53">
        <f t="shared" si="18"/>
        <v>6578.7737868532422</v>
      </c>
      <c r="AS53" t="str">
        <f>IF($A53="","",$A53&amp;"|"&amp;Allocation!BG53)</f>
        <v>2024|ACT</v>
      </c>
    </row>
    <row r="54" spans="1:45" x14ac:dyDescent="0.45">
      <c r="A54" t="str">
        <f>IF(Allocation!BI54="","",Allocation!BI54)</f>
        <v>2024</v>
      </c>
      <c r="B54" t="str">
        <f>IF(Allocation!BJ54="","",Allocation!BJ54)</f>
        <v>PIGIER_LYO</v>
      </c>
      <c r="C54" t="str">
        <f>IF(Allocation!BK54="","",Allocation!BK54)</f>
        <v>PIGIER</v>
      </c>
      <c r="D54" t="str">
        <f>IF(Allocation!BL54="","",Allocation!BL54)</f>
        <v>BAC_RH</v>
      </c>
      <c r="E54" t="str">
        <f>IF(Allocation!BM54="","",Allocation!BM54)</f>
        <v>B1</v>
      </c>
      <c r="F54" t="str">
        <f>IF(Allocation!BN54="","",Allocation!BN54)</f>
        <v>ALT</v>
      </c>
      <c r="G54">
        <f>IF(Allocation!BO54="","",Allocation!BO54)</f>
        <v>41</v>
      </c>
      <c r="H54">
        <f>IF(Allocation!BP54="","",Allocation!BP54)</f>
        <v>2</v>
      </c>
      <c r="I54">
        <f>IF(Allocation!BQ54="","",Allocation!BQ54)</f>
        <v>305040</v>
      </c>
      <c r="J54">
        <f>IF(Allocation!CC54="","",Allocation!CC54)</f>
        <v>41</v>
      </c>
      <c r="K54">
        <f t="shared" si="0"/>
        <v>960</v>
      </c>
      <c r="L54">
        <f t="shared" si="1"/>
        <v>201</v>
      </c>
      <c r="M54">
        <f t="shared" si="2"/>
        <v>10</v>
      </c>
      <c r="N54">
        <f t="shared" si="3"/>
        <v>1399680</v>
      </c>
      <c r="O54">
        <f t="shared" si="4"/>
        <v>5680</v>
      </c>
      <c r="P54">
        <f t="shared" si="5"/>
        <v>82</v>
      </c>
      <c r="Q54">
        <f t="shared" si="6"/>
        <v>357</v>
      </c>
      <c r="R54">
        <f t="shared" si="7"/>
        <v>20</v>
      </c>
      <c r="S54">
        <f t="shared" si="8"/>
        <v>2403570</v>
      </c>
      <c r="T54">
        <f t="shared" si="9"/>
        <v>2773</v>
      </c>
      <c r="U54">
        <f t="shared" si="10"/>
        <v>135</v>
      </c>
      <c r="V54">
        <f t="shared" si="11"/>
        <v>20567210</v>
      </c>
      <c r="W54">
        <f>IF($A54="","",Allocation!CD54)</f>
        <v>88144</v>
      </c>
      <c r="X54">
        <f>IF($A54="","",Allocation!CE54)</f>
        <v>220599.82</v>
      </c>
      <c r="Y54">
        <f>IF($A54="","",Allocation!CF54)</f>
        <v>61804</v>
      </c>
      <c r="Z54">
        <f>IF($A54="","",Allocation!CG54)</f>
        <v>30258</v>
      </c>
      <c r="AA54">
        <f>IF($A54="","",Allocation!CH54)</f>
        <v>491052.17</v>
      </c>
      <c r="AB54">
        <f>IF($A54="","",Allocation!CI54)</f>
        <v>2639292</v>
      </c>
      <c r="AC54">
        <f>IF($A54="","",IF(Allocation!$N$4="VOL_EFF",$G54,IF(Allocation!$N$4="VOL_CLASS",$H54,$I54)))</f>
        <v>2</v>
      </c>
      <c r="AD54">
        <f>IF($A54="","",IF(Allocation!$N$4="VOL_EFF",$L54,IF(Allocation!$N$4="VOL_CLASS",$M54,$N54)))</f>
        <v>10</v>
      </c>
      <c r="AE54">
        <f>IF($A54="","",IF(Allocation!$N$3="VOL_EFF",$L54,IF(Allocation!$N$3="VOL_CLASS",$M54,$N54)))</f>
        <v>201</v>
      </c>
      <c r="AF54">
        <f>IF($A54="","",IF(Allocation!$N$3="VOL_EFF",$Q54,IF(Allocation!$N$3="VOL_CLASS",$R54,$S54)))</f>
        <v>357</v>
      </c>
      <c r="AG54">
        <f>IF($A54="","",IF(Allocation!$N$1="VOL_EFF",$Q54,IF(Allocation!$N$1="VOL_CLASS",$R54,$S54)))</f>
        <v>357</v>
      </c>
      <c r="AH54">
        <f>IF($A54="","",IF(Allocation!$N$1="VOL_EFF",$T54,IF(Allocation!$N$1="VOL_CLASS",$U54,$V54)))</f>
        <v>2773</v>
      </c>
      <c r="AI54">
        <f t="shared" si="12"/>
        <v>14897.577464788732</v>
      </c>
      <c r="AJ54">
        <f t="shared" si="13"/>
        <v>37284.476619718313</v>
      </c>
      <c r="AK54">
        <f t="shared" si="14"/>
        <v>27735.786069651738</v>
      </c>
      <c r="AL54">
        <f t="shared" si="15"/>
        <v>98210.434000000008</v>
      </c>
      <c r="AM54">
        <f t="shared" si="16"/>
        <v>38261.643851424451</v>
      </c>
      <c r="AN54">
        <f t="shared" si="17"/>
        <v>82071.308207563532</v>
      </c>
      <c r="AO54">
        <f>IF($A54="","",Allocation!CJ54)</f>
        <v>499926</v>
      </c>
      <c r="AP54">
        <f>IF($A54="","",IF(Allocation!$N$2="VOL_EFF",$Q54,IF(Allocation!$N$2="VOL_CLASS",$R54,$S54)))</f>
        <v>2403570</v>
      </c>
      <c r="AQ54">
        <f>IF($A54="","",IF(Allocation!$N$2="VOL_EFF",$T54,IF(Allocation!$N$2="VOL_CLASS",$U54,$V54)))</f>
        <v>20567210</v>
      </c>
      <c r="AR54">
        <f t="shared" si="18"/>
        <v>6578.7737868532422</v>
      </c>
      <c r="AS54" t="str">
        <f>IF($A54="","",$A54&amp;"|"&amp;Allocation!BG54)</f>
        <v>2024|ACT</v>
      </c>
    </row>
    <row r="55" spans="1:45" x14ac:dyDescent="0.45">
      <c r="A55" t="str">
        <f>IF(Allocation!BI55="","",Allocation!BI55)</f>
        <v>2024</v>
      </c>
      <c r="B55" t="str">
        <f>IF(Allocation!BJ55="","",Allocation!BJ55)</f>
        <v>PIGIER_LYO</v>
      </c>
      <c r="C55" t="str">
        <f>IF(Allocation!BK55="","",Allocation!BK55)</f>
        <v>PIGIER</v>
      </c>
      <c r="D55" t="str">
        <f>IF(Allocation!BL55="","",Allocation!BL55)</f>
        <v>BAC_RH</v>
      </c>
      <c r="E55" t="str">
        <f>IF(Allocation!BM55="","",Allocation!BM55)</f>
        <v>B2</v>
      </c>
      <c r="F55" t="str">
        <f>IF(Allocation!BN55="","",Allocation!BN55)</f>
        <v>ALT</v>
      </c>
      <c r="G55">
        <f>IF(Allocation!BO55="","",Allocation!BO55)</f>
        <v>40</v>
      </c>
      <c r="H55">
        <f>IF(Allocation!BP55="","",Allocation!BP55)</f>
        <v>2</v>
      </c>
      <c r="I55">
        <f>IF(Allocation!BQ55="","",Allocation!BQ55)</f>
        <v>294000</v>
      </c>
      <c r="J55">
        <f>IF(Allocation!CC55="","",Allocation!CC55)</f>
        <v>0</v>
      </c>
      <c r="K55">
        <f t="shared" si="0"/>
        <v>960</v>
      </c>
      <c r="L55">
        <f t="shared" si="1"/>
        <v>201</v>
      </c>
      <c r="M55">
        <f t="shared" si="2"/>
        <v>10</v>
      </c>
      <c r="N55">
        <f t="shared" si="3"/>
        <v>1399680</v>
      </c>
      <c r="O55">
        <f t="shared" si="4"/>
        <v>5680</v>
      </c>
      <c r="P55">
        <f t="shared" si="5"/>
        <v>82</v>
      </c>
      <c r="Q55">
        <f t="shared" si="6"/>
        <v>357</v>
      </c>
      <c r="R55">
        <f t="shared" si="7"/>
        <v>20</v>
      </c>
      <c r="S55">
        <f t="shared" si="8"/>
        <v>2403570</v>
      </c>
      <c r="T55">
        <f t="shared" si="9"/>
        <v>2773</v>
      </c>
      <c r="U55">
        <f t="shared" si="10"/>
        <v>135</v>
      </c>
      <c r="V55">
        <f t="shared" si="11"/>
        <v>20567210</v>
      </c>
      <c r="W55">
        <f>IF($A55="","",Allocation!CD55)</f>
        <v>88144</v>
      </c>
      <c r="X55">
        <f>IF($A55="","",Allocation!CE55)</f>
        <v>220599.82</v>
      </c>
      <c r="Y55">
        <f>IF($A55="","",Allocation!CF55)</f>
        <v>61804</v>
      </c>
      <c r="Z55">
        <f>IF($A55="","",Allocation!CG55)</f>
        <v>30258</v>
      </c>
      <c r="AA55">
        <f>IF($A55="","",Allocation!CH55)</f>
        <v>491052.17</v>
      </c>
      <c r="AB55">
        <f>IF($A55="","",Allocation!CI55)</f>
        <v>2639292</v>
      </c>
      <c r="AC55">
        <f>IF($A55="","",IF(Allocation!$N$4="VOL_EFF",$G55,IF(Allocation!$N$4="VOL_CLASS",$H55,$I55)))</f>
        <v>2</v>
      </c>
      <c r="AD55">
        <f>IF($A55="","",IF(Allocation!$N$4="VOL_EFF",$L55,IF(Allocation!$N$4="VOL_CLASS",$M55,$N55)))</f>
        <v>10</v>
      </c>
      <c r="AE55">
        <f>IF($A55="","",IF(Allocation!$N$3="VOL_EFF",$L55,IF(Allocation!$N$3="VOL_CLASS",$M55,$N55)))</f>
        <v>201</v>
      </c>
      <c r="AF55">
        <f>IF($A55="","",IF(Allocation!$N$3="VOL_EFF",$Q55,IF(Allocation!$N$3="VOL_CLASS",$R55,$S55)))</f>
        <v>357</v>
      </c>
      <c r="AG55">
        <f>IF($A55="","",IF(Allocation!$N$1="VOL_EFF",$Q55,IF(Allocation!$N$1="VOL_CLASS",$R55,$S55)))</f>
        <v>357</v>
      </c>
      <c r="AH55">
        <f>IF($A55="","",IF(Allocation!$N$1="VOL_EFF",$T55,IF(Allocation!$N$1="VOL_CLASS",$U55,$V55)))</f>
        <v>2773</v>
      </c>
      <c r="AI55">
        <f t="shared" si="12"/>
        <v>14897.577464788732</v>
      </c>
      <c r="AJ55">
        <f t="shared" si="13"/>
        <v>37284.476619718313</v>
      </c>
      <c r="AK55">
        <f t="shared" si="14"/>
        <v>12299.303482587065</v>
      </c>
      <c r="AL55">
        <f t="shared" si="15"/>
        <v>98210.434000000008</v>
      </c>
      <c r="AM55">
        <f t="shared" si="16"/>
        <v>38261.643851424451</v>
      </c>
      <c r="AN55">
        <f t="shared" si="17"/>
        <v>86467.790794628207</v>
      </c>
      <c r="AO55">
        <f>IF($A55="","",Allocation!CJ55)</f>
        <v>499926</v>
      </c>
      <c r="AP55">
        <f>IF($A55="","",IF(Allocation!$N$2="VOL_EFF",$Q55,IF(Allocation!$N$2="VOL_CLASS",$R55,$S55)))</f>
        <v>2403570</v>
      </c>
      <c r="AQ55">
        <f>IF($A55="","",IF(Allocation!$N$2="VOL_EFF",$T55,IF(Allocation!$N$2="VOL_CLASS",$U55,$V55)))</f>
        <v>20567210</v>
      </c>
      <c r="AR55">
        <f t="shared" si="18"/>
        <v>6578.7737868532422</v>
      </c>
      <c r="AS55" t="str">
        <f>IF($A55="","",$A55&amp;"|"&amp;Allocation!BG55)</f>
        <v>2024|ACT</v>
      </c>
    </row>
    <row r="56" spans="1:45" x14ac:dyDescent="0.45">
      <c r="A56" t="str">
        <f>IF(Allocation!BI56="","",Allocation!BI56)</f>
        <v>2024</v>
      </c>
      <c r="B56" t="str">
        <f>IF(Allocation!BJ56="","",Allocation!BJ56)</f>
        <v>TUNON_LYO</v>
      </c>
      <c r="C56" t="str">
        <f>IF(Allocation!BK56="","",Allocation!BK56)</f>
        <v>TUNON</v>
      </c>
      <c r="D56" t="str">
        <f>IF(Allocation!BL56="","",Allocation!BL56)</f>
        <v>BAC_TOU</v>
      </c>
      <c r="E56" t="str">
        <f>IF(Allocation!BM56="","",Allocation!BM56)</f>
        <v>B1</v>
      </c>
      <c r="F56" t="str">
        <f>IF(Allocation!BN56="","",Allocation!BN56)</f>
        <v>ALT</v>
      </c>
      <c r="G56">
        <f>IF(Allocation!BO56="","",Allocation!BO56)</f>
        <v>36</v>
      </c>
      <c r="H56">
        <f>IF(Allocation!BP56="","",Allocation!BP56)</f>
        <v>2</v>
      </c>
      <c r="I56">
        <f>IF(Allocation!BQ56="","",Allocation!BQ56)</f>
        <v>267840</v>
      </c>
      <c r="J56">
        <f>IF(Allocation!CC56="","",Allocation!CC56)</f>
        <v>36</v>
      </c>
      <c r="K56">
        <f t="shared" si="0"/>
        <v>960</v>
      </c>
      <c r="L56">
        <f t="shared" si="1"/>
        <v>105</v>
      </c>
      <c r="M56">
        <f t="shared" si="2"/>
        <v>6</v>
      </c>
      <c r="N56">
        <f t="shared" si="3"/>
        <v>774990</v>
      </c>
      <c r="O56">
        <f t="shared" si="4"/>
        <v>2880</v>
      </c>
      <c r="P56">
        <f t="shared" si="5"/>
        <v>36</v>
      </c>
      <c r="Q56">
        <f t="shared" si="6"/>
        <v>228</v>
      </c>
      <c r="R56">
        <f t="shared" si="7"/>
        <v>12</v>
      </c>
      <c r="S56">
        <f t="shared" si="8"/>
        <v>1743090</v>
      </c>
      <c r="T56">
        <f t="shared" si="9"/>
        <v>2773</v>
      </c>
      <c r="U56">
        <f t="shared" si="10"/>
        <v>135</v>
      </c>
      <c r="V56">
        <f t="shared" si="11"/>
        <v>20567210</v>
      </c>
      <c r="W56">
        <f>IF($A56="","",Allocation!CD56)</f>
        <v>66108</v>
      </c>
      <c r="X56">
        <f>IF($A56="","",Allocation!CE56)</f>
        <v>161858.54</v>
      </c>
      <c r="Y56">
        <f>IF($A56="","",Allocation!CF56)</f>
        <v>39731</v>
      </c>
      <c r="Z56">
        <f>IF($A56="","",Allocation!CG56)</f>
        <v>15578</v>
      </c>
      <c r="AA56">
        <f>IF($A56="","",Allocation!CH56)</f>
        <v>326504.08</v>
      </c>
      <c r="AB56">
        <f>IF($A56="","",Allocation!CI56)</f>
        <v>2639292</v>
      </c>
      <c r="AC56">
        <f>IF($A56="","",IF(Allocation!$N$4="VOL_EFF",$G56,IF(Allocation!$N$4="VOL_CLASS",$H56,$I56)))</f>
        <v>2</v>
      </c>
      <c r="AD56">
        <f>IF($A56="","",IF(Allocation!$N$4="VOL_EFF",$L56,IF(Allocation!$N$4="VOL_CLASS",$M56,$N56)))</f>
        <v>6</v>
      </c>
      <c r="AE56">
        <f>IF($A56="","",IF(Allocation!$N$3="VOL_EFF",$L56,IF(Allocation!$N$3="VOL_CLASS",$M56,$N56)))</f>
        <v>105</v>
      </c>
      <c r="AF56">
        <f>IF($A56="","",IF(Allocation!$N$3="VOL_EFF",$Q56,IF(Allocation!$N$3="VOL_CLASS",$R56,$S56)))</f>
        <v>228</v>
      </c>
      <c r="AG56">
        <f>IF($A56="","",IF(Allocation!$N$1="VOL_EFF",$Q56,IF(Allocation!$N$1="VOL_CLASS",$R56,$S56)))</f>
        <v>228</v>
      </c>
      <c r="AH56">
        <f>IF($A56="","",IF(Allocation!$N$1="VOL_EFF",$T56,IF(Allocation!$N$1="VOL_CLASS",$U56,$V56)))</f>
        <v>2773</v>
      </c>
      <c r="AI56">
        <f t="shared" si="12"/>
        <v>22036</v>
      </c>
      <c r="AJ56">
        <f t="shared" si="13"/>
        <v>53952.846666666665</v>
      </c>
      <c r="AK56">
        <f t="shared" si="14"/>
        <v>29200.057142857142</v>
      </c>
      <c r="AL56">
        <f t="shared" si="15"/>
        <v>108834.69333333333</v>
      </c>
      <c r="AM56">
        <f t="shared" si="16"/>
        <v>33312.376487558598</v>
      </c>
      <c r="AN56">
        <f t="shared" si="17"/>
        <v>13999.984171308985</v>
      </c>
      <c r="AO56">
        <f>IF($A56="","",Allocation!CJ56)</f>
        <v>499926</v>
      </c>
      <c r="AP56">
        <f>IF($A56="","",IF(Allocation!$N$2="VOL_EFF",$Q56,IF(Allocation!$N$2="VOL_CLASS",$R56,$S56)))</f>
        <v>1743090</v>
      </c>
      <c r="AQ56">
        <f>IF($A56="","",IF(Allocation!$N$2="VOL_EFF",$T56,IF(Allocation!$N$2="VOL_CLASS",$U56,$V56)))</f>
        <v>20567210</v>
      </c>
      <c r="AR56">
        <f t="shared" si="18"/>
        <v>6504.0421982752887</v>
      </c>
      <c r="AS56" t="str">
        <f>IF($A56="","",$A56&amp;"|"&amp;Allocation!BG56)</f>
        <v>2024|ACT</v>
      </c>
    </row>
    <row r="57" spans="1:45" x14ac:dyDescent="0.45">
      <c r="A57" t="str">
        <f>IF(Allocation!BI57="","",Allocation!BI57)</f>
        <v>2024</v>
      </c>
      <c r="B57" t="str">
        <f>IF(Allocation!BJ57="","",Allocation!BJ57)</f>
        <v>TUNON_LYO</v>
      </c>
      <c r="C57" t="str">
        <f>IF(Allocation!BK57="","",Allocation!BK57)</f>
        <v>TUNON</v>
      </c>
      <c r="D57" t="str">
        <f>IF(Allocation!BL57="","",Allocation!BL57)</f>
        <v>BAC_TOU</v>
      </c>
      <c r="E57" t="str">
        <f>IF(Allocation!BM57="","",Allocation!BM57)</f>
        <v>B2</v>
      </c>
      <c r="F57" t="str">
        <f>IF(Allocation!BN57="","",Allocation!BN57)</f>
        <v>ALT</v>
      </c>
      <c r="G57">
        <f>IF(Allocation!BO57="","",Allocation!BO57)</f>
        <v>35</v>
      </c>
      <c r="H57">
        <f>IF(Allocation!BP57="","",Allocation!BP57)</f>
        <v>2</v>
      </c>
      <c r="I57">
        <f>IF(Allocation!BQ57="","",Allocation!BQ57)</f>
        <v>257250</v>
      </c>
      <c r="J57">
        <f>IF(Allocation!CC57="","",Allocation!CC57)</f>
        <v>0</v>
      </c>
      <c r="K57">
        <f t="shared" si="0"/>
        <v>960</v>
      </c>
      <c r="L57">
        <f t="shared" si="1"/>
        <v>105</v>
      </c>
      <c r="M57">
        <f t="shared" si="2"/>
        <v>6</v>
      </c>
      <c r="N57">
        <f t="shared" si="3"/>
        <v>774990</v>
      </c>
      <c r="O57">
        <f t="shared" si="4"/>
        <v>2880</v>
      </c>
      <c r="P57">
        <f t="shared" si="5"/>
        <v>36</v>
      </c>
      <c r="Q57">
        <f t="shared" si="6"/>
        <v>228</v>
      </c>
      <c r="R57">
        <f t="shared" si="7"/>
        <v>12</v>
      </c>
      <c r="S57">
        <f t="shared" si="8"/>
        <v>1743090</v>
      </c>
      <c r="T57">
        <f t="shared" si="9"/>
        <v>2773</v>
      </c>
      <c r="U57">
        <f t="shared" si="10"/>
        <v>135</v>
      </c>
      <c r="V57">
        <f t="shared" si="11"/>
        <v>20567210</v>
      </c>
      <c r="W57">
        <f>IF($A57="","",Allocation!CD57)</f>
        <v>66108</v>
      </c>
      <c r="X57">
        <f>IF($A57="","",Allocation!CE57)</f>
        <v>161858.54</v>
      </c>
      <c r="Y57">
        <f>IF($A57="","",Allocation!CF57)</f>
        <v>39731</v>
      </c>
      <c r="Z57">
        <f>IF($A57="","",Allocation!CG57)</f>
        <v>15578</v>
      </c>
      <c r="AA57">
        <f>IF($A57="","",Allocation!CH57)</f>
        <v>326504.08</v>
      </c>
      <c r="AB57">
        <f>IF($A57="","",Allocation!CI57)</f>
        <v>2639292</v>
      </c>
      <c r="AC57">
        <f>IF($A57="","",IF(Allocation!$N$4="VOL_EFF",$G57,IF(Allocation!$N$4="VOL_CLASS",$H57,$I57)))</f>
        <v>2</v>
      </c>
      <c r="AD57">
        <f>IF($A57="","",IF(Allocation!$N$4="VOL_EFF",$L57,IF(Allocation!$N$4="VOL_CLASS",$M57,$N57)))</f>
        <v>6</v>
      </c>
      <c r="AE57">
        <f>IF($A57="","",IF(Allocation!$N$3="VOL_EFF",$L57,IF(Allocation!$N$3="VOL_CLASS",$M57,$N57)))</f>
        <v>105</v>
      </c>
      <c r="AF57">
        <f>IF($A57="","",IF(Allocation!$N$3="VOL_EFF",$Q57,IF(Allocation!$N$3="VOL_CLASS",$R57,$S57)))</f>
        <v>228</v>
      </c>
      <c r="AG57">
        <f>IF($A57="","",IF(Allocation!$N$1="VOL_EFF",$Q57,IF(Allocation!$N$1="VOL_CLASS",$R57,$S57)))</f>
        <v>228</v>
      </c>
      <c r="AH57">
        <f>IF($A57="","",IF(Allocation!$N$1="VOL_EFF",$T57,IF(Allocation!$N$1="VOL_CLASS",$U57,$V57)))</f>
        <v>2773</v>
      </c>
      <c r="AI57">
        <f t="shared" si="12"/>
        <v>22036</v>
      </c>
      <c r="AJ57">
        <f t="shared" si="13"/>
        <v>53952.846666666665</v>
      </c>
      <c r="AK57">
        <f t="shared" si="14"/>
        <v>13243.666666666666</v>
      </c>
      <c r="AL57">
        <f t="shared" si="15"/>
        <v>108834.69333333333</v>
      </c>
      <c r="AM57">
        <f t="shared" si="16"/>
        <v>33312.376487558598</v>
      </c>
      <c r="AN57">
        <f t="shared" si="17"/>
        <v>19366.37464749947</v>
      </c>
      <c r="AO57">
        <f>IF($A57="","",Allocation!CJ57)</f>
        <v>499926</v>
      </c>
      <c r="AP57">
        <f>IF($A57="","",IF(Allocation!$N$2="VOL_EFF",$Q57,IF(Allocation!$N$2="VOL_CLASS",$R57,$S57)))</f>
        <v>1743090</v>
      </c>
      <c r="AQ57">
        <f>IF($A57="","",IF(Allocation!$N$2="VOL_EFF",$T57,IF(Allocation!$N$2="VOL_CLASS",$U57,$V57)))</f>
        <v>20567210</v>
      </c>
      <c r="AR57">
        <f t="shared" si="18"/>
        <v>6504.0421982752887</v>
      </c>
      <c r="AS57" t="str">
        <f>IF($A57="","",$A57&amp;"|"&amp;Allocation!BG57)</f>
        <v>2024|ACT</v>
      </c>
    </row>
    <row r="58" spans="1:45" x14ac:dyDescent="0.45">
      <c r="A58" t="str">
        <f>IF(Allocation!BI58="","",Allocation!BI58)</f>
        <v>2024</v>
      </c>
      <c r="B58" t="str">
        <f>IF(Allocation!BJ58="","",Allocation!BJ58)</f>
        <v>TUNON_LYO</v>
      </c>
      <c r="C58" t="str">
        <f>IF(Allocation!BK58="","",Allocation!BK58)</f>
        <v>TUNON</v>
      </c>
      <c r="D58" t="str">
        <f>IF(Allocation!BL58="","",Allocation!BL58)</f>
        <v>BAC_TOU</v>
      </c>
      <c r="E58" t="str">
        <f>IF(Allocation!BM58="","",Allocation!BM58)</f>
        <v>B3</v>
      </c>
      <c r="F58" t="str">
        <f>IF(Allocation!BN58="","",Allocation!BN58)</f>
        <v>ALT</v>
      </c>
      <c r="G58">
        <f>IF(Allocation!BO58="","",Allocation!BO58)</f>
        <v>34</v>
      </c>
      <c r="H58">
        <f>IF(Allocation!BP58="","",Allocation!BP58)</f>
        <v>2</v>
      </c>
      <c r="I58">
        <f>IF(Allocation!BQ58="","",Allocation!BQ58)</f>
        <v>249900</v>
      </c>
      <c r="J58">
        <f>IF(Allocation!CC58="","",Allocation!CC58)</f>
        <v>0</v>
      </c>
      <c r="K58">
        <f t="shared" si="0"/>
        <v>960</v>
      </c>
      <c r="L58">
        <f t="shared" si="1"/>
        <v>105</v>
      </c>
      <c r="M58">
        <f t="shared" si="2"/>
        <v>6</v>
      </c>
      <c r="N58">
        <f t="shared" si="3"/>
        <v>774990</v>
      </c>
      <c r="O58">
        <f t="shared" si="4"/>
        <v>2880</v>
      </c>
      <c r="P58">
        <f t="shared" si="5"/>
        <v>36</v>
      </c>
      <c r="Q58">
        <f t="shared" si="6"/>
        <v>228</v>
      </c>
      <c r="R58">
        <f t="shared" si="7"/>
        <v>12</v>
      </c>
      <c r="S58">
        <f t="shared" si="8"/>
        <v>1743090</v>
      </c>
      <c r="T58">
        <f t="shared" si="9"/>
        <v>2773</v>
      </c>
      <c r="U58">
        <f t="shared" si="10"/>
        <v>135</v>
      </c>
      <c r="V58">
        <f t="shared" si="11"/>
        <v>20567210</v>
      </c>
      <c r="W58">
        <f>IF($A58="","",Allocation!CD58)</f>
        <v>66108</v>
      </c>
      <c r="X58">
        <f>IF($A58="","",Allocation!CE58)</f>
        <v>161858.54</v>
      </c>
      <c r="Y58">
        <f>IF($A58="","",Allocation!CF58)</f>
        <v>39731</v>
      </c>
      <c r="Z58">
        <f>IF($A58="","",Allocation!CG58)</f>
        <v>15578</v>
      </c>
      <c r="AA58">
        <f>IF($A58="","",Allocation!CH58)</f>
        <v>326504.08</v>
      </c>
      <c r="AB58">
        <f>IF($A58="","",Allocation!CI58)</f>
        <v>2639292</v>
      </c>
      <c r="AC58">
        <f>IF($A58="","",IF(Allocation!$N$4="VOL_EFF",$G58,IF(Allocation!$N$4="VOL_CLASS",$H58,$I58)))</f>
        <v>2</v>
      </c>
      <c r="AD58">
        <f>IF($A58="","",IF(Allocation!$N$4="VOL_EFF",$L58,IF(Allocation!$N$4="VOL_CLASS",$M58,$N58)))</f>
        <v>6</v>
      </c>
      <c r="AE58">
        <f>IF($A58="","",IF(Allocation!$N$3="VOL_EFF",$L58,IF(Allocation!$N$3="VOL_CLASS",$M58,$N58)))</f>
        <v>105</v>
      </c>
      <c r="AF58">
        <f>IF($A58="","",IF(Allocation!$N$3="VOL_EFF",$Q58,IF(Allocation!$N$3="VOL_CLASS",$R58,$S58)))</f>
        <v>228</v>
      </c>
      <c r="AG58">
        <f>IF($A58="","",IF(Allocation!$N$1="VOL_EFF",$Q58,IF(Allocation!$N$1="VOL_CLASS",$R58,$S58)))</f>
        <v>228</v>
      </c>
      <c r="AH58">
        <f>IF($A58="","",IF(Allocation!$N$1="VOL_EFF",$T58,IF(Allocation!$N$1="VOL_CLASS",$U58,$V58)))</f>
        <v>2773</v>
      </c>
      <c r="AI58">
        <f t="shared" si="12"/>
        <v>22036</v>
      </c>
      <c r="AJ58">
        <f t="shared" si="13"/>
        <v>53952.846666666665</v>
      </c>
      <c r="AK58">
        <f t="shared" si="14"/>
        <v>12865.276190476192</v>
      </c>
      <c r="AL58">
        <f t="shared" si="15"/>
        <v>108834.69333333333</v>
      </c>
      <c r="AM58">
        <f t="shared" si="16"/>
        <v>33312.376487558598</v>
      </c>
      <c r="AN58">
        <f t="shared" si="17"/>
        <v>12394.765123689955</v>
      </c>
      <c r="AO58">
        <f>IF($A58="","",Allocation!CJ58)</f>
        <v>499926</v>
      </c>
      <c r="AP58">
        <f>IF($A58="","",IF(Allocation!$N$2="VOL_EFF",$Q58,IF(Allocation!$N$2="VOL_CLASS",$R58,$S58)))</f>
        <v>1743090</v>
      </c>
      <c r="AQ58">
        <f>IF($A58="","",IF(Allocation!$N$2="VOL_EFF",$T58,IF(Allocation!$N$2="VOL_CLASS",$U58,$V58)))</f>
        <v>20567210</v>
      </c>
      <c r="AR58">
        <f t="shared" si="18"/>
        <v>6504.0421982752887</v>
      </c>
      <c r="AS58" t="str">
        <f>IF($A58="","",$A58&amp;"|"&amp;Allocation!BG58)</f>
        <v>2024|ACT</v>
      </c>
    </row>
    <row r="59" spans="1:45" x14ac:dyDescent="0.45">
      <c r="A59" t="str">
        <f>IF(Allocation!BI59="","",Allocation!BI59)</f>
        <v>2024</v>
      </c>
      <c r="B59" t="str">
        <f>IF(Allocation!BJ59="","",Allocation!BJ59)</f>
        <v>TUNON_PAR</v>
      </c>
      <c r="C59" t="str">
        <f>IF(Allocation!BK59="","",Allocation!BK59)</f>
        <v>TUNON</v>
      </c>
      <c r="D59" t="str">
        <f>IF(Allocation!BL59="","",Allocation!BL59)</f>
        <v>BAC_TOU</v>
      </c>
      <c r="E59" t="str">
        <f>IF(Allocation!BM59="","",Allocation!BM59)</f>
        <v>B1</v>
      </c>
      <c r="F59" t="str">
        <f>IF(Allocation!BN59="","",Allocation!BN59)</f>
        <v>ALT</v>
      </c>
      <c r="G59">
        <f>IF(Allocation!BO59="","",Allocation!BO59)</f>
        <v>42</v>
      </c>
      <c r="H59">
        <f>IF(Allocation!BP59="","",Allocation!BP59)</f>
        <v>2</v>
      </c>
      <c r="I59">
        <f>IF(Allocation!BQ59="","",Allocation!BQ59)</f>
        <v>333060</v>
      </c>
      <c r="J59">
        <f>IF(Allocation!CC59="","",Allocation!CC59)</f>
        <v>42</v>
      </c>
      <c r="K59">
        <f t="shared" si="0"/>
        <v>960</v>
      </c>
      <c r="L59">
        <f t="shared" si="1"/>
        <v>123</v>
      </c>
      <c r="M59">
        <f t="shared" si="2"/>
        <v>6</v>
      </c>
      <c r="N59">
        <f t="shared" si="3"/>
        <v>968100</v>
      </c>
      <c r="O59">
        <f t="shared" si="4"/>
        <v>2880</v>
      </c>
      <c r="P59">
        <f t="shared" si="5"/>
        <v>42</v>
      </c>
      <c r="Q59">
        <f t="shared" si="6"/>
        <v>228</v>
      </c>
      <c r="R59">
        <f t="shared" si="7"/>
        <v>12</v>
      </c>
      <c r="S59">
        <f t="shared" si="8"/>
        <v>1743090</v>
      </c>
      <c r="T59">
        <f t="shared" si="9"/>
        <v>2773</v>
      </c>
      <c r="U59">
        <f t="shared" si="10"/>
        <v>135</v>
      </c>
      <c r="V59">
        <f t="shared" si="11"/>
        <v>20567210</v>
      </c>
      <c r="W59">
        <f>IF($A59="","",Allocation!CD59)</f>
        <v>66108</v>
      </c>
      <c r="X59">
        <f>IF($A59="","",Allocation!CE59)</f>
        <v>193142.69</v>
      </c>
      <c r="Y59">
        <f>IF($A59="","",Allocation!CF59)</f>
        <v>46862</v>
      </c>
      <c r="Z59">
        <f>IF($A59="","",Allocation!CG59)</f>
        <v>24992</v>
      </c>
      <c r="AA59">
        <f>IF($A59="","",Allocation!CH59)</f>
        <v>433033.08</v>
      </c>
      <c r="AB59">
        <f>IF($A59="","",Allocation!CI59)</f>
        <v>2639292</v>
      </c>
      <c r="AC59">
        <f>IF($A59="","",IF(Allocation!$N$4="VOL_EFF",$G59,IF(Allocation!$N$4="VOL_CLASS",$H59,$I59)))</f>
        <v>2</v>
      </c>
      <c r="AD59">
        <f>IF($A59="","",IF(Allocation!$N$4="VOL_EFF",$L59,IF(Allocation!$N$4="VOL_CLASS",$M59,$N59)))</f>
        <v>6</v>
      </c>
      <c r="AE59">
        <f>IF($A59="","",IF(Allocation!$N$3="VOL_EFF",$L59,IF(Allocation!$N$3="VOL_CLASS",$M59,$N59)))</f>
        <v>123</v>
      </c>
      <c r="AF59">
        <f>IF($A59="","",IF(Allocation!$N$3="VOL_EFF",$Q59,IF(Allocation!$N$3="VOL_CLASS",$R59,$S59)))</f>
        <v>228</v>
      </c>
      <c r="AG59">
        <f>IF($A59="","",IF(Allocation!$N$1="VOL_EFF",$Q59,IF(Allocation!$N$1="VOL_CLASS",$R59,$S59)))</f>
        <v>228</v>
      </c>
      <c r="AH59">
        <f>IF($A59="","",IF(Allocation!$N$1="VOL_EFF",$T59,IF(Allocation!$N$1="VOL_CLASS",$U59,$V59)))</f>
        <v>2773</v>
      </c>
      <c r="AI59">
        <f t="shared" si="12"/>
        <v>22036</v>
      </c>
      <c r="AJ59">
        <f t="shared" si="13"/>
        <v>64380.896666666667</v>
      </c>
      <c r="AK59">
        <f t="shared" si="14"/>
        <v>40993.658536585368</v>
      </c>
      <c r="AL59">
        <f t="shared" si="15"/>
        <v>144344.35999999999</v>
      </c>
      <c r="AM59">
        <f t="shared" si="16"/>
        <v>39023.069599711496</v>
      </c>
      <c r="AN59">
        <f t="shared" si="17"/>
        <v>14662.994336199714</v>
      </c>
      <c r="AO59">
        <f>IF($A59="","",Allocation!CJ59)</f>
        <v>499926</v>
      </c>
      <c r="AP59">
        <f>IF($A59="","",IF(Allocation!$N$2="VOL_EFF",$Q59,IF(Allocation!$N$2="VOL_CLASS",$R59,$S59)))</f>
        <v>1743090</v>
      </c>
      <c r="AQ59">
        <f>IF($A59="","",IF(Allocation!$N$2="VOL_EFF",$T59,IF(Allocation!$N$2="VOL_CLASS",$U59,$V59)))</f>
        <v>20567210</v>
      </c>
      <c r="AR59">
        <f t="shared" si="18"/>
        <v>7619.0208608367657</v>
      </c>
      <c r="AS59" t="str">
        <f>IF($A59="","",$A59&amp;"|"&amp;Allocation!BG59)</f>
        <v>2024|ACT</v>
      </c>
    </row>
    <row r="60" spans="1:45" x14ac:dyDescent="0.45">
      <c r="A60" t="str">
        <f>IF(Allocation!BI60="","",Allocation!BI60)</f>
        <v>2024</v>
      </c>
      <c r="B60" t="str">
        <f>IF(Allocation!BJ60="","",Allocation!BJ60)</f>
        <v>TUNON_PAR</v>
      </c>
      <c r="C60" t="str">
        <f>IF(Allocation!BK60="","",Allocation!BK60)</f>
        <v>TUNON</v>
      </c>
      <c r="D60" t="str">
        <f>IF(Allocation!BL60="","",Allocation!BL60)</f>
        <v>BAC_TOU</v>
      </c>
      <c r="E60" t="str">
        <f>IF(Allocation!BM60="","",Allocation!BM60)</f>
        <v>B2</v>
      </c>
      <c r="F60" t="str">
        <f>IF(Allocation!BN60="","",Allocation!BN60)</f>
        <v>ALT</v>
      </c>
      <c r="G60">
        <f>IF(Allocation!BO60="","",Allocation!BO60)</f>
        <v>41</v>
      </c>
      <c r="H60">
        <f>IF(Allocation!BP60="","",Allocation!BP60)</f>
        <v>2</v>
      </c>
      <c r="I60">
        <f>IF(Allocation!BQ60="","",Allocation!BQ60)</f>
        <v>321440</v>
      </c>
      <c r="J60">
        <f>IF(Allocation!CC60="","",Allocation!CC60)</f>
        <v>0</v>
      </c>
      <c r="K60">
        <f t="shared" si="0"/>
        <v>960</v>
      </c>
      <c r="L60">
        <f t="shared" si="1"/>
        <v>123</v>
      </c>
      <c r="M60">
        <f t="shared" si="2"/>
        <v>6</v>
      </c>
      <c r="N60">
        <f t="shared" si="3"/>
        <v>968100</v>
      </c>
      <c r="O60">
        <f t="shared" si="4"/>
        <v>2880</v>
      </c>
      <c r="P60">
        <f t="shared" si="5"/>
        <v>42</v>
      </c>
      <c r="Q60">
        <f t="shared" si="6"/>
        <v>228</v>
      </c>
      <c r="R60">
        <f t="shared" si="7"/>
        <v>12</v>
      </c>
      <c r="S60">
        <f t="shared" si="8"/>
        <v>1743090</v>
      </c>
      <c r="T60">
        <f t="shared" si="9"/>
        <v>2773</v>
      </c>
      <c r="U60">
        <f t="shared" si="10"/>
        <v>135</v>
      </c>
      <c r="V60">
        <f t="shared" si="11"/>
        <v>20567210</v>
      </c>
      <c r="W60">
        <f>IF($A60="","",Allocation!CD60)</f>
        <v>66108</v>
      </c>
      <c r="X60">
        <f>IF($A60="","",Allocation!CE60)</f>
        <v>193142.69</v>
      </c>
      <c r="Y60">
        <f>IF($A60="","",Allocation!CF60)</f>
        <v>46862</v>
      </c>
      <c r="Z60">
        <f>IF($A60="","",Allocation!CG60)</f>
        <v>24992</v>
      </c>
      <c r="AA60">
        <f>IF($A60="","",Allocation!CH60)</f>
        <v>433033.08</v>
      </c>
      <c r="AB60">
        <f>IF($A60="","",Allocation!CI60)</f>
        <v>2639292</v>
      </c>
      <c r="AC60">
        <f>IF($A60="","",IF(Allocation!$N$4="VOL_EFF",$G60,IF(Allocation!$N$4="VOL_CLASS",$H60,$I60)))</f>
        <v>2</v>
      </c>
      <c r="AD60">
        <f>IF($A60="","",IF(Allocation!$N$4="VOL_EFF",$L60,IF(Allocation!$N$4="VOL_CLASS",$M60,$N60)))</f>
        <v>6</v>
      </c>
      <c r="AE60">
        <f>IF($A60="","",IF(Allocation!$N$3="VOL_EFF",$L60,IF(Allocation!$N$3="VOL_CLASS",$M60,$N60)))</f>
        <v>123</v>
      </c>
      <c r="AF60">
        <f>IF($A60="","",IF(Allocation!$N$3="VOL_EFF",$Q60,IF(Allocation!$N$3="VOL_CLASS",$R60,$S60)))</f>
        <v>228</v>
      </c>
      <c r="AG60">
        <f>IF($A60="","",IF(Allocation!$N$1="VOL_EFF",$Q60,IF(Allocation!$N$1="VOL_CLASS",$R60,$S60)))</f>
        <v>228</v>
      </c>
      <c r="AH60">
        <f>IF($A60="","",IF(Allocation!$N$1="VOL_EFF",$T60,IF(Allocation!$N$1="VOL_CLASS",$U60,$V60)))</f>
        <v>2773</v>
      </c>
      <c r="AI60">
        <f t="shared" si="12"/>
        <v>22036</v>
      </c>
      <c r="AJ60">
        <f t="shared" si="13"/>
        <v>64380.896666666667</v>
      </c>
      <c r="AK60">
        <f t="shared" si="14"/>
        <v>15620.666666666666</v>
      </c>
      <c r="AL60">
        <f t="shared" si="15"/>
        <v>144344.35999999999</v>
      </c>
      <c r="AM60">
        <f t="shared" si="16"/>
        <v>39023.069599711496</v>
      </c>
      <c r="AN60">
        <f t="shared" si="17"/>
        <v>28415.986206118367</v>
      </c>
      <c r="AO60">
        <f>IF($A60="","",Allocation!CJ60)</f>
        <v>499926</v>
      </c>
      <c r="AP60">
        <f>IF($A60="","",IF(Allocation!$N$2="VOL_EFF",$Q60,IF(Allocation!$N$2="VOL_CLASS",$R60,$S60)))</f>
        <v>1743090</v>
      </c>
      <c r="AQ60">
        <f>IF($A60="","",IF(Allocation!$N$2="VOL_EFF",$T60,IF(Allocation!$N$2="VOL_CLASS",$U60,$V60)))</f>
        <v>20567210</v>
      </c>
      <c r="AR60">
        <f t="shared" si="18"/>
        <v>7619.0208608367657</v>
      </c>
      <c r="AS60" t="str">
        <f>IF($A60="","",$A60&amp;"|"&amp;Allocation!BG60)</f>
        <v>2024|ACT</v>
      </c>
    </row>
    <row r="61" spans="1:45" x14ac:dyDescent="0.45">
      <c r="A61" t="str">
        <f>IF(Allocation!BI61="","",Allocation!BI61)</f>
        <v>2024</v>
      </c>
      <c r="B61" t="str">
        <f>IF(Allocation!BJ61="","",Allocation!BJ61)</f>
        <v>TUNON_PAR</v>
      </c>
      <c r="C61" t="str">
        <f>IF(Allocation!BK61="","",Allocation!BK61)</f>
        <v>TUNON</v>
      </c>
      <c r="D61" t="str">
        <f>IF(Allocation!BL61="","",Allocation!BL61)</f>
        <v>BAC_TOU</v>
      </c>
      <c r="E61" t="str">
        <f>IF(Allocation!BM61="","",Allocation!BM61)</f>
        <v>B3</v>
      </c>
      <c r="F61" t="str">
        <f>IF(Allocation!BN61="","",Allocation!BN61)</f>
        <v>ALT</v>
      </c>
      <c r="G61">
        <f>IF(Allocation!BO61="","",Allocation!BO61)</f>
        <v>40</v>
      </c>
      <c r="H61">
        <f>IF(Allocation!BP61="","",Allocation!BP61)</f>
        <v>2</v>
      </c>
      <c r="I61">
        <f>IF(Allocation!BQ61="","",Allocation!BQ61)</f>
        <v>313600</v>
      </c>
      <c r="J61">
        <f>IF(Allocation!CC61="","",Allocation!CC61)</f>
        <v>0</v>
      </c>
      <c r="K61">
        <f t="shared" si="0"/>
        <v>960</v>
      </c>
      <c r="L61">
        <f t="shared" si="1"/>
        <v>123</v>
      </c>
      <c r="M61">
        <f t="shared" si="2"/>
        <v>6</v>
      </c>
      <c r="N61">
        <f t="shared" si="3"/>
        <v>968100</v>
      </c>
      <c r="O61">
        <f t="shared" si="4"/>
        <v>2880</v>
      </c>
      <c r="P61">
        <f t="shared" si="5"/>
        <v>42</v>
      </c>
      <c r="Q61">
        <f t="shared" si="6"/>
        <v>228</v>
      </c>
      <c r="R61">
        <f t="shared" si="7"/>
        <v>12</v>
      </c>
      <c r="S61">
        <f t="shared" si="8"/>
        <v>1743090</v>
      </c>
      <c r="T61">
        <f t="shared" si="9"/>
        <v>2773</v>
      </c>
      <c r="U61">
        <f t="shared" si="10"/>
        <v>135</v>
      </c>
      <c r="V61">
        <f t="shared" si="11"/>
        <v>20567210</v>
      </c>
      <c r="W61">
        <f>IF($A61="","",Allocation!CD61)</f>
        <v>66108</v>
      </c>
      <c r="X61">
        <f>IF($A61="","",Allocation!CE61)</f>
        <v>193142.69</v>
      </c>
      <c r="Y61">
        <f>IF($A61="","",Allocation!CF61)</f>
        <v>46862</v>
      </c>
      <c r="Z61">
        <f>IF($A61="","",Allocation!CG61)</f>
        <v>24992</v>
      </c>
      <c r="AA61">
        <f>IF($A61="","",Allocation!CH61)</f>
        <v>433033.08</v>
      </c>
      <c r="AB61">
        <f>IF($A61="","",Allocation!CI61)</f>
        <v>2639292</v>
      </c>
      <c r="AC61">
        <f>IF($A61="","",IF(Allocation!$N$4="VOL_EFF",$G61,IF(Allocation!$N$4="VOL_CLASS",$H61,$I61)))</f>
        <v>2</v>
      </c>
      <c r="AD61">
        <f>IF($A61="","",IF(Allocation!$N$4="VOL_EFF",$L61,IF(Allocation!$N$4="VOL_CLASS",$M61,$N61)))</f>
        <v>6</v>
      </c>
      <c r="AE61">
        <f>IF($A61="","",IF(Allocation!$N$3="VOL_EFF",$L61,IF(Allocation!$N$3="VOL_CLASS",$M61,$N61)))</f>
        <v>123</v>
      </c>
      <c r="AF61">
        <f>IF($A61="","",IF(Allocation!$N$3="VOL_EFF",$Q61,IF(Allocation!$N$3="VOL_CLASS",$R61,$S61)))</f>
        <v>228</v>
      </c>
      <c r="AG61">
        <f>IF($A61="","",IF(Allocation!$N$1="VOL_EFF",$Q61,IF(Allocation!$N$1="VOL_CLASS",$R61,$S61)))</f>
        <v>228</v>
      </c>
      <c r="AH61">
        <f>IF($A61="","",IF(Allocation!$N$1="VOL_EFF",$T61,IF(Allocation!$N$1="VOL_CLASS",$U61,$V61)))</f>
        <v>2773</v>
      </c>
      <c r="AI61">
        <f t="shared" si="12"/>
        <v>22036</v>
      </c>
      <c r="AJ61">
        <f t="shared" si="13"/>
        <v>64380.896666666667</v>
      </c>
      <c r="AK61">
        <f t="shared" si="14"/>
        <v>15239.674796747968</v>
      </c>
      <c r="AL61">
        <f t="shared" si="15"/>
        <v>144344.35999999999</v>
      </c>
      <c r="AM61">
        <f t="shared" si="16"/>
        <v>39023.069599711496</v>
      </c>
      <c r="AN61">
        <f t="shared" si="17"/>
        <v>20956.978076037078</v>
      </c>
      <c r="AO61">
        <f>IF($A61="","",Allocation!CJ61)</f>
        <v>499926</v>
      </c>
      <c r="AP61">
        <f>IF($A61="","",IF(Allocation!$N$2="VOL_EFF",$Q61,IF(Allocation!$N$2="VOL_CLASS",$R61,$S61)))</f>
        <v>1743090</v>
      </c>
      <c r="AQ61">
        <f>IF($A61="","",IF(Allocation!$N$2="VOL_EFF",$T61,IF(Allocation!$N$2="VOL_CLASS",$U61,$V61)))</f>
        <v>20567210</v>
      </c>
      <c r="AR61">
        <f t="shared" si="18"/>
        <v>7619.0208608367657</v>
      </c>
      <c r="AS61" t="str">
        <f>IF($A61="","",$A61&amp;"|"&amp;Allocation!BG61)</f>
        <v>2024|ACT</v>
      </c>
    </row>
    <row r="62" spans="1:45" x14ac:dyDescent="0.45">
      <c r="A62" t="str">
        <f>IF(Allocation!BI62="","",Allocation!BI62)</f>
        <v>2025</v>
      </c>
      <c r="B62" t="str">
        <f>IF(Allocation!BJ62="","",Allocation!BJ62)</f>
        <v>IPAC_MTP</v>
      </c>
      <c r="C62" t="str">
        <f>IF(Allocation!BK62="","",Allocation!BK62)</f>
        <v>IPAC</v>
      </c>
      <c r="D62" t="str">
        <f>IF(Allocation!BL62="","",Allocation!BL62)</f>
        <v>BAC_CCE</v>
      </c>
      <c r="E62" t="str">
        <f>IF(Allocation!BM62="","",Allocation!BM62)</f>
        <v>B1</v>
      </c>
      <c r="F62" t="str">
        <f>IF(Allocation!BN62="","",Allocation!BN62)</f>
        <v>ALT</v>
      </c>
      <c r="G62">
        <f>IF(Allocation!BO62="","",Allocation!BO62)</f>
        <v>38</v>
      </c>
      <c r="H62">
        <f>IF(Allocation!BP62="","",Allocation!BP62)</f>
        <v>2</v>
      </c>
      <c r="I62">
        <f>IF(Allocation!BQ62="","",Allocation!BQ62)</f>
        <v>256120</v>
      </c>
      <c r="J62">
        <f>IF(Allocation!CC62="","",Allocation!CC62)</f>
        <v>38</v>
      </c>
      <c r="K62">
        <f t="shared" si="0"/>
        <v>960</v>
      </c>
      <c r="L62">
        <f t="shared" si="1"/>
        <v>111</v>
      </c>
      <c r="M62">
        <f t="shared" si="2"/>
        <v>6</v>
      </c>
      <c r="N62">
        <f t="shared" si="3"/>
        <v>741570</v>
      </c>
      <c r="O62">
        <f t="shared" si="4"/>
        <v>2880</v>
      </c>
      <c r="P62">
        <f t="shared" si="5"/>
        <v>38</v>
      </c>
      <c r="Q62">
        <f t="shared" si="6"/>
        <v>358</v>
      </c>
      <c r="R62">
        <f t="shared" si="7"/>
        <v>18</v>
      </c>
      <c r="S62">
        <f t="shared" si="8"/>
        <v>2439370</v>
      </c>
      <c r="T62">
        <f t="shared" si="9"/>
        <v>2933</v>
      </c>
      <c r="U62">
        <f t="shared" si="10"/>
        <v>135</v>
      </c>
      <c r="V62">
        <f t="shared" si="11"/>
        <v>21758770</v>
      </c>
      <c r="W62">
        <f>IF($A62="","",Allocation!CD62)</f>
        <v>69137</v>
      </c>
      <c r="X62">
        <f>IF($A62="","",Allocation!CE62)</f>
        <v>132183.01999999999</v>
      </c>
      <c r="Y62">
        <f>IF($A62="","",Allocation!CF62)</f>
        <v>41552</v>
      </c>
      <c r="Z62">
        <f>IF($A62="","",Allocation!CG62)</f>
        <v>13798</v>
      </c>
      <c r="AA62">
        <f>IF($A62="","",Allocation!CH62)</f>
        <v>266642.99</v>
      </c>
      <c r="AB62">
        <f>IF($A62="","",Allocation!CI62)</f>
        <v>2760232</v>
      </c>
      <c r="AC62">
        <f>IF($A62="","",IF(Allocation!$N$4="VOL_EFF",$G62,IF(Allocation!$N$4="VOL_CLASS",$H62,$I62)))</f>
        <v>2</v>
      </c>
      <c r="AD62">
        <f>IF($A62="","",IF(Allocation!$N$4="VOL_EFF",$L62,IF(Allocation!$N$4="VOL_CLASS",$M62,$N62)))</f>
        <v>6</v>
      </c>
      <c r="AE62">
        <f>IF($A62="","",IF(Allocation!$N$3="VOL_EFF",$L62,IF(Allocation!$N$3="VOL_CLASS",$M62,$N62)))</f>
        <v>111</v>
      </c>
      <c r="AF62">
        <f>IF($A62="","",IF(Allocation!$N$3="VOL_EFF",$Q62,IF(Allocation!$N$3="VOL_CLASS",$R62,$S62)))</f>
        <v>358</v>
      </c>
      <c r="AG62">
        <f>IF($A62="","",IF(Allocation!$N$1="VOL_EFF",$Q62,IF(Allocation!$N$1="VOL_CLASS",$R62,$S62)))</f>
        <v>358</v>
      </c>
      <c r="AH62">
        <f>IF($A62="","",IF(Allocation!$N$1="VOL_EFF",$T62,IF(Allocation!$N$1="VOL_CLASS",$U62,$V62)))</f>
        <v>2933</v>
      </c>
      <c r="AI62">
        <f t="shared" si="12"/>
        <v>23045.666666666664</v>
      </c>
      <c r="AJ62">
        <f t="shared" si="13"/>
        <v>44061.006666666661</v>
      </c>
      <c r="AK62">
        <f t="shared" si="14"/>
        <v>28023.009009009009</v>
      </c>
      <c r="AL62">
        <f t="shared" si="15"/>
        <v>88880.996666666659</v>
      </c>
      <c r="AM62">
        <f t="shared" si="16"/>
        <v>34820.5196045005</v>
      </c>
      <c r="AN62">
        <f t="shared" si="17"/>
        <v>30566.545242073451</v>
      </c>
      <c r="AO62">
        <f>IF($A62="","",Allocation!CJ62)</f>
        <v>580167</v>
      </c>
      <c r="AP62">
        <f>IF($A62="","",IF(Allocation!$N$2="VOL_EFF",$Q62,IF(Allocation!$N$2="VOL_CLASS",$R62,$S62)))</f>
        <v>2439370</v>
      </c>
      <c r="AQ62">
        <f>IF($A62="","",IF(Allocation!$N$2="VOL_EFF",$T62,IF(Allocation!$N$2="VOL_CLASS",$U62,$V62)))</f>
        <v>21758770</v>
      </c>
      <c r="AR62">
        <f t="shared" si="18"/>
        <v>6722.2561444170824</v>
      </c>
      <c r="AS62" t="str">
        <f>IF($A62="","",$A62&amp;"|"&amp;Allocation!BG62)</f>
        <v>2025|ACT</v>
      </c>
    </row>
    <row r="63" spans="1:45" x14ac:dyDescent="0.45">
      <c r="A63" t="str">
        <f>IF(Allocation!BI63="","",Allocation!BI63)</f>
        <v>2025</v>
      </c>
      <c r="B63" t="str">
        <f>IF(Allocation!BJ63="","",Allocation!BJ63)</f>
        <v>IPAC_MTP</v>
      </c>
      <c r="C63" t="str">
        <f>IF(Allocation!BK63="","",Allocation!BK63)</f>
        <v>IPAC</v>
      </c>
      <c r="D63" t="str">
        <f>IF(Allocation!BL63="","",Allocation!BL63)</f>
        <v>BAC_CCE</v>
      </c>
      <c r="E63" t="str">
        <f>IF(Allocation!BM63="","",Allocation!BM63)</f>
        <v>B2</v>
      </c>
      <c r="F63" t="str">
        <f>IF(Allocation!BN63="","",Allocation!BN63)</f>
        <v>ALT</v>
      </c>
      <c r="G63">
        <f>IF(Allocation!BO63="","",Allocation!BO63)</f>
        <v>37</v>
      </c>
      <c r="H63">
        <f>IF(Allocation!BP63="","",Allocation!BP63)</f>
        <v>2</v>
      </c>
      <c r="I63">
        <f>IF(Allocation!BQ63="","",Allocation!BQ63)</f>
        <v>246050</v>
      </c>
      <c r="J63">
        <f>IF(Allocation!CC63="","",Allocation!CC63)</f>
        <v>0</v>
      </c>
      <c r="K63">
        <f t="shared" si="0"/>
        <v>960</v>
      </c>
      <c r="L63">
        <f t="shared" si="1"/>
        <v>111</v>
      </c>
      <c r="M63">
        <f t="shared" si="2"/>
        <v>6</v>
      </c>
      <c r="N63">
        <f t="shared" si="3"/>
        <v>741570</v>
      </c>
      <c r="O63">
        <f t="shared" si="4"/>
        <v>2880</v>
      </c>
      <c r="P63">
        <f t="shared" si="5"/>
        <v>38</v>
      </c>
      <c r="Q63">
        <f t="shared" si="6"/>
        <v>358</v>
      </c>
      <c r="R63">
        <f t="shared" si="7"/>
        <v>18</v>
      </c>
      <c r="S63">
        <f t="shared" si="8"/>
        <v>2439370</v>
      </c>
      <c r="T63">
        <f t="shared" si="9"/>
        <v>2933</v>
      </c>
      <c r="U63">
        <f t="shared" si="10"/>
        <v>135</v>
      </c>
      <c r="V63">
        <f t="shared" si="11"/>
        <v>21758770</v>
      </c>
      <c r="W63">
        <f>IF($A63="","",Allocation!CD63)</f>
        <v>69137</v>
      </c>
      <c r="X63">
        <f>IF($A63="","",Allocation!CE63)</f>
        <v>132183.01999999999</v>
      </c>
      <c r="Y63">
        <f>IF($A63="","",Allocation!CF63)</f>
        <v>41552</v>
      </c>
      <c r="Z63">
        <f>IF($A63="","",Allocation!CG63)</f>
        <v>13798</v>
      </c>
      <c r="AA63">
        <f>IF($A63="","",Allocation!CH63)</f>
        <v>266642.99</v>
      </c>
      <c r="AB63">
        <f>IF($A63="","",Allocation!CI63)</f>
        <v>2760232</v>
      </c>
      <c r="AC63">
        <f>IF($A63="","",IF(Allocation!$N$4="VOL_EFF",$G63,IF(Allocation!$N$4="VOL_CLASS",$H63,$I63)))</f>
        <v>2</v>
      </c>
      <c r="AD63">
        <f>IF($A63="","",IF(Allocation!$N$4="VOL_EFF",$L63,IF(Allocation!$N$4="VOL_CLASS",$M63,$N63)))</f>
        <v>6</v>
      </c>
      <c r="AE63">
        <f>IF($A63="","",IF(Allocation!$N$3="VOL_EFF",$L63,IF(Allocation!$N$3="VOL_CLASS",$M63,$N63)))</f>
        <v>111</v>
      </c>
      <c r="AF63">
        <f>IF($A63="","",IF(Allocation!$N$3="VOL_EFF",$Q63,IF(Allocation!$N$3="VOL_CLASS",$R63,$S63)))</f>
        <v>358</v>
      </c>
      <c r="AG63">
        <f>IF($A63="","",IF(Allocation!$N$1="VOL_EFF",$Q63,IF(Allocation!$N$1="VOL_CLASS",$R63,$S63)))</f>
        <v>358</v>
      </c>
      <c r="AH63">
        <f>IF($A63="","",IF(Allocation!$N$1="VOL_EFF",$T63,IF(Allocation!$N$1="VOL_CLASS",$U63,$V63)))</f>
        <v>2933</v>
      </c>
      <c r="AI63">
        <f t="shared" si="12"/>
        <v>23045.666666666664</v>
      </c>
      <c r="AJ63">
        <f t="shared" si="13"/>
        <v>44061.006666666661</v>
      </c>
      <c r="AK63">
        <f t="shared" si="14"/>
        <v>13850.666666666666</v>
      </c>
      <c r="AL63">
        <f t="shared" si="15"/>
        <v>88880.996666666659</v>
      </c>
      <c r="AM63">
        <f t="shared" si="16"/>
        <v>34820.5196045005</v>
      </c>
      <c r="AN63">
        <f t="shared" si="17"/>
        <v>34668.887584415759</v>
      </c>
      <c r="AO63">
        <f>IF($A63="","",Allocation!CJ63)</f>
        <v>580167</v>
      </c>
      <c r="AP63">
        <f>IF($A63="","",IF(Allocation!$N$2="VOL_EFF",$Q63,IF(Allocation!$N$2="VOL_CLASS",$R63,$S63)))</f>
        <v>2439370</v>
      </c>
      <c r="AQ63">
        <f>IF($A63="","",IF(Allocation!$N$2="VOL_EFF",$T63,IF(Allocation!$N$2="VOL_CLASS",$U63,$V63)))</f>
        <v>21758770</v>
      </c>
      <c r="AR63">
        <f t="shared" si="18"/>
        <v>6722.2561444170824</v>
      </c>
      <c r="AS63" t="str">
        <f>IF($A63="","",$A63&amp;"|"&amp;Allocation!BG63)</f>
        <v>2025|ACT</v>
      </c>
    </row>
    <row r="64" spans="1:45" x14ac:dyDescent="0.45">
      <c r="A64" t="str">
        <f>IF(Allocation!BI64="","",Allocation!BI64)</f>
        <v>2025</v>
      </c>
      <c r="B64" t="str">
        <f>IF(Allocation!BJ64="","",Allocation!BJ64)</f>
        <v>IPAC_MTP</v>
      </c>
      <c r="C64" t="str">
        <f>IF(Allocation!BK64="","",Allocation!BK64)</f>
        <v>IPAC</v>
      </c>
      <c r="D64" t="str">
        <f>IF(Allocation!BL64="","",Allocation!BL64)</f>
        <v>BAC_CCE</v>
      </c>
      <c r="E64" t="str">
        <f>IF(Allocation!BM64="","",Allocation!BM64)</f>
        <v>B3</v>
      </c>
      <c r="F64" t="str">
        <f>IF(Allocation!BN64="","",Allocation!BN64)</f>
        <v>ALT</v>
      </c>
      <c r="G64">
        <f>IF(Allocation!BO64="","",Allocation!BO64)</f>
        <v>36</v>
      </c>
      <c r="H64">
        <f>IF(Allocation!BP64="","",Allocation!BP64)</f>
        <v>2</v>
      </c>
      <c r="I64">
        <f>IF(Allocation!BQ64="","",Allocation!BQ64)</f>
        <v>239400</v>
      </c>
      <c r="J64">
        <f>IF(Allocation!CC64="","",Allocation!CC64)</f>
        <v>0</v>
      </c>
      <c r="K64">
        <f t="shared" si="0"/>
        <v>960</v>
      </c>
      <c r="L64">
        <f t="shared" si="1"/>
        <v>111</v>
      </c>
      <c r="M64">
        <f t="shared" si="2"/>
        <v>6</v>
      </c>
      <c r="N64">
        <f t="shared" si="3"/>
        <v>741570</v>
      </c>
      <c r="O64">
        <f t="shared" si="4"/>
        <v>2880</v>
      </c>
      <c r="P64">
        <f t="shared" si="5"/>
        <v>38</v>
      </c>
      <c r="Q64">
        <f t="shared" si="6"/>
        <v>358</v>
      </c>
      <c r="R64">
        <f t="shared" si="7"/>
        <v>18</v>
      </c>
      <c r="S64">
        <f t="shared" si="8"/>
        <v>2439370</v>
      </c>
      <c r="T64">
        <f t="shared" si="9"/>
        <v>2933</v>
      </c>
      <c r="U64">
        <f t="shared" si="10"/>
        <v>135</v>
      </c>
      <c r="V64">
        <f t="shared" si="11"/>
        <v>21758770</v>
      </c>
      <c r="W64">
        <f>IF($A64="","",Allocation!CD64)</f>
        <v>69137</v>
      </c>
      <c r="X64">
        <f>IF($A64="","",Allocation!CE64)</f>
        <v>132183.01999999999</v>
      </c>
      <c r="Y64">
        <f>IF($A64="","",Allocation!CF64)</f>
        <v>41552</v>
      </c>
      <c r="Z64">
        <f>IF($A64="","",Allocation!CG64)</f>
        <v>13798</v>
      </c>
      <c r="AA64">
        <f>IF($A64="","",Allocation!CH64)</f>
        <v>266642.99</v>
      </c>
      <c r="AB64">
        <f>IF($A64="","",Allocation!CI64)</f>
        <v>2760232</v>
      </c>
      <c r="AC64">
        <f>IF($A64="","",IF(Allocation!$N$4="VOL_EFF",$G64,IF(Allocation!$N$4="VOL_CLASS",$H64,$I64)))</f>
        <v>2</v>
      </c>
      <c r="AD64">
        <f>IF($A64="","",IF(Allocation!$N$4="VOL_EFF",$L64,IF(Allocation!$N$4="VOL_CLASS",$M64,$N64)))</f>
        <v>6</v>
      </c>
      <c r="AE64">
        <f>IF($A64="","",IF(Allocation!$N$3="VOL_EFF",$L64,IF(Allocation!$N$3="VOL_CLASS",$M64,$N64)))</f>
        <v>111</v>
      </c>
      <c r="AF64">
        <f>IF($A64="","",IF(Allocation!$N$3="VOL_EFF",$Q64,IF(Allocation!$N$3="VOL_CLASS",$R64,$S64)))</f>
        <v>358</v>
      </c>
      <c r="AG64">
        <f>IF($A64="","",IF(Allocation!$N$1="VOL_EFF",$Q64,IF(Allocation!$N$1="VOL_CLASS",$R64,$S64)))</f>
        <v>358</v>
      </c>
      <c r="AH64">
        <f>IF($A64="","",IF(Allocation!$N$1="VOL_EFF",$T64,IF(Allocation!$N$1="VOL_CLASS",$U64,$V64)))</f>
        <v>2933</v>
      </c>
      <c r="AI64">
        <f t="shared" si="12"/>
        <v>23045.666666666664</v>
      </c>
      <c r="AJ64">
        <f t="shared" si="13"/>
        <v>44061.006666666661</v>
      </c>
      <c r="AK64">
        <f t="shared" si="14"/>
        <v>13476.324324324325</v>
      </c>
      <c r="AL64">
        <f t="shared" si="15"/>
        <v>88880.996666666659</v>
      </c>
      <c r="AM64">
        <f t="shared" si="16"/>
        <v>34820.5196045005</v>
      </c>
      <c r="AN64">
        <f t="shared" si="17"/>
        <v>28393.229926758126</v>
      </c>
      <c r="AO64">
        <f>IF($A64="","",Allocation!CJ64)</f>
        <v>580167</v>
      </c>
      <c r="AP64">
        <f>IF($A64="","",IF(Allocation!$N$2="VOL_EFF",$Q64,IF(Allocation!$N$2="VOL_CLASS",$R64,$S64)))</f>
        <v>2439370</v>
      </c>
      <c r="AQ64">
        <f>IF($A64="","",IF(Allocation!$N$2="VOL_EFF",$T64,IF(Allocation!$N$2="VOL_CLASS",$U64,$V64)))</f>
        <v>21758770</v>
      </c>
      <c r="AR64">
        <f t="shared" si="18"/>
        <v>6722.2561444170824</v>
      </c>
      <c r="AS64" t="str">
        <f>IF($A64="","",$A64&amp;"|"&amp;Allocation!BG64)</f>
        <v>2025|ACT</v>
      </c>
    </row>
    <row r="65" spans="1:45" x14ac:dyDescent="0.45">
      <c r="A65" t="str">
        <f>IF(Allocation!BI65="","",Allocation!BI65)</f>
        <v>2025</v>
      </c>
      <c r="B65" t="str">
        <f>IF(Allocation!BJ65="","",Allocation!BJ65)</f>
        <v>IPAC_NAN</v>
      </c>
      <c r="C65" t="str">
        <f>IF(Allocation!BK65="","",Allocation!BK65)</f>
        <v>IPAC</v>
      </c>
      <c r="D65" t="str">
        <f>IF(Allocation!BL65="","",Allocation!BL65)</f>
        <v>BAC_CCE</v>
      </c>
      <c r="E65" t="str">
        <f>IF(Allocation!BM65="","",Allocation!BM65)</f>
        <v>B1</v>
      </c>
      <c r="F65" t="str">
        <f>IF(Allocation!BN65="","",Allocation!BN65)</f>
        <v>ALT</v>
      </c>
      <c r="G65">
        <f>IF(Allocation!BO65="","",Allocation!BO65)</f>
        <v>47</v>
      </c>
      <c r="H65">
        <f>IF(Allocation!BP65="","",Allocation!BP65)</f>
        <v>2</v>
      </c>
      <c r="I65">
        <f>IF(Allocation!BQ65="","",Allocation!BQ65)</f>
        <v>333230</v>
      </c>
      <c r="J65">
        <f>IF(Allocation!CC65="","",Allocation!CC65)</f>
        <v>47</v>
      </c>
      <c r="K65">
        <f t="shared" si="0"/>
        <v>960</v>
      </c>
      <c r="L65">
        <f t="shared" si="1"/>
        <v>136</v>
      </c>
      <c r="M65">
        <f t="shared" si="2"/>
        <v>6</v>
      </c>
      <c r="N65">
        <f t="shared" si="3"/>
        <v>956230</v>
      </c>
      <c r="O65">
        <f t="shared" si="4"/>
        <v>2880</v>
      </c>
      <c r="P65">
        <f t="shared" si="5"/>
        <v>47</v>
      </c>
      <c r="Q65">
        <f t="shared" si="6"/>
        <v>358</v>
      </c>
      <c r="R65">
        <f t="shared" si="7"/>
        <v>18</v>
      </c>
      <c r="S65">
        <f t="shared" si="8"/>
        <v>2439370</v>
      </c>
      <c r="T65">
        <f t="shared" si="9"/>
        <v>2933</v>
      </c>
      <c r="U65">
        <f t="shared" si="10"/>
        <v>135</v>
      </c>
      <c r="V65">
        <f t="shared" si="11"/>
        <v>21758770</v>
      </c>
      <c r="W65">
        <f>IF($A65="","",Allocation!CD65)</f>
        <v>69137</v>
      </c>
      <c r="X65">
        <f>IF($A65="","",Allocation!CE65)</f>
        <v>160911.47</v>
      </c>
      <c r="Y65">
        <f>IF($A65="","",Allocation!CF65)</f>
        <v>51495</v>
      </c>
      <c r="Z65">
        <f>IF($A65="","",Allocation!CG65)</f>
        <v>19782</v>
      </c>
      <c r="AA65">
        <f>IF($A65="","",Allocation!CH65)</f>
        <v>372827.21</v>
      </c>
      <c r="AB65">
        <f>IF($A65="","",Allocation!CI65)</f>
        <v>2760232</v>
      </c>
      <c r="AC65">
        <f>IF($A65="","",IF(Allocation!$N$4="VOL_EFF",$G65,IF(Allocation!$N$4="VOL_CLASS",$H65,$I65)))</f>
        <v>2</v>
      </c>
      <c r="AD65">
        <f>IF($A65="","",IF(Allocation!$N$4="VOL_EFF",$L65,IF(Allocation!$N$4="VOL_CLASS",$M65,$N65)))</f>
        <v>6</v>
      </c>
      <c r="AE65">
        <f>IF($A65="","",IF(Allocation!$N$3="VOL_EFF",$L65,IF(Allocation!$N$3="VOL_CLASS",$M65,$N65)))</f>
        <v>136</v>
      </c>
      <c r="AF65">
        <f>IF($A65="","",IF(Allocation!$N$3="VOL_EFF",$Q65,IF(Allocation!$N$3="VOL_CLASS",$R65,$S65)))</f>
        <v>358</v>
      </c>
      <c r="AG65">
        <f>IF($A65="","",IF(Allocation!$N$1="VOL_EFF",$Q65,IF(Allocation!$N$1="VOL_CLASS",$R65,$S65)))</f>
        <v>358</v>
      </c>
      <c r="AH65">
        <f>IF($A65="","",IF(Allocation!$N$1="VOL_EFF",$T65,IF(Allocation!$N$1="VOL_CLASS",$U65,$V65)))</f>
        <v>2933</v>
      </c>
      <c r="AI65">
        <f t="shared" si="12"/>
        <v>23045.666666666664</v>
      </c>
      <c r="AJ65">
        <f t="shared" si="13"/>
        <v>53637.156666666662</v>
      </c>
      <c r="AK65">
        <f t="shared" si="14"/>
        <v>37578.066176470587</v>
      </c>
      <c r="AL65">
        <f t="shared" si="15"/>
        <v>124275.73666666666</v>
      </c>
      <c r="AM65">
        <f t="shared" si="16"/>
        <v>42662.978974883503</v>
      </c>
      <c r="AN65">
        <f t="shared" si="17"/>
        <v>43794.117050080851</v>
      </c>
      <c r="AO65">
        <f>IF($A65="","",Allocation!CJ65)</f>
        <v>580167</v>
      </c>
      <c r="AP65">
        <f>IF($A65="","",IF(Allocation!$N$2="VOL_EFF",$Q65,IF(Allocation!$N$2="VOL_CLASS",$R65,$S65)))</f>
        <v>2439370</v>
      </c>
      <c r="AQ65">
        <f>IF($A65="","",IF(Allocation!$N$2="VOL_EFF",$T65,IF(Allocation!$N$2="VOL_CLASS",$U65,$V65)))</f>
        <v>21758770</v>
      </c>
      <c r="AR65">
        <f t="shared" si="18"/>
        <v>8236.2777985650737</v>
      </c>
      <c r="AS65" t="str">
        <f>IF($A65="","",$A65&amp;"|"&amp;Allocation!BG65)</f>
        <v>2025|ACT</v>
      </c>
    </row>
    <row r="66" spans="1:45" x14ac:dyDescent="0.45">
      <c r="A66" t="str">
        <f>IF(Allocation!BI66="","",Allocation!BI66)</f>
        <v>2025</v>
      </c>
      <c r="B66" t="str">
        <f>IF(Allocation!BJ66="","",Allocation!BJ66)</f>
        <v>IPAC_NAN</v>
      </c>
      <c r="C66" t="str">
        <f>IF(Allocation!BK66="","",Allocation!BK66)</f>
        <v>IPAC</v>
      </c>
      <c r="D66" t="str">
        <f>IF(Allocation!BL66="","",Allocation!BL66)</f>
        <v>BAC_CCE</v>
      </c>
      <c r="E66" t="str">
        <f>IF(Allocation!BM66="","",Allocation!BM66)</f>
        <v>B2</v>
      </c>
      <c r="F66" t="str">
        <f>IF(Allocation!BN66="","",Allocation!BN66)</f>
        <v>ALT</v>
      </c>
      <c r="G66">
        <f>IF(Allocation!BO66="","",Allocation!BO66)</f>
        <v>45</v>
      </c>
      <c r="H66">
        <f>IF(Allocation!BP66="","",Allocation!BP66)</f>
        <v>2</v>
      </c>
      <c r="I66">
        <f>IF(Allocation!BQ66="","",Allocation!BQ66)</f>
        <v>315000</v>
      </c>
      <c r="J66">
        <f>IF(Allocation!CC66="","",Allocation!CC66)</f>
        <v>0</v>
      </c>
      <c r="K66">
        <f t="shared" ref="K66:K129" si="19">IF($A66="","",$H66*IF(AND(LEFT($D66,3)="BAC",$F66="INIT"),600,IF(LEFT($D66,3)="BAC",480,IF(AND(LEFT($D66,3)="MAS",$F66="INIT"),520,IF(LEFT($D66,3)="MAS",420,IF($F66="INIT",1000,700))))))</f>
        <v>960</v>
      </c>
      <c r="L66">
        <f t="shared" ref="L66:L129" si="20">IF($A66="","",SUMIFS($G$1:$G$349,$AS$1:$AS$349,$AS66,$B$1:$B$349,$B66))</f>
        <v>136</v>
      </c>
      <c r="M66">
        <f t="shared" ref="M66:M129" si="21">IF($A66="","",SUMIFS($H$1:$H$349,$AS$1:$AS$349,$AS66,$B$1:$B$349,$B66))</f>
        <v>6</v>
      </c>
      <c r="N66">
        <f t="shared" ref="N66:N129" si="22">IF($A66="","",SUMIFS($I$1:$I$349,$AS$1:$AS$349,$AS66,$B$1:$B$349,$B66))</f>
        <v>956230</v>
      </c>
      <c r="O66">
        <f t="shared" ref="O66:O129" si="23">IF($A66="","",SUMIFS($K$1:$K$349,$AS$1:$AS$349,$AS66,$B$1:$B$349,$B66))</f>
        <v>2880</v>
      </c>
      <c r="P66">
        <f t="shared" ref="P66:P129" si="24">IF($A66="","",SUMIFS($J$1:$J$349,$AS$1:$AS$349,$AS66,$B$1:$B$349,$B66))</f>
        <v>47</v>
      </c>
      <c r="Q66">
        <f t="shared" ref="Q66:Q129" si="25">IF($A66="","",SUMIFS($G$1:$G$349,$AS$1:$AS$349,$AS66,$C$1:$C$349,$C66))</f>
        <v>358</v>
      </c>
      <c r="R66">
        <f t="shared" ref="R66:R129" si="26">IF($A66="","",SUMIFS($H$1:$H$349,$AS$1:$AS$349,$AS66,$C$1:$C$349,$C66))</f>
        <v>18</v>
      </c>
      <c r="S66">
        <f t="shared" ref="S66:S129" si="27">IF($A66="","",SUMIFS($I$1:$I$349,$AS$1:$AS$349,$AS66,$C$1:$C$349,$C66))</f>
        <v>2439370</v>
      </c>
      <c r="T66">
        <f t="shared" ref="T66:T129" si="28">IF($A66="","",SUMIFS($G$1:$G$349,$AS$1:$AS$349,$AS66))</f>
        <v>2933</v>
      </c>
      <c r="U66">
        <f t="shared" ref="U66:U129" si="29">IF($A66="","",SUMIFS($H$1:$H$349,$AS$1:$AS$349,$AS66))</f>
        <v>135</v>
      </c>
      <c r="V66">
        <f t="shared" ref="V66:V129" si="30">IF($A66="","",SUMIFS($I$1:$I$349,$AS$1:$AS$349,$AS66))</f>
        <v>21758770</v>
      </c>
      <c r="W66">
        <f>IF($A66="","",Allocation!CD66)</f>
        <v>69137</v>
      </c>
      <c r="X66">
        <f>IF($A66="","",Allocation!CE66)</f>
        <v>160911.47</v>
      </c>
      <c r="Y66">
        <f>IF($A66="","",Allocation!CF66)</f>
        <v>51495</v>
      </c>
      <c r="Z66">
        <f>IF($A66="","",Allocation!CG66)</f>
        <v>19782</v>
      </c>
      <c r="AA66">
        <f>IF($A66="","",Allocation!CH66)</f>
        <v>372827.21</v>
      </c>
      <c r="AB66">
        <f>IF($A66="","",Allocation!CI66)</f>
        <v>2760232</v>
      </c>
      <c r="AC66">
        <f>IF($A66="","",IF(Allocation!$N$4="VOL_EFF",$G66,IF(Allocation!$N$4="VOL_CLASS",$H66,$I66)))</f>
        <v>2</v>
      </c>
      <c r="AD66">
        <f>IF($A66="","",IF(Allocation!$N$4="VOL_EFF",$L66,IF(Allocation!$N$4="VOL_CLASS",$M66,$N66)))</f>
        <v>6</v>
      </c>
      <c r="AE66">
        <f>IF($A66="","",IF(Allocation!$N$3="VOL_EFF",$L66,IF(Allocation!$N$3="VOL_CLASS",$M66,$N66)))</f>
        <v>136</v>
      </c>
      <c r="AF66">
        <f>IF($A66="","",IF(Allocation!$N$3="VOL_EFF",$Q66,IF(Allocation!$N$3="VOL_CLASS",$R66,$S66)))</f>
        <v>358</v>
      </c>
      <c r="AG66">
        <f>IF($A66="","",IF(Allocation!$N$1="VOL_EFF",$Q66,IF(Allocation!$N$1="VOL_CLASS",$R66,$S66)))</f>
        <v>358</v>
      </c>
      <c r="AH66">
        <f>IF($A66="","",IF(Allocation!$N$1="VOL_EFF",$T66,IF(Allocation!$N$1="VOL_CLASS",$U66,$V66)))</f>
        <v>2933</v>
      </c>
      <c r="AI66">
        <f t="shared" ref="AI66:AI129" si="31">IF($A66="","",$W66*IFERROR($K66/$O66,0))</f>
        <v>23045.666666666664</v>
      </c>
      <c r="AJ66">
        <f t="shared" ref="AJ66:AJ129" si="32">IF($A66="","",$X66*IFERROR($K66/$O66,0))</f>
        <v>53637.156666666662</v>
      </c>
      <c r="AK66">
        <f t="shared" ref="AK66:AK129" si="33">IF($A66="","",$Y66*IFERROR($G66/$L66,0)+$Z66*IFERROR($J66/$P66,0))</f>
        <v>17038.786764705881</v>
      </c>
      <c r="AL66">
        <f t="shared" ref="AL66:AL129" si="34">IF($A66="","",$AA66*IFERROR($AC66/$AD66,0))</f>
        <v>124275.73666666666</v>
      </c>
      <c r="AM66">
        <f t="shared" ref="AM66:AM129" si="35">IF($A66="","",$AB66*IFERROR($AG66/$AH66,0)*IFERROR($AE66/$AF66,0)*IFERROR($AC66/$AD66,0))</f>
        <v>42662.978974883503</v>
      </c>
      <c r="AN66">
        <f t="shared" ref="AN66:AN129" si="36">IF($A66="","",$I66-($AI66+$AJ66+$AK66+$AL66+$AM66+$AR66))</f>
        <v>46103.39646184555</v>
      </c>
      <c r="AO66">
        <f>IF($A66="","",Allocation!CJ66)</f>
        <v>580167</v>
      </c>
      <c r="AP66">
        <f>IF($A66="","",IF(Allocation!$N$2="VOL_EFF",$Q66,IF(Allocation!$N$2="VOL_CLASS",$R66,$S66)))</f>
        <v>2439370</v>
      </c>
      <c r="AQ66">
        <f>IF($A66="","",IF(Allocation!$N$2="VOL_EFF",$T66,IF(Allocation!$N$2="VOL_CLASS",$U66,$V66)))</f>
        <v>21758770</v>
      </c>
      <c r="AR66">
        <f t="shared" ref="AR66:AR129" si="37">IF($A66="","",$AO66*IFERROR($AP66/$AQ66,0)*IFERROR($AE66/$AF66,0)*IFERROR($AC66/$AD66,0))</f>
        <v>8236.2777985650737</v>
      </c>
      <c r="AS66" t="str">
        <f>IF($A66="","",$A66&amp;"|"&amp;Allocation!BG66)</f>
        <v>2025|ACT</v>
      </c>
    </row>
    <row r="67" spans="1:45" x14ac:dyDescent="0.45">
      <c r="A67" t="str">
        <f>IF(Allocation!BI67="","",Allocation!BI67)</f>
        <v>2025</v>
      </c>
      <c r="B67" t="str">
        <f>IF(Allocation!BJ67="","",Allocation!BJ67)</f>
        <v>IPAC_NAN</v>
      </c>
      <c r="C67" t="str">
        <f>IF(Allocation!BK67="","",Allocation!BK67)</f>
        <v>IPAC</v>
      </c>
      <c r="D67" t="str">
        <f>IF(Allocation!BL67="","",Allocation!BL67)</f>
        <v>BAC_CCE</v>
      </c>
      <c r="E67" t="str">
        <f>IF(Allocation!BM67="","",Allocation!BM67)</f>
        <v>B3</v>
      </c>
      <c r="F67" t="str">
        <f>IF(Allocation!BN67="","",Allocation!BN67)</f>
        <v>ALT</v>
      </c>
      <c r="G67">
        <f>IF(Allocation!BO67="","",Allocation!BO67)</f>
        <v>44</v>
      </c>
      <c r="H67">
        <f>IF(Allocation!BP67="","",Allocation!BP67)</f>
        <v>2</v>
      </c>
      <c r="I67">
        <f>IF(Allocation!BQ67="","",Allocation!BQ67)</f>
        <v>308000</v>
      </c>
      <c r="J67">
        <f>IF(Allocation!CC67="","",Allocation!CC67)</f>
        <v>0</v>
      </c>
      <c r="K67">
        <f t="shared" si="19"/>
        <v>960</v>
      </c>
      <c r="L67">
        <f t="shared" si="20"/>
        <v>136</v>
      </c>
      <c r="M67">
        <f t="shared" si="21"/>
        <v>6</v>
      </c>
      <c r="N67">
        <f t="shared" si="22"/>
        <v>956230</v>
      </c>
      <c r="O67">
        <f t="shared" si="23"/>
        <v>2880</v>
      </c>
      <c r="P67">
        <f t="shared" si="24"/>
        <v>47</v>
      </c>
      <c r="Q67">
        <f t="shared" si="25"/>
        <v>358</v>
      </c>
      <c r="R67">
        <f t="shared" si="26"/>
        <v>18</v>
      </c>
      <c r="S67">
        <f t="shared" si="27"/>
        <v>2439370</v>
      </c>
      <c r="T67">
        <f t="shared" si="28"/>
        <v>2933</v>
      </c>
      <c r="U67">
        <f t="shared" si="29"/>
        <v>135</v>
      </c>
      <c r="V67">
        <f t="shared" si="30"/>
        <v>21758770</v>
      </c>
      <c r="W67">
        <f>IF($A67="","",Allocation!CD67)</f>
        <v>69137</v>
      </c>
      <c r="X67">
        <f>IF($A67="","",Allocation!CE67)</f>
        <v>160911.47</v>
      </c>
      <c r="Y67">
        <f>IF($A67="","",Allocation!CF67)</f>
        <v>51495</v>
      </c>
      <c r="Z67">
        <f>IF($A67="","",Allocation!CG67)</f>
        <v>19782</v>
      </c>
      <c r="AA67">
        <f>IF($A67="","",Allocation!CH67)</f>
        <v>372827.21</v>
      </c>
      <c r="AB67">
        <f>IF($A67="","",Allocation!CI67)</f>
        <v>2760232</v>
      </c>
      <c r="AC67">
        <f>IF($A67="","",IF(Allocation!$N$4="VOL_EFF",$G67,IF(Allocation!$N$4="VOL_CLASS",$H67,$I67)))</f>
        <v>2</v>
      </c>
      <c r="AD67">
        <f>IF($A67="","",IF(Allocation!$N$4="VOL_EFF",$L67,IF(Allocation!$N$4="VOL_CLASS",$M67,$N67)))</f>
        <v>6</v>
      </c>
      <c r="AE67">
        <f>IF($A67="","",IF(Allocation!$N$3="VOL_EFF",$L67,IF(Allocation!$N$3="VOL_CLASS",$M67,$N67)))</f>
        <v>136</v>
      </c>
      <c r="AF67">
        <f>IF($A67="","",IF(Allocation!$N$3="VOL_EFF",$Q67,IF(Allocation!$N$3="VOL_CLASS",$R67,$S67)))</f>
        <v>358</v>
      </c>
      <c r="AG67">
        <f>IF($A67="","",IF(Allocation!$N$1="VOL_EFF",$Q67,IF(Allocation!$N$1="VOL_CLASS",$R67,$S67)))</f>
        <v>358</v>
      </c>
      <c r="AH67">
        <f>IF($A67="","",IF(Allocation!$N$1="VOL_EFF",$T67,IF(Allocation!$N$1="VOL_CLASS",$U67,$V67)))</f>
        <v>2933</v>
      </c>
      <c r="AI67">
        <f t="shared" si="31"/>
        <v>23045.666666666664</v>
      </c>
      <c r="AJ67">
        <f t="shared" si="32"/>
        <v>53637.156666666662</v>
      </c>
      <c r="AK67">
        <f t="shared" si="33"/>
        <v>16660.147058823532</v>
      </c>
      <c r="AL67">
        <f t="shared" si="34"/>
        <v>124275.73666666666</v>
      </c>
      <c r="AM67">
        <f t="shared" si="35"/>
        <v>42662.978974883503</v>
      </c>
      <c r="AN67">
        <f t="shared" si="36"/>
        <v>39482.0361677279</v>
      </c>
      <c r="AO67">
        <f>IF($A67="","",Allocation!CJ67)</f>
        <v>580167</v>
      </c>
      <c r="AP67">
        <f>IF($A67="","",IF(Allocation!$N$2="VOL_EFF",$Q67,IF(Allocation!$N$2="VOL_CLASS",$R67,$S67)))</f>
        <v>2439370</v>
      </c>
      <c r="AQ67">
        <f>IF($A67="","",IF(Allocation!$N$2="VOL_EFF",$T67,IF(Allocation!$N$2="VOL_CLASS",$U67,$V67)))</f>
        <v>21758770</v>
      </c>
      <c r="AR67">
        <f t="shared" si="37"/>
        <v>8236.2777985650737</v>
      </c>
      <c r="AS67" t="str">
        <f>IF($A67="","",$A67&amp;"|"&amp;Allocation!BG67)</f>
        <v>2025|ACT</v>
      </c>
    </row>
    <row r="68" spans="1:45" x14ac:dyDescent="0.45">
      <c r="A68" t="str">
        <f>IF(Allocation!BI68="","",Allocation!BI68)</f>
        <v>2025</v>
      </c>
      <c r="B68" t="str">
        <f>IF(Allocation!BJ68="","",Allocation!BJ68)</f>
        <v>IPAC_REN</v>
      </c>
      <c r="C68" t="str">
        <f>IF(Allocation!BK68="","",Allocation!BK68)</f>
        <v>IPAC</v>
      </c>
      <c r="D68" t="str">
        <f>IF(Allocation!BL68="","",Allocation!BL68)</f>
        <v>BAC_CCE</v>
      </c>
      <c r="E68" t="str">
        <f>IF(Allocation!BM68="","",Allocation!BM68)</f>
        <v>B1</v>
      </c>
      <c r="F68" t="str">
        <f>IF(Allocation!BN68="","",Allocation!BN68)</f>
        <v>ALT</v>
      </c>
      <c r="G68">
        <f>IF(Allocation!BO68="","",Allocation!BO68)</f>
        <v>38</v>
      </c>
      <c r="H68">
        <f>IF(Allocation!BP68="","",Allocation!BP68)</f>
        <v>2</v>
      </c>
      <c r="I68">
        <f>IF(Allocation!BQ68="","",Allocation!BQ68)</f>
        <v>256120</v>
      </c>
      <c r="J68">
        <f>IF(Allocation!CC68="","",Allocation!CC68)</f>
        <v>38</v>
      </c>
      <c r="K68">
        <f t="shared" si="19"/>
        <v>960</v>
      </c>
      <c r="L68">
        <f t="shared" si="20"/>
        <v>111</v>
      </c>
      <c r="M68">
        <f t="shared" si="21"/>
        <v>6</v>
      </c>
      <c r="N68">
        <f t="shared" si="22"/>
        <v>741570</v>
      </c>
      <c r="O68">
        <f t="shared" si="23"/>
        <v>2880</v>
      </c>
      <c r="P68">
        <f t="shared" si="24"/>
        <v>38</v>
      </c>
      <c r="Q68">
        <f t="shared" si="25"/>
        <v>358</v>
      </c>
      <c r="R68">
        <f t="shared" si="26"/>
        <v>18</v>
      </c>
      <c r="S68">
        <f t="shared" si="27"/>
        <v>2439370</v>
      </c>
      <c r="T68">
        <f t="shared" si="28"/>
        <v>2933</v>
      </c>
      <c r="U68">
        <f t="shared" si="29"/>
        <v>135</v>
      </c>
      <c r="V68">
        <f t="shared" si="30"/>
        <v>21758770</v>
      </c>
      <c r="W68">
        <f>IF($A68="","",Allocation!CD68)</f>
        <v>69137</v>
      </c>
      <c r="X68">
        <f>IF($A68="","",Allocation!CE68)</f>
        <v>132256.93</v>
      </c>
      <c r="Y68">
        <f>IF($A68="","",Allocation!CF68)</f>
        <v>41552</v>
      </c>
      <c r="Z68">
        <f>IF($A68="","",Allocation!CG68)</f>
        <v>13575</v>
      </c>
      <c r="AA68">
        <f>IF($A68="","",Allocation!CH68)</f>
        <v>266792.09999999998</v>
      </c>
      <c r="AB68">
        <f>IF($A68="","",Allocation!CI68)</f>
        <v>2760232</v>
      </c>
      <c r="AC68">
        <f>IF($A68="","",IF(Allocation!$N$4="VOL_EFF",$G68,IF(Allocation!$N$4="VOL_CLASS",$H68,$I68)))</f>
        <v>2</v>
      </c>
      <c r="AD68">
        <f>IF($A68="","",IF(Allocation!$N$4="VOL_EFF",$L68,IF(Allocation!$N$4="VOL_CLASS",$M68,$N68)))</f>
        <v>6</v>
      </c>
      <c r="AE68">
        <f>IF($A68="","",IF(Allocation!$N$3="VOL_EFF",$L68,IF(Allocation!$N$3="VOL_CLASS",$M68,$N68)))</f>
        <v>111</v>
      </c>
      <c r="AF68">
        <f>IF($A68="","",IF(Allocation!$N$3="VOL_EFF",$Q68,IF(Allocation!$N$3="VOL_CLASS",$R68,$S68)))</f>
        <v>358</v>
      </c>
      <c r="AG68">
        <f>IF($A68="","",IF(Allocation!$N$1="VOL_EFF",$Q68,IF(Allocation!$N$1="VOL_CLASS",$R68,$S68)))</f>
        <v>358</v>
      </c>
      <c r="AH68">
        <f>IF($A68="","",IF(Allocation!$N$1="VOL_EFF",$T68,IF(Allocation!$N$1="VOL_CLASS",$U68,$V68)))</f>
        <v>2933</v>
      </c>
      <c r="AI68">
        <f t="shared" si="31"/>
        <v>23045.666666666664</v>
      </c>
      <c r="AJ68">
        <f t="shared" si="32"/>
        <v>44085.643333333326</v>
      </c>
      <c r="AK68">
        <f t="shared" si="33"/>
        <v>27800.009009009009</v>
      </c>
      <c r="AL68">
        <f t="shared" si="34"/>
        <v>88930.699999999983</v>
      </c>
      <c r="AM68">
        <f t="shared" si="35"/>
        <v>34820.5196045005</v>
      </c>
      <c r="AN68">
        <f t="shared" si="36"/>
        <v>30715.205242073425</v>
      </c>
      <c r="AO68">
        <f>IF($A68="","",Allocation!CJ68)</f>
        <v>580167</v>
      </c>
      <c r="AP68">
        <f>IF($A68="","",IF(Allocation!$N$2="VOL_EFF",$Q68,IF(Allocation!$N$2="VOL_CLASS",$R68,$S68)))</f>
        <v>2439370</v>
      </c>
      <c r="AQ68">
        <f>IF($A68="","",IF(Allocation!$N$2="VOL_EFF",$T68,IF(Allocation!$N$2="VOL_CLASS",$U68,$V68)))</f>
        <v>21758770</v>
      </c>
      <c r="AR68">
        <f t="shared" si="37"/>
        <v>6722.2561444170824</v>
      </c>
      <c r="AS68" t="str">
        <f>IF($A68="","",$A68&amp;"|"&amp;Allocation!BG68)</f>
        <v>2025|ACT</v>
      </c>
    </row>
    <row r="69" spans="1:45" x14ac:dyDescent="0.45">
      <c r="A69" t="str">
        <f>IF(Allocation!BI69="","",Allocation!BI69)</f>
        <v>2025</v>
      </c>
      <c r="B69" t="str">
        <f>IF(Allocation!BJ69="","",Allocation!BJ69)</f>
        <v>IPAC_REN</v>
      </c>
      <c r="C69" t="str">
        <f>IF(Allocation!BK69="","",Allocation!BK69)</f>
        <v>IPAC</v>
      </c>
      <c r="D69" t="str">
        <f>IF(Allocation!BL69="","",Allocation!BL69)</f>
        <v>BAC_CCE</v>
      </c>
      <c r="E69" t="str">
        <f>IF(Allocation!BM69="","",Allocation!BM69)</f>
        <v>B2</v>
      </c>
      <c r="F69" t="str">
        <f>IF(Allocation!BN69="","",Allocation!BN69)</f>
        <v>ALT</v>
      </c>
      <c r="G69">
        <f>IF(Allocation!BO69="","",Allocation!BO69)</f>
        <v>37</v>
      </c>
      <c r="H69">
        <f>IF(Allocation!BP69="","",Allocation!BP69)</f>
        <v>2</v>
      </c>
      <c r="I69">
        <f>IF(Allocation!BQ69="","",Allocation!BQ69)</f>
        <v>246050</v>
      </c>
      <c r="J69">
        <f>IF(Allocation!CC69="","",Allocation!CC69)</f>
        <v>0</v>
      </c>
      <c r="K69">
        <f t="shared" si="19"/>
        <v>960</v>
      </c>
      <c r="L69">
        <f t="shared" si="20"/>
        <v>111</v>
      </c>
      <c r="M69">
        <f t="shared" si="21"/>
        <v>6</v>
      </c>
      <c r="N69">
        <f t="shared" si="22"/>
        <v>741570</v>
      </c>
      <c r="O69">
        <f t="shared" si="23"/>
        <v>2880</v>
      </c>
      <c r="P69">
        <f t="shared" si="24"/>
        <v>38</v>
      </c>
      <c r="Q69">
        <f t="shared" si="25"/>
        <v>358</v>
      </c>
      <c r="R69">
        <f t="shared" si="26"/>
        <v>18</v>
      </c>
      <c r="S69">
        <f t="shared" si="27"/>
        <v>2439370</v>
      </c>
      <c r="T69">
        <f t="shared" si="28"/>
        <v>2933</v>
      </c>
      <c r="U69">
        <f t="shared" si="29"/>
        <v>135</v>
      </c>
      <c r="V69">
        <f t="shared" si="30"/>
        <v>21758770</v>
      </c>
      <c r="W69">
        <f>IF($A69="","",Allocation!CD69)</f>
        <v>69137</v>
      </c>
      <c r="X69">
        <f>IF($A69="","",Allocation!CE69)</f>
        <v>132256.93</v>
      </c>
      <c r="Y69">
        <f>IF($A69="","",Allocation!CF69)</f>
        <v>41552</v>
      </c>
      <c r="Z69">
        <f>IF($A69="","",Allocation!CG69)</f>
        <v>13575</v>
      </c>
      <c r="AA69">
        <f>IF($A69="","",Allocation!CH69)</f>
        <v>266792.09999999998</v>
      </c>
      <c r="AB69">
        <f>IF($A69="","",Allocation!CI69)</f>
        <v>2760232</v>
      </c>
      <c r="AC69">
        <f>IF($A69="","",IF(Allocation!$N$4="VOL_EFF",$G69,IF(Allocation!$N$4="VOL_CLASS",$H69,$I69)))</f>
        <v>2</v>
      </c>
      <c r="AD69">
        <f>IF($A69="","",IF(Allocation!$N$4="VOL_EFF",$L69,IF(Allocation!$N$4="VOL_CLASS",$M69,$N69)))</f>
        <v>6</v>
      </c>
      <c r="AE69">
        <f>IF($A69="","",IF(Allocation!$N$3="VOL_EFF",$L69,IF(Allocation!$N$3="VOL_CLASS",$M69,$N69)))</f>
        <v>111</v>
      </c>
      <c r="AF69">
        <f>IF($A69="","",IF(Allocation!$N$3="VOL_EFF",$Q69,IF(Allocation!$N$3="VOL_CLASS",$R69,$S69)))</f>
        <v>358</v>
      </c>
      <c r="AG69">
        <f>IF($A69="","",IF(Allocation!$N$1="VOL_EFF",$Q69,IF(Allocation!$N$1="VOL_CLASS",$R69,$S69)))</f>
        <v>358</v>
      </c>
      <c r="AH69">
        <f>IF($A69="","",IF(Allocation!$N$1="VOL_EFF",$T69,IF(Allocation!$N$1="VOL_CLASS",$U69,$V69)))</f>
        <v>2933</v>
      </c>
      <c r="AI69">
        <f t="shared" si="31"/>
        <v>23045.666666666664</v>
      </c>
      <c r="AJ69">
        <f t="shared" si="32"/>
        <v>44085.643333333326</v>
      </c>
      <c r="AK69">
        <f t="shared" si="33"/>
        <v>13850.666666666666</v>
      </c>
      <c r="AL69">
        <f t="shared" si="34"/>
        <v>88930.699999999983</v>
      </c>
      <c r="AM69">
        <f t="shared" si="35"/>
        <v>34820.5196045005</v>
      </c>
      <c r="AN69">
        <f t="shared" si="36"/>
        <v>34594.547584415792</v>
      </c>
      <c r="AO69">
        <f>IF($A69="","",Allocation!CJ69)</f>
        <v>580167</v>
      </c>
      <c r="AP69">
        <f>IF($A69="","",IF(Allocation!$N$2="VOL_EFF",$Q69,IF(Allocation!$N$2="VOL_CLASS",$R69,$S69)))</f>
        <v>2439370</v>
      </c>
      <c r="AQ69">
        <f>IF($A69="","",IF(Allocation!$N$2="VOL_EFF",$T69,IF(Allocation!$N$2="VOL_CLASS",$U69,$V69)))</f>
        <v>21758770</v>
      </c>
      <c r="AR69">
        <f t="shared" si="37"/>
        <v>6722.2561444170824</v>
      </c>
      <c r="AS69" t="str">
        <f>IF($A69="","",$A69&amp;"|"&amp;Allocation!BG69)</f>
        <v>2025|ACT</v>
      </c>
    </row>
    <row r="70" spans="1:45" x14ac:dyDescent="0.45">
      <c r="A70" t="str">
        <f>IF(Allocation!BI70="","",Allocation!BI70)</f>
        <v>2025</v>
      </c>
      <c r="B70" t="str">
        <f>IF(Allocation!BJ70="","",Allocation!BJ70)</f>
        <v>IPAC_REN</v>
      </c>
      <c r="C70" t="str">
        <f>IF(Allocation!BK70="","",Allocation!BK70)</f>
        <v>IPAC</v>
      </c>
      <c r="D70" t="str">
        <f>IF(Allocation!BL70="","",Allocation!BL70)</f>
        <v>BAC_CCE</v>
      </c>
      <c r="E70" t="str">
        <f>IF(Allocation!BM70="","",Allocation!BM70)</f>
        <v>B3</v>
      </c>
      <c r="F70" t="str">
        <f>IF(Allocation!BN70="","",Allocation!BN70)</f>
        <v>ALT</v>
      </c>
      <c r="G70">
        <f>IF(Allocation!BO70="","",Allocation!BO70)</f>
        <v>36</v>
      </c>
      <c r="H70">
        <f>IF(Allocation!BP70="","",Allocation!BP70)</f>
        <v>2</v>
      </c>
      <c r="I70">
        <f>IF(Allocation!BQ70="","",Allocation!BQ70)</f>
        <v>239400</v>
      </c>
      <c r="J70">
        <f>IF(Allocation!CC70="","",Allocation!CC70)</f>
        <v>0</v>
      </c>
      <c r="K70">
        <f t="shared" si="19"/>
        <v>960</v>
      </c>
      <c r="L70">
        <f t="shared" si="20"/>
        <v>111</v>
      </c>
      <c r="M70">
        <f t="shared" si="21"/>
        <v>6</v>
      </c>
      <c r="N70">
        <f t="shared" si="22"/>
        <v>741570</v>
      </c>
      <c r="O70">
        <f t="shared" si="23"/>
        <v>2880</v>
      </c>
      <c r="P70">
        <f t="shared" si="24"/>
        <v>38</v>
      </c>
      <c r="Q70">
        <f t="shared" si="25"/>
        <v>358</v>
      </c>
      <c r="R70">
        <f t="shared" si="26"/>
        <v>18</v>
      </c>
      <c r="S70">
        <f t="shared" si="27"/>
        <v>2439370</v>
      </c>
      <c r="T70">
        <f t="shared" si="28"/>
        <v>2933</v>
      </c>
      <c r="U70">
        <f t="shared" si="29"/>
        <v>135</v>
      </c>
      <c r="V70">
        <f t="shared" si="30"/>
        <v>21758770</v>
      </c>
      <c r="W70">
        <f>IF($A70="","",Allocation!CD70)</f>
        <v>69137</v>
      </c>
      <c r="X70">
        <f>IF($A70="","",Allocation!CE70)</f>
        <v>132256.93</v>
      </c>
      <c r="Y70">
        <f>IF($A70="","",Allocation!CF70)</f>
        <v>41552</v>
      </c>
      <c r="Z70">
        <f>IF($A70="","",Allocation!CG70)</f>
        <v>13575</v>
      </c>
      <c r="AA70">
        <f>IF($A70="","",Allocation!CH70)</f>
        <v>266792.09999999998</v>
      </c>
      <c r="AB70">
        <f>IF($A70="","",Allocation!CI70)</f>
        <v>2760232</v>
      </c>
      <c r="AC70">
        <f>IF($A70="","",IF(Allocation!$N$4="VOL_EFF",$G70,IF(Allocation!$N$4="VOL_CLASS",$H70,$I70)))</f>
        <v>2</v>
      </c>
      <c r="AD70">
        <f>IF($A70="","",IF(Allocation!$N$4="VOL_EFF",$L70,IF(Allocation!$N$4="VOL_CLASS",$M70,$N70)))</f>
        <v>6</v>
      </c>
      <c r="AE70">
        <f>IF($A70="","",IF(Allocation!$N$3="VOL_EFF",$L70,IF(Allocation!$N$3="VOL_CLASS",$M70,$N70)))</f>
        <v>111</v>
      </c>
      <c r="AF70">
        <f>IF($A70="","",IF(Allocation!$N$3="VOL_EFF",$Q70,IF(Allocation!$N$3="VOL_CLASS",$R70,$S70)))</f>
        <v>358</v>
      </c>
      <c r="AG70">
        <f>IF($A70="","",IF(Allocation!$N$1="VOL_EFF",$Q70,IF(Allocation!$N$1="VOL_CLASS",$R70,$S70)))</f>
        <v>358</v>
      </c>
      <c r="AH70">
        <f>IF($A70="","",IF(Allocation!$N$1="VOL_EFF",$T70,IF(Allocation!$N$1="VOL_CLASS",$U70,$V70)))</f>
        <v>2933</v>
      </c>
      <c r="AI70">
        <f t="shared" si="31"/>
        <v>23045.666666666664</v>
      </c>
      <c r="AJ70">
        <f t="shared" si="32"/>
        <v>44085.643333333326</v>
      </c>
      <c r="AK70">
        <f t="shared" si="33"/>
        <v>13476.324324324325</v>
      </c>
      <c r="AL70">
        <f t="shared" si="34"/>
        <v>88930.699999999983</v>
      </c>
      <c r="AM70">
        <f t="shared" si="35"/>
        <v>34820.5196045005</v>
      </c>
      <c r="AN70">
        <f t="shared" si="36"/>
        <v>28318.889926758129</v>
      </c>
      <c r="AO70">
        <f>IF($A70="","",Allocation!CJ70)</f>
        <v>580167</v>
      </c>
      <c r="AP70">
        <f>IF($A70="","",IF(Allocation!$N$2="VOL_EFF",$Q70,IF(Allocation!$N$2="VOL_CLASS",$R70,$S70)))</f>
        <v>2439370</v>
      </c>
      <c r="AQ70">
        <f>IF($A70="","",IF(Allocation!$N$2="VOL_EFF",$T70,IF(Allocation!$N$2="VOL_CLASS",$U70,$V70)))</f>
        <v>21758770</v>
      </c>
      <c r="AR70">
        <f t="shared" si="37"/>
        <v>6722.2561444170824</v>
      </c>
      <c r="AS70" t="str">
        <f>IF($A70="","",$A70&amp;"|"&amp;Allocation!BG70)</f>
        <v>2025|ACT</v>
      </c>
    </row>
    <row r="71" spans="1:45" x14ac:dyDescent="0.45">
      <c r="A71" t="str">
        <f>IF(Allocation!BI71="","",Allocation!BI71)</f>
        <v>2025</v>
      </c>
      <c r="B71" t="str">
        <f>IF(Allocation!BJ71="","",Allocation!BJ71)</f>
        <v>ISCOM_LIL</v>
      </c>
      <c r="C71" t="str">
        <f>IF(Allocation!BK71="","",Allocation!BK71)</f>
        <v>ISCOM</v>
      </c>
      <c r="D71" t="str">
        <f>IF(Allocation!BL71="","",Allocation!BL71)</f>
        <v>BAC_COM</v>
      </c>
      <c r="E71" t="str">
        <f>IF(Allocation!BM71="","",Allocation!BM71)</f>
        <v>B1</v>
      </c>
      <c r="F71" t="str">
        <f>IF(Allocation!BN71="","",Allocation!BN71)</f>
        <v>INIT</v>
      </c>
      <c r="G71">
        <f>IF(Allocation!BO71="","",Allocation!BO71)</f>
        <v>47</v>
      </c>
      <c r="H71">
        <f>IF(Allocation!BP71="","",Allocation!BP71)</f>
        <v>2</v>
      </c>
      <c r="I71">
        <f>IF(Allocation!BQ71="","",Allocation!BQ71)</f>
        <v>349680</v>
      </c>
      <c r="J71">
        <f>IF(Allocation!CC71="","",Allocation!CC71)</f>
        <v>47</v>
      </c>
      <c r="K71">
        <f t="shared" si="19"/>
        <v>1200</v>
      </c>
      <c r="L71">
        <f t="shared" si="20"/>
        <v>229</v>
      </c>
      <c r="M71">
        <f t="shared" si="21"/>
        <v>10</v>
      </c>
      <c r="N71">
        <f t="shared" si="22"/>
        <v>1648000</v>
      </c>
      <c r="O71">
        <f t="shared" si="23"/>
        <v>4800</v>
      </c>
      <c r="P71">
        <f t="shared" si="24"/>
        <v>94</v>
      </c>
      <c r="Q71">
        <f t="shared" si="25"/>
        <v>779</v>
      </c>
      <c r="R71">
        <f t="shared" si="26"/>
        <v>35</v>
      </c>
      <c r="S71">
        <f t="shared" si="27"/>
        <v>5914800</v>
      </c>
      <c r="T71">
        <f t="shared" si="28"/>
        <v>2933</v>
      </c>
      <c r="U71">
        <f t="shared" si="29"/>
        <v>135</v>
      </c>
      <c r="V71">
        <f t="shared" si="30"/>
        <v>21758770</v>
      </c>
      <c r="W71">
        <f>IF($A71="","",Allocation!CD71)</f>
        <v>115229</v>
      </c>
      <c r="X71">
        <f>IF($A71="","",Allocation!CE71)</f>
        <v>270570.21000000002</v>
      </c>
      <c r="Y71">
        <f>IF($A71="","",Allocation!CF71)</f>
        <v>86655</v>
      </c>
      <c r="Z71">
        <f>IF($A71="","",Allocation!CG71)</f>
        <v>22927</v>
      </c>
      <c r="AA71">
        <f>IF($A71="","",Allocation!CH71)</f>
        <v>630959.31999999995</v>
      </c>
      <c r="AB71">
        <f>IF($A71="","",Allocation!CI71)</f>
        <v>2760232</v>
      </c>
      <c r="AC71">
        <f>IF($A71="","",IF(Allocation!$N$4="VOL_EFF",$G71,IF(Allocation!$N$4="VOL_CLASS",$H71,$I71)))</f>
        <v>2</v>
      </c>
      <c r="AD71">
        <f>IF($A71="","",IF(Allocation!$N$4="VOL_EFF",$L71,IF(Allocation!$N$4="VOL_CLASS",$M71,$N71)))</f>
        <v>10</v>
      </c>
      <c r="AE71">
        <f>IF($A71="","",IF(Allocation!$N$3="VOL_EFF",$L71,IF(Allocation!$N$3="VOL_CLASS",$M71,$N71)))</f>
        <v>229</v>
      </c>
      <c r="AF71">
        <f>IF($A71="","",IF(Allocation!$N$3="VOL_EFF",$Q71,IF(Allocation!$N$3="VOL_CLASS",$R71,$S71)))</f>
        <v>779</v>
      </c>
      <c r="AG71">
        <f>IF($A71="","",IF(Allocation!$N$1="VOL_EFF",$Q71,IF(Allocation!$N$1="VOL_CLASS",$R71,$S71)))</f>
        <v>779</v>
      </c>
      <c r="AH71">
        <f>IF($A71="","",IF(Allocation!$N$1="VOL_EFF",$T71,IF(Allocation!$N$1="VOL_CLASS",$U71,$V71)))</f>
        <v>2933</v>
      </c>
      <c r="AI71">
        <f t="shared" si="31"/>
        <v>28807.25</v>
      </c>
      <c r="AJ71">
        <f t="shared" si="32"/>
        <v>67642.552500000005</v>
      </c>
      <c r="AK71">
        <f t="shared" si="33"/>
        <v>29248.587336244542</v>
      </c>
      <c r="AL71">
        <f t="shared" si="34"/>
        <v>126191.864</v>
      </c>
      <c r="AM71">
        <f t="shared" si="35"/>
        <v>43102.156699624968</v>
      </c>
      <c r="AN71">
        <f t="shared" si="36"/>
        <v>45415.304603469092</v>
      </c>
      <c r="AO71">
        <f>IF($A71="","",Allocation!CJ71)</f>
        <v>580167</v>
      </c>
      <c r="AP71">
        <f>IF($A71="","",IF(Allocation!$N$2="VOL_EFF",$Q71,IF(Allocation!$N$2="VOL_CLASS",$R71,$S71)))</f>
        <v>5914800</v>
      </c>
      <c r="AQ71">
        <f>IF($A71="","",IF(Allocation!$N$2="VOL_EFF",$T71,IF(Allocation!$N$2="VOL_CLASS",$U71,$V71)))</f>
        <v>21758770</v>
      </c>
      <c r="AR71">
        <f t="shared" si="37"/>
        <v>9272.2848606613479</v>
      </c>
      <c r="AS71" t="str">
        <f>IF($A71="","",$A71&amp;"|"&amp;Allocation!BG71)</f>
        <v>2025|ACT</v>
      </c>
    </row>
    <row r="72" spans="1:45" x14ac:dyDescent="0.45">
      <c r="A72" t="str">
        <f>IF(Allocation!BI72="","",Allocation!BI72)</f>
        <v>2025</v>
      </c>
      <c r="B72" t="str">
        <f>IF(Allocation!BJ72="","",Allocation!BJ72)</f>
        <v>ISCOM_LIL</v>
      </c>
      <c r="C72" t="str">
        <f>IF(Allocation!BK72="","",Allocation!BK72)</f>
        <v>ISCOM</v>
      </c>
      <c r="D72" t="str">
        <f>IF(Allocation!BL72="","",Allocation!BL72)</f>
        <v>BAC_COM</v>
      </c>
      <c r="E72" t="str">
        <f>IF(Allocation!BM72="","",Allocation!BM72)</f>
        <v>B2</v>
      </c>
      <c r="F72" t="str">
        <f>IF(Allocation!BN72="","",Allocation!BN72)</f>
        <v>ALT</v>
      </c>
      <c r="G72">
        <f>IF(Allocation!BO72="","",Allocation!BO72)</f>
        <v>45</v>
      </c>
      <c r="H72">
        <f>IF(Allocation!BP72="","",Allocation!BP72)</f>
        <v>2</v>
      </c>
      <c r="I72">
        <f>IF(Allocation!BQ72="","",Allocation!BQ72)</f>
        <v>308700</v>
      </c>
      <c r="J72">
        <f>IF(Allocation!CC72="","",Allocation!CC72)</f>
        <v>0</v>
      </c>
      <c r="K72">
        <f t="shared" si="19"/>
        <v>960</v>
      </c>
      <c r="L72">
        <f t="shared" si="20"/>
        <v>229</v>
      </c>
      <c r="M72">
        <f t="shared" si="21"/>
        <v>10</v>
      </c>
      <c r="N72">
        <f t="shared" si="22"/>
        <v>1648000</v>
      </c>
      <c r="O72">
        <f t="shared" si="23"/>
        <v>4800</v>
      </c>
      <c r="P72">
        <f t="shared" si="24"/>
        <v>94</v>
      </c>
      <c r="Q72">
        <f t="shared" si="25"/>
        <v>779</v>
      </c>
      <c r="R72">
        <f t="shared" si="26"/>
        <v>35</v>
      </c>
      <c r="S72">
        <f t="shared" si="27"/>
        <v>5914800</v>
      </c>
      <c r="T72">
        <f t="shared" si="28"/>
        <v>2933</v>
      </c>
      <c r="U72">
        <f t="shared" si="29"/>
        <v>135</v>
      </c>
      <c r="V72">
        <f t="shared" si="30"/>
        <v>21758770</v>
      </c>
      <c r="W72">
        <f>IF($A72="","",Allocation!CD72)</f>
        <v>115229</v>
      </c>
      <c r="X72">
        <f>IF($A72="","",Allocation!CE72)</f>
        <v>270570.21000000002</v>
      </c>
      <c r="Y72">
        <f>IF($A72="","",Allocation!CF72)</f>
        <v>86655</v>
      </c>
      <c r="Z72">
        <f>IF($A72="","",Allocation!CG72)</f>
        <v>22927</v>
      </c>
      <c r="AA72">
        <f>IF($A72="","",Allocation!CH72)</f>
        <v>630959.31999999995</v>
      </c>
      <c r="AB72">
        <f>IF($A72="","",Allocation!CI72)</f>
        <v>2760232</v>
      </c>
      <c r="AC72">
        <f>IF($A72="","",IF(Allocation!$N$4="VOL_EFF",$G72,IF(Allocation!$N$4="VOL_CLASS",$H72,$I72)))</f>
        <v>2</v>
      </c>
      <c r="AD72">
        <f>IF($A72="","",IF(Allocation!$N$4="VOL_EFF",$L72,IF(Allocation!$N$4="VOL_CLASS",$M72,$N72)))</f>
        <v>10</v>
      </c>
      <c r="AE72">
        <f>IF($A72="","",IF(Allocation!$N$3="VOL_EFF",$L72,IF(Allocation!$N$3="VOL_CLASS",$M72,$N72)))</f>
        <v>229</v>
      </c>
      <c r="AF72">
        <f>IF($A72="","",IF(Allocation!$N$3="VOL_EFF",$Q72,IF(Allocation!$N$3="VOL_CLASS",$R72,$S72)))</f>
        <v>779</v>
      </c>
      <c r="AG72">
        <f>IF($A72="","",IF(Allocation!$N$1="VOL_EFF",$Q72,IF(Allocation!$N$1="VOL_CLASS",$R72,$S72)))</f>
        <v>779</v>
      </c>
      <c r="AH72">
        <f>IF($A72="","",IF(Allocation!$N$1="VOL_EFF",$T72,IF(Allocation!$N$1="VOL_CLASS",$U72,$V72)))</f>
        <v>2933</v>
      </c>
      <c r="AI72">
        <f t="shared" si="31"/>
        <v>23045.800000000003</v>
      </c>
      <c r="AJ72">
        <f t="shared" si="32"/>
        <v>54114.042000000009</v>
      </c>
      <c r="AK72">
        <f t="shared" si="33"/>
        <v>17028.275109170303</v>
      </c>
      <c r="AL72">
        <f t="shared" si="34"/>
        <v>126191.864</v>
      </c>
      <c r="AM72">
        <f t="shared" si="35"/>
        <v>43102.156699624968</v>
      </c>
      <c r="AN72">
        <f t="shared" si="36"/>
        <v>35945.577330543369</v>
      </c>
      <c r="AO72">
        <f>IF($A72="","",Allocation!CJ72)</f>
        <v>580167</v>
      </c>
      <c r="AP72">
        <f>IF($A72="","",IF(Allocation!$N$2="VOL_EFF",$Q72,IF(Allocation!$N$2="VOL_CLASS",$R72,$S72)))</f>
        <v>5914800</v>
      </c>
      <c r="AQ72">
        <f>IF($A72="","",IF(Allocation!$N$2="VOL_EFF",$T72,IF(Allocation!$N$2="VOL_CLASS",$U72,$V72)))</f>
        <v>21758770</v>
      </c>
      <c r="AR72">
        <f t="shared" si="37"/>
        <v>9272.2848606613479</v>
      </c>
      <c r="AS72" t="str">
        <f>IF($A72="","",$A72&amp;"|"&amp;Allocation!BG72)</f>
        <v>2025|ACT</v>
      </c>
    </row>
    <row r="73" spans="1:45" x14ac:dyDescent="0.45">
      <c r="A73" t="str">
        <f>IF(Allocation!BI73="","",Allocation!BI73)</f>
        <v>2025</v>
      </c>
      <c r="B73" t="str">
        <f>IF(Allocation!BJ73="","",Allocation!BJ73)</f>
        <v>ISCOM_LIL</v>
      </c>
      <c r="C73" t="str">
        <f>IF(Allocation!BK73="","",Allocation!BK73)</f>
        <v>ISCOM</v>
      </c>
      <c r="D73" t="str">
        <f>IF(Allocation!BL73="","",Allocation!BL73)</f>
        <v>BAC_COM</v>
      </c>
      <c r="E73" t="str">
        <f>IF(Allocation!BM73="","",Allocation!BM73)</f>
        <v>B3</v>
      </c>
      <c r="F73" t="str">
        <f>IF(Allocation!BN73="","",Allocation!BN73)</f>
        <v>ALT</v>
      </c>
      <c r="G73">
        <f>IF(Allocation!BO73="","",Allocation!BO73)</f>
        <v>44</v>
      </c>
      <c r="H73">
        <f>IF(Allocation!BP73="","",Allocation!BP73)</f>
        <v>2</v>
      </c>
      <c r="I73">
        <f>IF(Allocation!BQ73="","",Allocation!BQ73)</f>
        <v>301840</v>
      </c>
      <c r="J73">
        <f>IF(Allocation!CC73="","",Allocation!CC73)</f>
        <v>0</v>
      </c>
      <c r="K73">
        <f t="shared" si="19"/>
        <v>960</v>
      </c>
      <c r="L73">
        <f t="shared" si="20"/>
        <v>229</v>
      </c>
      <c r="M73">
        <f t="shared" si="21"/>
        <v>10</v>
      </c>
      <c r="N73">
        <f t="shared" si="22"/>
        <v>1648000</v>
      </c>
      <c r="O73">
        <f t="shared" si="23"/>
        <v>4800</v>
      </c>
      <c r="P73">
        <f t="shared" si="24"/>
        <v>94</v>
      </c>
      <c r="Q73">
        <f t="shared" si="25"/>
        <v>779</v>
      </c>
      <c r="R73">
        <f t="shared" si="26"/>
        <v>35</v>
      </c>
      <c r="S73">
        <f t="shared" si="27"/>
        <v>5914800</v>
      </c>
      <c r="T73">
        <f t="shared" si="28"/>
        <v>2933</v>
      </c>
      <c r="U73">
        <f t="shared" si="29"/>
        <v>135</v>
      </c>
      <c r="V73">
        <f t="shared" si="30"/>
        <v>21758770</v>
      </c>
      <c r="W73">
        <f>IF($A73="","",Allocation!CD73)</f>
        <v>115229</v>
      </c>
      <c r="X73">
        <f>IF($A73="","",Allocation!CE73)</f>
        <v>270570.21000000002</v>
      </c>
      <c r="Y73">
        <f>IF($A73="","",Allocation!CF73)</f>
        <v>86655</v>
      </c>
      <c r="Z73">
        <f>IF($A73="","",Allocation!CG73)</f>
        <v>22927</v>
      </c>
      <c r="AA73">
        <f>IF($A73="","",Allocation!CH73)</f>
        <v>630959.31999999995</v>
      </c>
      <c r="AB73">
        <f>IF($A73="","",Allocation!CI73)</f>
        <v>2760232</v>
      </c>
      <c r="AC73">
        <f>IF($A73="","",IF(Allocation!$N$4="VOL_EFF",$G73,IF(Allocation!$N$4="VOL_CLASS",$H73,$I73)))</f>
        <v>2</v>
      </c>
      <c r="AD73">
        <f>IF($A73="","",IF(Allocation!$N$4="VOL_EFF",$L73,IF(Allocation!$N$4="VOL_CLASS",$M73,$N73)))</f>
        <v>10</v>
      </c>
      <c r="AE73">
        <f>IF($A73="","",IF(Allocation!$N$3="VOL_EFF",$L73,IF(Allocation!$N$3="VOL_CLASS",$M73,$N73)))</f>
        <v>229</v>
      </c>
      <c r="AF73">
        <f>IF($A73="","",IF(Allocation!$N$3="VOL_EFF",$Q73,IF(Allocation!$N$3="VOL_CLASS",$R73,$S73)))</f>
        <v>779</v>
      </c>
      <c r="AG73">
        <f>IF($A73="","",IF(Allocation!$N$1="VOL_EFF",$Q73,IF(Allocation!$N$1="VOL_CLASS",$R73,$S73)))</f>
        <v>779</v>
      </c>
      <c r="AH73">
        <f>IF($A73="","",IF(Allocation!$N$1="VOL_EFF",$T73,IF(Allocation!$N$1="VOL_CLASS",$U73,$V73)))</f>
        <v>2933</v>
      </c>
      <c r="AI73">
        <f t="shared" si="31"/>
        <v>23045.800000000003</v>
      </c>
      <c r="AJ73">
        <f t="shared" si="32"/>
        <v>54114.042000000009</v>
      </c>
      <c r="AK73">
        <f t="shared" si="33"/>
        <v>16649.868995633187</v>
      </c>
      <c r="AL73">
        <f t="shared" si="34"/>
        <v>126191.864</v>
      </c>
      <c r="AM73">
        <f t="shared" si="35"/>
        <v>43102.156699624968</v>
      </c>
      <c r="AN73">
        <f t="shared" si="36"/>
        <v>29463.983444080455</v>
      </c>
      <c r="AO73">
        <f>IF($A73="","",Allocation!CJ73)</f>
        <v>580167</v>
      </c>
      <c r="AP73">
        <f>IF($A73="","",IF(Allocation!$N$2="VOL_EFF",$Q73,IF(Allocation!$N$2="VOL_CLASS",$R73,$S73)))</f>
        <v>5914800</v>
      </c>
      <c r="AQ73">
        <f>IF($A73="","",IF(Allocation!$N$2="VOL_EFF",$T73,IF(Allocation!$N$2="VOL_CLASS",$U73,$V73)))</f>
        <v>21758770</v>
      </c>
      <c r="AR73">
        <f t="shared" si="37"/>
        <v>9272.2848606613479</v>
      </c>
      <c r="AS73" t="str">
        <f>IF($A73="","",$A73&amp;"|"&amp;Allocation!BG73)</f>
        <v>2025|ACT</v>
      </c>
    </row>
    <row r="74" spans="1:45" x14ac:dyDescent="0.45">
      <c r="A74" t="str">
        <f>IF(Allocation!BI74="","",Allocation!BI74)</f>
        <v>2025</v>
      </c>
      <c r="B74" t="str">
        <f>IF(Allocation!BJ74="","",Allocation!BJ74)</f>
        <v>ISCOM_LIL</v>
      </c>
      <c r="C74" t="str">
        <f>IF(Allocation!BK74="","",Allocation!BK74)</f>
        <v>ISCOM</v>
      </c>
      <c r="D74" t="str">
        <f>IF(Allocation!BL74="","",Allocation!BL74)</f>
        <v>MAS_COM</v>
      </c>
      <c r="E74" t="str">
        <f>IF(Allocation!BM74="","",Allocation!BM74)</f>
        <v>M1</v>
      </c>
      <c r="F74" t="str">
        <f>IF(Allocation!BN74="","",Allocation!BN74)</f>
        <v>ALT</v>
      </c>
      <c r="G74">
        <f>IF(Allocation!BO74="","",Allocation!BO74)</f>
        <v>47</v>
      </c>
      <c r="H74">
        <f>IF(Allocation!BP74="","",Allocation!BP74)</f>
        <v>2</v>
      </c>
      <c r="I74">
        <f>IF(Allocation!BQ74="","",Allocation!BQ74)</f>
        <v>349680</v>
      </c>
      <c r="J74">
        <f>IF(Allocation!CC74="","",Allocation!CC74)</f>
        <v>47</v>
      </c>
      <c r="K74">
        <f t="shared" si="19"/>
        <v>840</v>
      </c>
      <c r="L74">
        <f t="shared" si="20"/>
        <v>229</v>
      </c>
      <c r="M74">
        <f t="shared" si="21"/>
        <v>10</v>
      </c>
      <c r="N74">
        <f t="shared" si="22"/>
        <v>1648000</v>
      </c>
      <c r="O74">
        <f t="shared" si="23"/>
        <v>4800</v>
      </c>
      <c r="P74">
        <f t="shared" si="24"/>
        <v>94</v>
      </c>
      <c r="Q74">
        <f t="shared" si="25"/>
        <v>779</v>
      </c>
      <c r="R74">
        <f t="shared" si="26"/>
        <v>35</v>
      </c>
      <c r="S74">
        <f t="shared" si="27"/>
        <v>5914800</v>
      </c>
      <c r="T74">
        <f t="shared" si="28"/>
        <v>2933</v>
      </c>
      <c r="U74">
        <f t="shared" si="29"/>
        <v>135</v>
      </c>
      <c r="V74">
        <f t="shared" si="30"/>
        <v>21758770</v>
      </c>
      <c r="W74">
        <f>IF($A74="","",Allocation!CD74)</f>
        <v>115229</v>
      </c>
      <c r="X74">
        <f>IF($A74="","",Allocation!CE74)</f>
        <v>270570.21000000002</v>
      </c>
      <c r="Y74">
        <f>IF($A74="","",Allocation!CF74)</f>
        <v>86655</v>
      </c>
      <c r="Z74">
        <f>IF($A74="","",Allocation!CG74)</f>
        <v>22927</v>
      </c>
      <c r="AA74">
        <f>IF($A74="","",Allocation!CH74)</f>
        <v>630959.31999999995</v>
      </c>
      <c r="AB74">
        <f>IF($A74="","",Allocation!CI74)</f>
        <v>2760232</v>
      </c>
      <c r="AC74">
        <f>IF($A74="","",IF(Allocation!$N$4="VOL_EFF",$G74,IF(Allocation!$N$4="VOL_CLASS",$H74,$I74)))</f>
        <v>2</v>
      </c>
      <c r="AD74">
        <f>IF($A74="","",IF(Allocation!$N$4="VOL_EFF",$L74,IF(Allocation!$N$4="VOL_CLASS",$M74,$N74)))</f>
        <v>10</v>
      </c>
      <c r="AE74">
        <f>IF($A74="","",IF(Allocation!$N$3="VOL_EFF",$L74,IF(Allocation!$N$3="VOL_CLASS",$M74,$N74)))</f>
        <v>229</v>
      </c>
      <c r="AF74">
        <f>IF($A74="","",IF(Allocation!$N$3="VOL_EFF",$Q74,IF(Allocation!$N$3="VOL_CLASS",$R74,$S74)))</f>
        <v>779</v>
      </c>
      <c r="AG74">
        <f>IF($A74="","",IF(Allocation!$N$1="VOL_EFF",$Q74,IF(Allocation!$N$1="VOL_CLASS",$R74,$S74)))</f>
        <v>779</v>
      </c>
      <c r="AH74">
        <f>IF($A74="","",IF(Allocation!$N$1="VOL_EFF",$T74,IF(Allocation!$N$1="VOL_CLASS",$U74,$V74)))</f>
        <v>2933</v>
      </c>
      <c r="AI74">
        <f t="shared" si="31"/>
        <v>20165.074999999997</v>
      </c>
      <c r="AJ74">
        <f t="shared" si="32"/>
        <v>47349.786749999999</v>
      </c>
      <c r="AK74">
        <f t="shared" si="33"/>
        <v>29248.587336244542</v>
      </c>
      <c r="AL74">
        <f t="shared" si="34"/>
        <v>126191.864</v>
      </c>
      <c r="AM74">
        <f t="shared" si="35"/>
        <v>43102.156699624968</v>
      </c>
      <c r="AN74">
        <f t="shared" si="36"/>
        <v>74350.245353469101</v>
      </c>
      <c r="AO74">
        <f>IF($A74="","",Allocation!CJ74)</f>
        <v>580167</v>
      </c>
      <c r="AP74">
        <f>IF($A74="","",IF(Allocation!$N$2="VOL_EFF",$Q74,IF(Allocation!$N$2="VOL_CLASS",$R74,$S74)))</f>
        <v>5914800</v>
      </c>
      <c r="AQ74">
        <f>IF($A74="","",IF(Allocation!$N$2="VOL_EFF",$T74,IF(Allocation!$N$2="VOL_CLASS",$U74,$V74)))</f>
        <v>21758770</v>
      </c>
      <c r="AR74">
        <f t="shared" si="37"/>
        <v>9272.2848606613479</v>
      </c>
      <c r="AS74" t="str">
        <f>IF($A74="","",$A74&amp;"|"&amp;Allocation!BG74)</f>
        <v>2025|ACT</v>
      </c>
    </row>
    <row r="75" spans="1:45" x14ac:dyDescent="0.45">
      <c r="A75" t="str">
        <f>IF(Allocation!BI75="","",Allocation!BI75)</f>
        <v>2025</v>
      </c>
      <c r="B75" t="str">
        <f>IF(Allocation!BJ75="","",Allocation!BJ75)</f>
        <v>ISCOM_LIL</v>
      </c>
      <c r="C75" t="str">
        <f>IF(Allocation!BK75="","",Allocation!BK75)</f>
        <v>ISCOM</v>
      </c>
      <c r="D75" t="str">
        <f>IF(Allocation!BL75="","",Allocation!BL75)</f>
        <v>MAS_COM</v>
      </c>
      <c r="E75" t="str">
        <f>IF(Allocation!BM75="","",Allocation!BM75)</f>
        <v>M2</v>
      </c>
      <c r="F75" t="str">
        <f>IF(Allocation!BN75="","",Allocation!BN75)</f>
        <v>ALT</v>
      </c>
      <c r="G75">
        <f>IF(Allocation!BO75="","",Allocation!BO75)</f>
        <v>46</v>
      </c>
      <c r="H75">
        <f>IF(Allocation!BP75="","",Allocation!BP75)</f>
        <v>2</v>
      </c>
      <c r="I75">
        <f>IF(Allocation!BQ75="","",Allocation!BQ75)</f>
        <v>338100</v>
      </c>
      <c r="J75">
        <f>IF(Allocation!CC75="","",Allocation!CC75)</f>
        <v>0</v>
      </c>
      <c r="K75">
        <f t="shared" si="19"/>
        <v>840</v>
      </c>
      <c r="L75">
        <f t="shared" si="20"/>
        <v>229</v>
      </c>
      <c r="M75">
        <f t="shared" si="21"/>
        <v>10</v>
      </c>
      <c r="N75">
        <f t="shared" si="22"/>
        <v>1648000</v>
      </c>
      <c r="O75">
        <f t="shared" si="23"/>
        <v>4800</v>
      </c>
      <c r="P75">
        <f t="shared" si="24"/>
        <v>94</v>
      </c>
      <c r="Q75">
        <f t="shared" si="25"/>
        <v>779</v>
      </c>
      <c r="R75">
        <f t="shared" si="26"/>
        <v>35</v>
      </c>
      <c r="S75">
        <f t="shared" si="27"/>
        <v>5914800</v>
      </c>
      <c r="T75">
        <f t="shared" si="28"/>
        <v>2933</v>
      </c>
      <c r="U75">
        <f t="shared" si="29"/>
        <v>135</v>
      </c>
      <c r="V75">
        <f t="shared" si="30"/>
        <v>21758770</v>
      </c>
      <c r="W75">
        <f>IF($A75="","",Allocation!CD75)</f>
        <v>115229</v>
      </c>
      <c r="X75">
        <f>IF($A75="","",Allocation!CE75)</f>
        <v>270570.21000000002</v>
      </c>
      <c r="Y75">
        <f>IF($A75="","",Allocation!CF75)</f>
        <v>86655</v>
      </c>
      <c r="Z75">
        <f>IF($A75="","",Allocation!CG75)</f>
        <v>22927</v>
      </c>
      <c r="AA75">
        <f>IF($A75="","",Allocation!CH75)</f>
        <v>630959.31999999995</v>
      </c>
      <c r="AB75">
        <f>IF($A75="","",Allocation!CI75)</f>
        <v>2760232</v>
      </c>
      <c r="AC75">
        <f>IF($A75="","",IF(Allocation!$N$4="VOL_EFF",$G75,IF(Allocation!$N$4="VOL_CLASS",$H75,$I75)))</f>
        <v>2</v>
      </c>
      <c r="AD75">
        <f>IF($A75="","",IF(Allocation!$N$4="VOL_EFF",$L75,IF(Allocation!$N$4="VOL_CLASS",$M75,$N75)))</f>
        <v>10</v>
      </c>
      <c r="AE75">
        <f>IF($A75="","",IF(Allocation!$N$3="VOL_EFF",$L75,IF(Allocation!$N$3="VOL_CLASS",$M75,$N75)))</f>
        <v>229</v>
      </c>
      <c r="AF75">
        <f>IF($A75="","",IF(Allocation!$N$3="VOL_EFF",$Q75,IF(Allocation!$N$3="VOL_CLASS",$R75,$S75)))</f>
        <v>779</v>
      </c>
      <c r="AG75">
        <f>IF($A75="","",IF(Allocation!$N$1="VOL_EFF",$Q75,IF(Allocation!$N$1="VOL_CLASS",$R75,$S75)))</f>
        <v>779</v>
      </c>
      <c r="AH75">
        <f>IF($A75="","",IF(Allocation!$N$1="VOL_EFF",$T75,IF(Allocation!$N$1="VOL_CLASS",$U75,$V75)))</f>
        <v>2933</v>
      </c>
      <c r="AI75">
        <f t="shared" si="31"/>
        <v>20165.074999999997</v>
      </c>
      <c r="AJ75">
        <f t="shared" si="32"/>
        <v>47349.786749999999</v>
      </c>
      <c r="AK75">
        <f t="shared" si="33"/>
        <v>17406.681222707422</v>
      </c>
      <c r="AL75">
        <f t="shared" si="34"/>
        <v>126191.864</v>
      </c>
      <c r="AM75">
        <f t="shared" si="35"/>
        <v>43102.156699624968</v>
      </c>
      <c r="AN75">
        <f t="shared" si="36"/>
        <v>74612.151467006246</v>
      </c>
      <c r="AO75">
        <f>IF($A75="","",Allocation!CJ75)</f>
        <v>580167</v>
      </c>
      <c r="AP75">
        <f>IF($A75="","",IF(Allocation!$N$2="VOL_EFF",$Q75,IF(Allocation!$N$2="VOL_CLASS",$R75,$S75)))</f>
        <v>5914800</v>
      </c>
      <c r="AQ75">
        <f>IF($A75="","",IF(Allocation!$N$2="VOL_EFF",$T75,IF(Allocation!$N$2="VOL_CLASS",$U75,$V75)))</f>
        <v>21758770</v>
      </c>
      <c r="AR75">
        <f t="shared" si="37"/>
        <v>9272.2848606613479</v>
      </c>
      <c r="AS75" t="str">
        <f>IF($A75="","",$A75&amp;"|"&amp;Allocation!BG75)</f>
        <v>2025|ACT</v>
      </c>
    </row>
    <row r="76" spans="1:45" x14ac:dyDescent="0.45">
      <c r="A76" t="str">
        <f>IF(Allocation!BI76="","",Allocation!BI76)</f>
        <v>2025</v>
      </c>
      <c r="B76" t="str">
        <f>IF(Allocation!BJ76="","",Allocation!BJ76)</f>
        <v>ISCOM_PAR</v>
      </c>
      <c r="C76" t="str">
        <f>IF(Allocation!BK76="","",Allocation!BK76)</f>
        <v>ISCOM</v>
      </c>
      <c r="D76" t="str">
        <f>IF(Allocation!BL76="","",Allocation!BL76)</f>
        <v>BAC_COM</v>
      </c>
      <c r="E76" t="str">
        <f>IF(Allocation!BM76="","",Allocation!BM76)</f>
        <v>B1</v>
      </c>
      <c r="F76" t="str">
        <f>IF(Allocation!BN76="","",Allocation!BN76)</f>
        <v>INIT</v>
      </c>
      <c r="G76">
        <f>IF(Allocation!BO76="","",Allocation!BO76)</f>
        <v>68</v>
      </c>
      <c r="H76">
        <f>IF(Allocation!BP76="","",Allocation!BP76)</f>
        <v>3</v>
      </c>
      <c r="I76">
        <f>IF(Allocation!BQ76="","",Allocation!BQ76)</f>
        <v>577320</v>
      </c>
      <c r="J76">
        <f>IF(Allocation!CC76="","",Allocation!CC76)</f>
        <v>68</v>
      </c>
      <c r="K76">
        <f t="shared" si="19"/>
        <v>1800</v>
      </c>
      <c r="L76">
        <f t="shared" si="20"/>
        <v>334</v>
      </c>
      <c r="M76">
        <f t="shared" si="21"/>
        <v>15</v>
      </c>
      <c r="N76">
        <f t="shared" si="22"/>
        <v>2744480</v>
      </c>
      <c r="O76">
        <f t="shared" si="23"/>
        <v>7200</v>
      </c>
      <c r="P76">
        <f t="shared" si="24"/>
        <v>136</v>
      </c>
      <c r="Q76">
        <f t="shared" si="25"/>
        <v>779</v>
      </c>
      <c r="R76">
        <f t="shared" si="26"/>
        <v>35</v>
      </c>
      <c r="S76">
        <f t="shared" si="27"/>
        <v>5914800</v>
      </c>
      <c r="T76">
        <f t="shared" si="28"/>
        <v>2933</v>
      </c>
      <c r="U76">
        <f t="shared" si="29"/>
        <v>135</v>
      </c>
      <c r="V76">
        <f t="shared" si="30"/>
        <v>21758770</v>
      </c>
      <c r="W76">
        <f>IF($A76="","",Allocation!CD76)</f>
        <v>172844</v>
      </c>
      <c r="X76">
        <f>IF($A76="","",Allocation!CE76)</f>
        <v>466993.12</v>
      </c>
      <c r="Y76">
        <f>IF($A76="","",Allocation!CF76)</f>
        <v>125720</v>
      </c>
      <c r="Z76">
        <f>IF($A76="","",Allocation!CG76)</f>
        <v>55272</v>
      </c>
      <c r="AA76">
        <f>IF($A76="","",Allocation!CH76)</f>
        <v>1065013.21</v>
      </c>
      <c r="AB76">
        <f>IF($A76="","",Allocation!CI76)</f>
        <v>2760232</v>
      </c>
      <c r="AC76">
        <f>IF($A76="","",IF(Allocation!$N$4="VOL_EFF",$G76,IF(Allocation!$N$4="VOL_CLASS",$H76,$I76)))</f>
        <v>3</v>
      </c>
      <c r="AD76">
        <f>IF($A76="","",IF(Allocation!$N$4="VOL_EFF",$L76,IF(Allocation!$N$4="VOL_CLASS",$M76,$N76)))</f>
        <v>15</v>
      </c>
      <c r="AE76">
        <f>IF($A76="","",IF(Allocation!$N$3="VOL_EFF",$L76,IF(Allocation!$N$3="VOL_CLASS",$M76,$N76)))</f>
        <v>334</v>
      </c>
      <c r="AF76">
        <f>IF($A76="","",IF(Allocation!$N$3="VOL_EFF",$Q76,IF(Allocation!$N$3="VOL_CLASS",$R76,$S76)))</f>
        <v>779</v>
      </c>
      <c r="AG76">
        <f>IF($A76="","",IF(Allocation!$N$1="VOL_EFF",$Q76,IF(Allocation!$N$1="VOL_CLASS",$R76,$S76)))</f>
        <v>779</v>
      </c>
      <c r="AH76">
        <f>IF($A76="","",IF(Allocation!$N$1="VOL_EFF",$T76,IF(Allocation!$N$1="VOL_CLASS",$U76,$V76)))</f>
        <v>2933</v>
      </c>
      <c r="AI76">
        <f t="shared" si="31"/>
        <v>43211</v>
      </c>
      <c r="AJ76">
        <f t="shared" si="32"/>
        <v>116748.28</v>
      </c>
      <c r="AK76">
        <f t="shared" si="33"/>
        <v>53231.688622754489</v>
      </c>
      <c r="AL76">
        <f t="shared" si="34"/>
        <v>213002.64199999999</v>
      </c>
      <c r="AM76">
        <f t="shared" si="35"/>
        <v>62865.154312990118</v>
      </c>
      <c r="AN76">
        <f t="shared" si="36"/>
        <v>74737.465878836636</v>
      </c>
      <c r="AO76">
        <f>IF($A76="","",Allocation!CJ76)</f>
        <v>580167</v>
      </c>
      <c r="AP76">
        <f>IF($A76="","",IF(Allocation!$N$2="VOL_EFF",$Q76,IF(Allocation!$N$2="VOL_CLASS",$R76,$S76)))</f>
        <v>5914800</v>
      </c>
      <c r="AQ76">
        <f>IF($A76="","",IF(Allocation!$N$2="VOL_EFF",$T76,IF(Allocation!$N$2="VOL_CLASS",$U76,$V76)))</f>
        <v>21758770</v>
      </c>
      <c r="AR76">
        <f t="shared" si="37"/>
        <v>13523.769185418736</v>
      </c>
      <c r="AS76" t="str">
        <f>IF($A76="","",$A76&amp;"|"&amp;Allocation!BG76)</f>
        <v>2025|ACT</v>
      </c>
    </row>
    <row r="77" spans="1:45" x14ac:dyDescent="0.45">
      <c r="A77" t="str">
        <f>IF(Allocation!BI77="","",Allocation!BI77)</f>
        <v>2025</v>
      </c>
      <c r="B77" t="str">
        <f>IF(Allocation!BJ77="","",Allocation!BJ77)</f>
        <v>ISCOM_PAR</v>
      </c>
      <c r="C77" t="str">
        <f>IF(Allocation!BK77="","",Allocation!BK77)</f>
        <v>ISCOM</v>
      </c>
      <c r="D77" t="str">
        <f>IF(Allocation!BL77="","",Allocation!BL77)</f>
        <v>BAC_COM</v>
      </c>
      <c r="E77" t="str">
        <f>IF(Allocation!BM77="","",Allocation!BM77)</f>
        <v>B2</v>
      </c>
      <c r="F77" t="str">
        <f>IF(Allocation!BN77="","",Allocation!BN77)</f>
        <v>ALT</v>
      </c>
      <c r="G77">
        <f>IF(Allocation!BO77="","",Allocation!BO77)</f>
        <v>66</v>
      </c>
      <c r="H77">
        <f>IF(Allocation!BP77="","",Allocation!BP77)</f>
        <v>3</v>
      </c>
      <c r="I77">
        <f>IF(Allocation!BQ77="","",Allocation!BQ77)</f>
        <v>517440</v>
      </c>
      <c r="J77">
        <f>IF(Allocation!CC77="","",Allocation!CC77)</f>
        <v>0</v>
      </c>
      <c r="K77">
        <f t="shared" si="19"/>
        <v>1440</v>
      </c>
      <c r="L77">
        <f t="shared" si="20"/>
        <v>334</v>
      </c>
      <c r="M77">
        <f t="shared" si="21"/>
        <v>15</v>
      </c>
      <c r="N77">
        <f t="shared" si="22"/>
        <v>2744480</v>
      </c>
      <c r="O77">
        <f t="shared" si="23"/>
        <v>7200</v>
      </c>
      <c r="P77">
        <f t="shared" si="24"/>
        <v>136</v>
      </c>
      <c r="Q77">
        <f t="shared" si="25"/>
        <v>779</v>
      </c>
      <c r="R77">
        <f t="shared" si="26"/>
        <v>35</v>
      </c>
      <c r="S77">
        <f t="shared" si="27"/>
        <v>5914800</v>
      </c>
      <c r="T77">
        <f t="shared" si="28"/>
        <v>2933</v>
      </c>
      <c r="U77">
        <f t="shared" si="29"/>
        <v>135</v>
      </c>
      <c r="V77">
        <f t="shared" si="30"/>
        <v>21758770</v>
      </c>
      <c r="W77">
        <f>IF($A77="","",Allocation!CD77)</f>
        <v>172844</v>
      </c>
      <c r="X77">
        <f>IF($A77="","",Allocation!CE77)</f>
        <v>466993.12</v>
      </c>
      <c r="Y77">
        <f>IF($A77="","",Allocation!CF77)</f>
        <v>125720</v>
      </c>
      <c r="Z77">
        <f>IF($A77="","",Allocation!CG77)</f>
        <v>55272</v>
      </c>
      <c r="AA77">
        <f>IF($A77="","",Allocation!CH77)</f>
        <v>1065013.21</v>
      </c>
      <c r="AB77">
        <f>IF($A77="","",Allocation!CI77)</f>
        <v>2760232</v>
      </c>
      <c r="AC77">
        <f>IF($A77="","",IF(Allocation!$N$4="VOL_EFF",$G77,IF(Allocation!$N$4="VOL_CLASS",$H77,$I77)))</f>
        <v>3</v>
      </c>
      <c r="AD77">
        <f>IF($A77="","",IF(Allocation!$N$4="VOL_EFF",$L77,IF(Allocation!$N$4="VOL_CLASS",$M77,$N77)))</f>
        <v>15</v>
      </c>
      <c r="AE77">
        <f>IF($A77="","",IF(Allocation!$N$3="VOL_EFF",$L77,IF(Allocation!$N$3="VOL_CLASS",$M77,$N77)))</f>
        <v>334</v>
      </c>
      <c r="AF77">
        <f>IF($A77="","",IF(Allocation!$N$3="VOL_EFF",$Q77,IF(Allocation!$N$3="VOL_CLASS",$R77,$S77)))</f>
        <v>779</v>
      </c>
      <c r="AG77">
        <f>IF($A77="","",IF(Allocation!$N$1="VOL_EFF",$Q77,IF(Allocation!$N$1="VOL_CLASS",$R77,$S77)))</f>
        <v>779</v>
      </c>
      <c r="AH77">
        <f>IF($A77="","",IF(Allocation!$N$1="VOL_EFF",$T77,IF(Allocation!$N$1="VOL_CLASS",$U77,$V77)))</f>
        <v>2933</v>
      </c>
      <c r="AI77">
        <f t="shared" si="31"/>
        <v>34568.800000000003</v>
      </c>
      <c r="AJ77">
        <f t="shared" si="32"/>
        <v>93398.624000000011</v>
      </c>
      <c r="AK77">
        <f t="shared" si="33"/>
        <v>24842.874251497007</v>
      </c>
      <c r="AL77">
        <f t="shared" si="34"/>
        <v>213002.64199999999</v>
      </c>
      <c r="AM77">
        <f t="shared" si="35"/>
        <v>62865.154312990118</v>
      </c>
      <c r="AN77">
        <f t="shared" si="36"/>
        <v>75238.136250094103</v>
      </c>
      <c r="AO77">
        <f>IF($A77="","",Allocation!CJ77)</f>
        <v>580167</v>
      </c>
      <c r="AP77">
        <f>IF($A77="","",IF(Allocation!$N$2="VOL_EFF",$Q77,IF(Allocation!$N$2="VOL_CLASS",$R77,$S77)))</f>
        <v>5914800</v>
      </c>
      <c r="AQ77">
        <f>IF($A77="","",IF(Allocation!$N$2="VOL_EFF",$T77,IF(Allocation!$N$2="VOL_CLASS",$U77,$V77)))</f>
        <v>21758770</v>
      </c>
      <c r="AR77">
        <f t="shared" si="37"/>
        <v>13523.769185418736</v>
      </c>
      <c r="AS77" t="str">
        <f>IF($A77="","",$A77&amp;"|"&amp;Allocation!BG77)</f>
        <v>2025|ACT</v>
      </c>
    </row>
    <row r="78" spans="1:45" x14ac:dyDescent="0.45">
      <c r="A78" t="str">
        <f>IF(Allocation!BI78="","",Allocation!BI78)</f>
        <v>2025</v>
      </c>
      <c r="B78" t="str">
        <f>IF(Allocation!BJ78="","",Allocation!BJ78)</f>
        <v>ISCOM_PAR</v>
      </c>
      <c r="C78" t="str">
        <f>IF(Allocation!BK78="","",Allocation!BK78)</f>
        <v>ISCOM</v>
      </c>
      <c r="D78" t="str">
        <f>IF(Allocation!BL78="","",Allocation!BL78)</f>
        <v>BAC_COM</v>
      </c>
      <c r="E78" t="str">
        <f>IF(Allocation!BM78="","",Allocation!BM78)</f>
        <v>B3</v>
      </c>
      <c r="F78" t="str">
        <f>IF(Allocation!BN78="","",Allocation!BN78)</f>
        <v>ALT</v>
      </c>
      <c r="G78">
        <f>IF(Allocation!BO78="","",Allocation!BO78)</f>
        <v>65</v>
      </c>
      <c r="H78">
        <f>IF(Allocation!BP78="","",Allocation!BP78)</f>
        <v>3</v>
      </c>
      <c r="I78">
        <f>IF(Allocation!BQ78="","",Allocation!BQ78)</f>
        <v>509600</v>
      </c>
      <c r="J78">
        <f>IF(Allocation!CC78="","",Allocation!CC78)</f>
        <v>0</v>
      </c>
      <c r="K78">
        <f t="shared" si="19"/>
        <v>1440</v>
      </c>
      <c r="L78">
        <f t="shared" si="20"/>
        <v>334</v>
      </c>
      <c r="M78">
        <f t="shared" si="21"/>
        <v>15</v>
      </c>
      <c r="N78">
        <f t="shared" si="22"/>
        <v>2744480</v>
      </c>
      <c r="O78">
        <f t="shared" si="23"/>
        <v>7200</v>
      </c>
      <c r="P78">
        <f t="shared" si="24"/>
        <v>136</v>
      </c>
      <c r="Q78">
        <f t="shared" si="25"/>
        <v>779</v>
      </c>
      <c r="R78">
        <f t="shared" si="26"/>
        <v>35</v>
      </c>
      <c r="S78">
        <f t="shared" si="27"/>
        <v>5914800</v>
      </c>
      <c r="T78">
        <f t="shared" si="28"/>
        <v>2933</v>
      </c>
      <c r="U78">
        <f t="shared" si="29"/>
        <v>135</v>
      </c>
      <c r="V78">
        <f t="shared" si="30"/>
        <v>21758770</v>
      </c>
      <c r="W78">
        <f>IF($A78="","",Allocation!CD78)</f>
        <v>172844</v>
      </c>
      <c r="X78">
        <f>IF($A78="","",Allocation!CE78)</f>
        <v>466993.12</v>
      </c>
      <c r="Y78">
        <f>IF($A78="","",Allocation!CF78)</f>
        <v>125720</v>
      </c>
      <c r="Z78">
        <f>IF($A78="","",Allocation!CG78)</f>
        <v>55272</v>
      </c>
      <c r="AA78">
        <f>IF($A78="","",Allocation!CH78)</f>
        <v>1065013.21</v>
      </c>
      <c r="AB78">
        <f>IF($A78="","",Allocation!CI78)</f>
        <v>2760232</v>
      </c>
      <c r="AC78">
        <f>IF($A78="","",IF(Allocation!$N$4="VOL_EFF",$G78,IF(Allocation!$N$4="VOL_CLASS",$H78,$I78)))</f>
        <v>3</v>
      </c>
      <c r="AD78">
        <f>IF($A78="","",IF(Allocation!$N$4="VOL_EFF",$L78,IF(Allocation!$N$4="VOL_CLASS",$M78,$N78)))</f>
        <v>15</v>
      </c>
      <c r="AE78">
        <f>IF($A78="","",IF(Allocation!$N$3="VOL_EFF",$L78,IF(Allocation!$N$3="VOL_CLASS",$M78,$N78)))</f>
        <v>334</v>
      </c>
      <c r="AF78">
        <f>IF($A78="","",IF(Allocation!$N$3="VOL_EFF",$Q78,IF(Allocation!$N$3="VOL_CLASS",$R78,$S78)))</f>
        <v>779</v>
      </c>
      <c r="AG78">
        <f>IF($A78="","",IF(Allocation!$N$1="VOL_EFF",$Q78,IF(Allocation!$N$1="VOL_CLASS",$R78,$S78)))</f>
        <v>779</v>
      </c>
      <c r="AH78">
        <f>IF($A78="","",IF(Allocation!$N$1="VOL_EFF",$T78,IF(Allocation!$N$1="VOL_CLASS",$U78,$V78)))</f>
        <v>2933</v>
      </c>
      <c r="AI78">
        <f t="shared" si="31"/>
        <v>34568.800000000003</v>
      </c>
      <c r="AJ78">
        <f t="shared" si="32"/>
        <v>93398.624000000011</v>
      </c>
      <c r="AK78">
        <f t="shared" si="33"/>
        <v>24466.467065868266</v>
      </c>
      <c r="AL78">
        <f t="shared" si="34"/>
        <v>213002.64199999999</v>
      </c>
      <c r="AM78">
        <f t="shared" si="35"/>
        <v>62865.154312990118</v>
      </c>
      <c r="AN78">
        <f t="shared" si="36"/>
        <v>67774.543435722822</v>
      </c>
      <c r="AO78">
        <f>IF($A78="","",Allocation!CJ78)</f>
        <v>580167</v>
      </c>
      <c r="AP78">
        <f>IF($A78="","",IF(Allocation!$N$2="VOL_EFF",$Q78,IF(Allocation!$N$2="VOL_CLASS",$R78,$S78)))</f>
        <v>5914800</v>
      </c>
      <c r="AQ78">
        <f>IF($A78="","",IF(Allocation!$N$2="VOL_EFF",$T78,IF(Allocation!$N$2="VOL_CLASS",$U78,$V78)))</f>
        <v>21758770</v>
      </c>
      <c r="AR78">
        <f t="shared" si="37"/>
        <v>13523.769185418736</v>
      </c>
      <c r="AS78" t="str">
        <f>IF($A78="","",$A78&amp;"|"&amp;Allocation!BG78)</f>
        <v>2025|ACT</v>
      </c>
    </row>
    <row r="79" spans="1:45" x14ac:dyDescent="0.45">
      <c r="A79" t="str">
        <f>IF(Allocation!BI79="","",Allocation!BI79)</f>
        <v>2025</v>
      </c>
      <c r="B79" t="str">
        <f>IF(Allocation!BJ79="","",Allocation!BJ79)</f>
        <v>ISCOM_PAR</v>
      </c>
      <c r="C79" t="str">
        <f>IF(Allocation!BK79="","",Allocation!BK79)</f>
        <v>ISCOM</v>
      </c>
      <c r="D79" t="str">
        <f>IF(Allocation!BL79="","",Allocation!BL79)</f>
        <v>MAS_COM</v>
      </c>
      <c r="E79" t="str">
        <f>IF(Allocation!BM79="","",Allocation!BM79)</f>
        <v>M1</v>
      </c>
      <c r="F79" t="str">
        <f>IF(Allocation!BN79="","",Allocation!BN79)</f>
        <v>ALT</v>
      </c>
      <c r="G79">
        <f>IF(Allocation!BO79="","",Allocation!BO79)</f>
        <v>68</v>
      </c>
      <c r="H79">
        <f>IF(Allocation!BP79="","",Allocation!BP79)</f>
        <v>3</v>
      </c>
      <c r="I79">
        <f>IF(Allocation!BQ79="","",Allocation!BQ79)</f>
        <v>577320</v>
      </c>
      <c r="J79">
        <f>IF(Allocation!CC79="","",Allocation!CC79)</f>
        <v>68</v>
      </c>
      <c r="K79">
        <f t="shared" si="19"/>
        <v>1260</v>
      </c>
      <c r="L79">
        <f t="shared" si="20"/>
        <v>334</v>
      </c>
      <c r="M79">
        <f t="shared" si="21"/>
        <v>15</v>
      </c>
      <c r="N79">
        <f t="shared" si="22"/>
        <v>2744480</v>
      </c>
      <c r="O79">
        <f t="shared" si="23"/>
        <v>7200</v>
      </c>
      <c r="P79">
        <f t="shared" si="24"/>
        <v>136</v>
      </c>
      <c r="Q79">
        <f t="shared" si="25"/>
        <v>779</v>
      </c>
      <c r="R79">
        <f t="shared" si="26"/>
        <v>35</v>
      </c>
      <c r="S79">
        <f t="shared" si="27"/>
        <v>5914800</v>
      </c>
      <c r="T79">
        <f t="shared" si="28"/>
        <v>2933</v>
      </c>
      <c r="U79">
        <f t="shared" si="29"/>
        <v>135</v>
      </c>
      <c r="V79">
        <f t="shared" si="30"/>
        <v>21758770</v>
      </c>
      <c r="W79">
        <f>IF($A79="","",Allocation!CD79)</f>
        <v>172844</v>
      </c>
      <c r="X79">
        <f>IF($A79="","",Allocation!CE79)</f>
        <v>466993.12</v>
      </c>
      <c r="Y79">
        <f>IF($A79="","",Allocation!CF79)</f>
        <v>125720</v>
      </c>
      <c r="Z79">
        <f>IF($A79="","",Allocation!CG79)</f>
        <v>55272</v>
      </c>
      <c r="AA79">
        <f>IF($A79="","",Allocation!CH79)</f>
        <v>1065013.21</v>
      </c>
      <c r="AB79">
        <f>IF($A79="","",Allocation!CI79)</f>
        <v>2760232</v>
      </c>
      <c r="AC79">
        <f>IF($A79="","",IF(Allocation!$N$4="VOL_EFF",$G79,IF(Allocation!$N$4="VOL_CLASS",$H79,$I79)))</f>
        <v>3</v>
      </c>
      <c r="AD79">
        <f>IF($A79="","",IF(Allocation!$N$4="VOL_EFF",$L79,IF(Allocation!$N$4="VOL_CLASS",$M79,$N79)))</f>
        <v>15</v>
      </c>
      <c r="AE79">
        <f>IF($A79="","",IF(Allocation!$N$3="VOL_EFF",$L79,IF(Allocation!$N$3="VOL_CLASS",$M79,$N79)))</f>
        <v>334</v>
      </c>
      <c r="AF79">
        <f>IF($A79="","",IF(Allocation!$N$3="VOL_EFF",$Q79,IF(Allocation!$N$3="VOL_CLASS",$R79,$S79)))</f>
        <v>779</v>
      </c>
      <c r="AG79">
        <f>IF($A79="","",IF(Allocation!$N$1="VOL_EFF",$Q79,IF(Allocation!$N$1="VOL_CLASS",$R79,$S79)))</f>
        <v>779</v>
      </c>
      <c r="AH79">
        <f>IF($A79="","",IF(Allocation!$N$1="VOL_EFF",$T79,IF(Allocation!$N$1="VOL_CLASS",$U79,$V79)))</f>
        <v>2933</v>
      </c>
      <c r="AI79">
        <f t="shared" si="31"/>
        <v>30247.699999999997</v>
      </c>
      <c r="AJ79">
        <f t="shared" si="32"/>
        <v>81723.795999999988</v>
      </c>
      <c r="AK79">
        <f t="shared" si="33"/>
        <v>53231.688622754489</v>
      </c>
      <c r="AL79">
        <f t="shared" si="34"/>
        <v>213002.64199999999</v>
      </c>
      <c r="AM79">
        <f t="shared" si="35"/>
        <v>62865.154312990118</v>
      </c>
      <c r="AN79">
        <f t="shared" si="36"/>
        <v>122725.24987883668</v>
      </c>
      <c r="AO79">
        <f>IF($A79="","",Allocation!CJ79)</f>
        <v>580167</v>
      </c>
      <c r="AP79">
        <f>IF($A79="","",IF(Allocation!$N$2="VOL_EFF",$Q79,IF(Allocation!$N$2="VOL_CLASS",$R79,$S79)))</f>
        <v>5914800</v>
      </c>
      <c r="AQ79">
        <f>IF($A79="","",IF(Allocation!$N$2="VOL_EFF",$T79,IF(Allocation!$N$2="VOL_CLASS",$U79,$V79)))</f>
        <v>21758770</v>
      </c>
      <c r="AR79">
        <f t="shared" si="37"/>
        <v>13523.769185418736</v>
      </c>
      <c r="AS79" t="str">
        <f>IF($A79="","",$A79&amp;"|"&amp;Allocation!BG79)</f>
        <v>2025|ACT</v>
      </c>
    </row>
    <row r="80" spans="1:45" x14ac:dyDescent="0.45">
      <c r="A80" t="str">
        <f>IF(Allocation!BI80="","",Allocation!BI80)</f>
        <v>2025</v>
      </c>
      <c r="B80" t="str">
        <f>IF(Allocation!BJ80="","",Allocation!BJ80)</f>
        <v>ISCOM_PAR</v>
      </c>
      <c r="C80" t="str">
        <f>IF(Allocation!BK80="","",Allocation!BK80)</f>
        <v>ISCOM</v>
      </c>
      <c r="D80" t="str">
        <f>IF(Allocation!BL80="","",Allocation!BL80)</f>
        <v>MAS_COM</v>
      </c>
      <c r="E80" t="str">
        <f>IF(Allocation!BM80="","",Allocation!BM80)</f>
        <v>M2</v>
      </c>
      <c r="F80" t="str">
        <f>IF(Allocation!BN80="","",Allocation!BN80)</f>
        <v>ALT</v>
      </c>
      <c r="G80">
        <f>IF(Allocation!BO80="","",Allocation!BO80)</f>
        <v>67</v>
      </c>
      <c r="H80">
        <f>IF(Allocation!BP80="","",Allocation!BP80)</f>
        <v>3</v>
      </c>
      <c r="I80">
        <f>IF(Allocation!BQ80="","",Allocation!BQ80)</f>
        <v>562800</v>
      </c>
      <c r="J80">
        <f>IF(Allocation!CC80="","",Allocation!CC80)</f>
        <v>0</v>
      </c>
      <c r="K80">
        <f t="shared" si="19"/>
        <v>1260</v>
      </c>
      <c r="L80">
        <f t="shared" si="20"/>
        <v>334</v>
      </c>
      <c r="M80">
        <f t="shared" si="21"/>
        <v>15</v>
      </c>
      <c r="N80">
        <f t="shared" si="22"/>
        <v>2744480</v>
      </c>
      <c r="O80">
        <f t="shared" si="23"/>
        <v>7200</v>
      </c>
      <c r="P80">
        <f t="shared" si="24"/>
        <v>136</v>
      </c>
      <c r="Q80">
        <f t="shared" si="25"/>
        <v>779</v>
      </c>
      <c r="R80">
        <f t="shared" si="26"/>
        <v>35</v>
      </c>
      <c r="S80">
        <f t="shared" si="27"/>
        <v>5914800</v>
      </c>
      <c r="T80">
        <f t="shared" si="28"/>
        <v>2933</v>
      </c>
      <c r="U80">
        <f t="shared" si="29"/>
        <v>135</v>
      </c>
      <c r="V80">
        <f t="shared" si="30"/>
        <v>21758770</v>
      </c>
      <c r="W80">
        <f>IF($A80="","",Allocation!CD80)</f>
        <v>172844</v>
      </c>
      <c r="X80">
        <f>IF($A80="","",Allocation!CE80)</f>
        <v>466993.12</v>
      </c>
      <c r="Y80">
        <f>IF($A80="","",Allocation!CF80)</f>
        <v>125720</v>
      </c>
      <c r="Z80">
        <f>IF($A80="","",Allocation!CG80)</f>
        <v>55272</v>
      </c>
      <c r="AA80">
        <f>IF($A80="","",Allocation!CH80)</f>
        <v>1065013.21</v>
      </c>
      <c r="AB80">
        <f>IF($A80="","",Allocation!CI80)</f>
        <v>2760232</v>
      </c>
      <c r="AC80">
        <f>IF($A80="","",IF(Allocation!$N$4="VOL_EFF",$G80,IF(Allocation!$N$4="VOL_CLASS",$H80,$I80)))</f>
        <v>3</v>
      </c>
      <c r="AD80">
        <f>IF($A80="","",IF(Allocation!$N$4="VOL_EFF",$L80,IF(Allocation!$N$4="VOL_CLASS",$M80,$N80)))</f>
        <v>15</v>
      </c>
      <c r="AE80">
        <f>IF($A80="","",IF(Allocation!$N$3="VOL_EFF",$L80,IF(Allocation!$N$3="VOL_CLASS",$M80,$N80)))</f>
        <v>334</v>
      </c>
      <c r="AF80">
        <f>IF($A80="","",IF(Allocation!$N$3="VOL_EFF",$Q80,IF(Allocation!$N$3="VOL_CLASS",$R80,$S80)))</f>
        <v>779</v>
      </c>
      <c r="AG80">
        <f>IF($A80="","",IF(Allocation!$N$1="VOL_EFF",$Q80,IF(Allocation!$N$1="VOL_CLASS",$R80,$S80)))</f>
        <v>779</v>
      </c>
      <c r="AH80">
        <f>IF($A80="","",IF(Allocation!$N$1="VOL_EFF",$T80,IF(Allocation!$N$1="VOL_CLASS",$U80,$V80)))</f>
        <v>2933</v>
      </c>
      <c r="AI80">
        <f t="shared" si="31"/>
        <v>30247.699999999997</v>
      </c>
      <c r="AJ80">
        <f t="shared" si="32"/>
        <v>81723.795999999988</v>
      </c>
      <c r="AK80">
        <f t="shared" si="33"/>
        <v>25219.281437125748</v>
      </c>
      <c r="AL80">
        <f t="shared" si="34"/>
        <v>213002.64199999999</v>
      </c>
      <c r="AM80">
        <f t="shared" si="35"/>
        <v>62865.154312990118</v>
      </c>
      <c r="AN80">
        <f t="shared" si="36"/>
        <v>136217.6570644654</v>
      </c>
      <c r="AO80">
        <f>IF($A80="","",Allocation!CJ80)</f>
        <v>580167</v>
      </c>
      <c r="AP80">
        <f>IF($A80="","",IF(Allocation!$N$2="VOL_EFF",$Q80,IF(Allocation!$N$2="VOL_CLASS",$R80,$S80)))</f>
        <v>5914800</v>
      </c>
      <c r="AQ80">
        <f>IF($A80="","",IF(Allocation!$N$2="VOL_EFF",$T80,IF(Allocation!$N$2="VOL_CLASS",$U80,$V80)))</f>
        <v>21758770</v>
      </c>
      <c r="AR80">
        <f t="shared" si="37"/>
        <v>13523.769185418736</v>
      </c>
      <c r="AS80" t="str">
        <f>IF($A80="","",$A80&amp;"|"&amp;Allocation!BG80)</f>
        <v>2025|ACT</v>
      </c>
    </row>
    <row r="81" spans="1:45" x14ac:dyDescent="0.45">
      <c r="A81" t="str">
        <f>IF(Allocation!BI81="","",Allocation!BI81)</f>
        <v>2025</v>
      </c>
      <c r="B81" t="str">
        <f>IF(Allocation!BJ81="","",Allocation!BJ81)</f>
        <v>ISCOM_TLS</v>
      </c>
      <c r="C81" t="str">
        <f>IF(Allocation!BK81="","",Allocation!BK81)</f>
        <v>ISCOM</v>
      </c>
      <c r="D81" t="str">
        <f>IF(Allocation!BL81="","",Allocation!BL81)</f>
        <v>BAC_COM</v>
      </c>
      <c r="E81" t="str">
        <f>IF(Allocation!BM81="","",Allocation!BM81)</f>
        <v>B1</v>
      </c>
      <c r="F81" t="str">
        <f>IF(Allocation!BN81="","",Allocation!BN81)</f>
        <v>INIT</v>
      </c>
      <c r="G81">
        <f>IF(Allocation!BO81="","",Allocation!BO81)</f>
        <v>44</v>
      </c>
      <c r="H81">
        <f>IF(Allocation!BP81="","",Allocation!BP81)</f>
        <v>2</v>
      </c>
      <c r="I81">
        <f>IF(Allocation!BQ81="","",Allocation!BQ81)</f>
        <v>320760</v>
      </c>
      <c r="J81">
        <f>IF(Allocation!CC81="","",Allocation!CC81)</f>
        <v>44</v>
      </c>
      <c r="K81">
        <f t="shared" si="19"/>
        <v>1200</v>
      </c>
      <c r="L81">
        <f t="shared" si="20"/>
        <v>216</v>
      </c>
      <c r="M81">
        <f t="shared" si="21"/>
        <v>10</v>
      </c>
      <c r="N81">
        <f t="shared" si="22"/>
        <v>1522320</v>
      </c>
      <c r="O81">
        <f t="shared" si="23"/>
        <v>4800</v>
      </c>
      <c r="P81">
        <f t="shared" si="24"/>
        <v>88</v>
      </c>
      <c r="Q81">
        <f t="shared" si="25"/>
        <v>779</v>
      </c>
      <c r="R81">
        <f t="shared" si="26"/>
        <v>35</v>
      </c>
      <c r="S81">
        <f t="shared" si="27"/>
        <v>5914800</v>
      </c>
      <c r="T81">
        <f t="shared" si="28"/>
        <v>2933</v>
      </c>
      <c r="U81">
        <f t="shared" si="29"/>
        <v>135</v>
      </c>
      <c r="V81">
        <f t="shared" si="30"/>
        <v>21758770</v>
      </c>
      <c r="W81">
        <f>IF($A81="","",Allocation!CD81)</f>
        <v>115229</v>
      </c>
      <c r="X81">
        <f>IF($A81="","",Allocation!CE81)</f>
        <v>253220.84</v>
      </c>
      <c r="Y81">
        <f>IF($A81="","",Allocation!CF81)</f>
        <v>82038</v>
      </c>
      <c r="Z81">
        <f>IF($A81="","",Allocation!CG81)</f>
        <v>20076</v>
      </c>
      <c r="AA81">
        <f>IF($A81="","",Allocation!CH81)</f>
        <v>569357.18000000005</v>
      </c>
      <c r="AB81">
        <f>IF($A81="","",Allocation!CI81)</f>
        <v>2760232</v>
      </c>
      <c r="AC81">
        <f>IF($A81="","",IF(Allocation!$N$4="VOL_EFF",$G81,IF(Allocation!$N$4="VOL_CLASS",$H81,$I81)))</f>
        <v>2</v>
      </c>
      <c r="AD81">
        <f>IF($A81="","",IF(Allocation!$N$4="VOL_EFF",$L81,IF(Allocation!$N$4="VOL_CLASS",$M81,$N81)))</f>
        <v>10</v>
      </c>
      <c r="AE81">
        <f>IF($A81="","",IF(Allocation!$N$3="VOL_EFF",$L81,IF(Allocation!$N$3="VOL_CLASS",$M81,$N81)))</f>
        <v>216</v>
      </c>
      <c r="AF81">
        <f>IF($A81="","",IF(Allocation!$N$3="VOL_EFF",$Q81,IF(Allocation!$N$3="VOL_CLASS",$R81,$S81)))</f>
        <v>779</v>
      </c>
      <c r="AG81">
        <f>IF($A81="","",IF(Allocation!$N$1="VOL_EFF",$Q81,IF(Allocation!$N$1="VOL_CLASS",$R81,$S81)))</f>
        <v>779</v>
      </c>
      <c r="AH81">
        <f>IF($A81="","",IF(Allocation!$N$1="VOL_EFF",$T81,IF(Allocation!$N$1="VOL_CLASS",$U81,$V81)))</f>
        <v>2933</v>
      </c>
      <c r="AI81">
        <f t="shared" si="31"/>
        <v>28807.25</v>
      </c>
      <c r="AJ81">
        <f t="shared" si="32"/>
        <v>63305.21</v>
      </c>
      <c r="AK81">
        <f t="shared" si="33"/>
        <v>26749.444444444445</v>
      </c>
      <c r="AL81">
        <f t="shared" si="34"/>
        <v>113871.43600000002</v>
      </c>
      <c r="AM81">
        <f t="shared" si="35"/>
        <v>40655.309376065474</v>
      </c>
      <c r="AN81">
        <f t="shared" si="36"/>
        <v>38625.43956856057</v>
      </c>
      <c r="AO81">
        <f>IF($A81="","",Allocation!CJ81)</f>
        <v>580167</v>
      </c>
      <c r="AP81">
        <f>IF($A81="","",IF(Allocation!$N$2="VOL_EFF",$Q81,IF(Allocation!$N$2="VOL_CLASS",$R81,$S81)))</f>
        <v>5914800</v>
      </c>
      <c r="AQ81">
        <f>IF($A81="","",IF(Allocation!$N$2="VOL_EFF",$T81,IF(Allocation!$N$2="VOL_CLASS",$U81,$V81)))</f>
        <v>21758770</v>
      </c>
      <c r="AR81">
        <f t="shared" si="37"/>
        <v>8745.9106109294808</v>
      </c>
      <c r="AS81" t="str">
        <f>IF($A81="","",$A81&amp;"|"&amp;Allocation!BG81)</f>
        <v>2025|ACT</v>
      </c>
    </row>
    <row r="82" spans="1:45" x14ac:dyDescent="0.45">
      <c r="A82" t="str">
        <f>IF(Allocation!BI82="","",Allocation!BI82)</f>
        <v>2025</v>
      </c>
      <c r="B82" t="str">
        <f>IF(Allocation!BJ82="","",Allocation!BJ82)</f>
        <v>ISCOM_TLS</v>
      </c>
      <c r="C82" t="str">
        <f>IF(Allocation!BK82="","",Allocation!BK82)</f>
        <v>ISCOM</v>
      </c>
      <c r="D82" t="str">
        <f>IF(Allocation!BL82="","",Allocation!BL82)</f>
        <v>BAC_COM</v>
      </c>
      <c r="E82" t="str">
        <f>IF(Allocation!BM82="","",Allocation!BM82)</f>
        <v>B2</v>
      </c>
      <c r="F82" t="str">
        <f>IF(Allocation!BN82="","",Allocation!BN82)</f>
        <v>ALT</v>
      </c>
      <c r="G82">
        <f>IF(Allocation!BO82="","",Allocation!BO82)</f>
        <v>43</v>
      </c>
      <c r="H82">
        <f>IF(Allocation!BP82="","",Allocation!BP82)</f>
        <v>2</v>
      </c>
      <c r="I82">
        <f>IF(Allocation!BQ82="","",Allocation!BQ82)</f>
        <v>288960</v>
      </c>
      <c r="J82">
        <f>IF(Allocation!CC82="","",Allocation!CC82)</f>
        <v>0</v>
      </c>
      <c r="K82">
        <f t="shared" si="19"/>
        <v>960</v>
      </c>
      <c r="L82">
        <f t="shared" si="20"/>
        <v>216</v>
      </c>
      <c r="M82">
        <f t="shared" si="21"/>
        <v>10</v>
      </c>
      <c r="N82">
        <f t="shared" si="22"/>
        <v>1522320</v>
      </c>
      <c r="O82">
        <f t="shared" si="23"/>
        <v>4800</v>
      </c>
      <c r="P82">
        <f t="shared" si="24"/>
        <v>88</v>
      </c>
      <c r="Q82">
        <f t="shared" si="25"/>
        <v>779</v>
      </c>
      <c r="R82">
        <f t="shared" si="26"/>
        <v>35</v>
      </c>
      <c r="S82">
        <f t="shared" si="27"/>
        <v>5914800</v>
      </c>
      <c r="T82">
        <f t="shared" si="28"/>
        <v>2933</v>
      </c>
      <c r="U82">
        <f t="shared" si="29"/>
        <v>135</v>
      </c>
      <c r="V82">
        <f t="shared" si="30"/>
        <v>21758770</v>
      </c>
      <c r="W82">
        <f>IF($A82="","",Allocation!CD82)</f>
        <v>115229</v>
      </c>
      <c r="X82">
        <f>IF($A82="","",Allocation!CE82)</f>
        <v>253220.84</v>
      </c>
      <c r="Y82">
        <f>IF($A82="","",Allocation!CF82)</f>
        <v>82038</v>
      </c>
      <c r="Z82">
        <f>IF($A82="","",Allocation!CG82)</f>
        <v>20076</v>
      </c>
      <c r="AA82">
        <f>IF($A82="","",Allocation!CH82)</f>
        <v>569357.18000000005</v>
      </c>
      <c r="AB82">
        <f>IF($A82="","",Allocation!CI82)</f>
        <v>2760232</v>
      </c>
      <c r="AC82">
        <f>IF($A82="","",IF(Allocation!$N$4="VOL_EFF",$G82,IF(Allocation!$N$4="VOL_CLASS",$H82,$I82)))</f>
        <v>2</v>
      </c>
      <c r="AD82">
        <f>IF($A82="","",IF(Allocation!$N$4="VOL_EFF",$L82,IF(Allocation!$N$4="VOL_CLASS",$M82,$N82)))</f>
        <v>10</v>
      </c>
      <c r="AE82">
        <f>IF($A82="","",IF(Allocation!$N$3="VOL_EFF",$L82,IF(Allocation!$N$3="VOL_CLASS",$M82,$N82)))</f>
        <v>216</v>
      </c>
      <c r="AF82">
        <f>IF($A82="","",IF(Allocation!$N$3="VOL_EFF",$Q82,IF(Allocation!$N$3="VOL_CLASS",$R82,$S82)))</f>
        <v>779</v>
      </c>
      <c r="AG82">
        <f>IF($A82="","",IF(Allocation!$N$1="VOL_EFF",$Q82,IF(Allocation!$N$1="VOL_CLASS",$R82,$S82)))</f>
        <v>779</v>
      </c>
      <c r="AH82">
        <f>IF($A82="","",IF(Allocation!$N$1="VOL_EFF",$T82,IF(Allocation!$N$1="VOL_CLASS",$U82,$V82)))</f>
        <v>2933</v>
      </c>
      <c r="AI82">
        <f t="shared" si="31"/>
        <v>23045.800000000003</v>
      </c>
      <c r="AJ82">
        <f t="shared" si="32"/>
        <v>50644.168000000005</v>
      </c>
      <c r="AK82">
        <f t="shared" si="33"/>
        <v>16331.638888888889</v>
      </c>
      <c r="AL82">
        <f t="shared" si="34"/>
        <v>113871.43600000002</v>
      </c>
      <c r="AM82">
        <f t="shared" si="35"/>
        <v>40655.309376065474</v>
      </c>
      <c r="AN82">
        <f t="shared" si="36"/>
        <v>35665.737124116131</v>
      </c>
      <c r="AO82">
        <f>IF($A82="","",Allocation!CJ82)</f>
        <v>580167</v>
      </c>
      <c r="AP82">
        <f>IF($A82="","",IF(Allocation!$N$2="VOL_EFF",$Q82,IF(Allocation!$N$2="VOL_CLASS",$R82,$S82)))</f>
        <v>5914800</v>
      </c>
      <c r="AQ82">
        <f>IF($A82="","",IF(Allocation!$N$2="VOL_EFF",$T82,IF(Allocation!$N$2="VOL_CLASS",$U82,$V82)))</f>
        <v>21758770</v>
      </c>
      <c r="AR82">
        <f t="shared" si="37"/>
        <v>8745.9106109294808</v>
      </c>
      <c r="AS82" t="str">
        <f>IF($A82="","",$A82&amp;"|"&amp;Allocation!BG82)</f>
        <v>2025|ACT</v>
      </c>
    </row>
    <row r="83" spans="1:45" x14ac:dyDescent="0.45">
      <c r="A83" t="str">
        <f>IF(Allocation!BI83="","",Allocation!BI83)</f>
        <v>2025</v>
      </c>
      <c r="B83" t="str">
        <f>IF(Allocation!BJ83="","",Allocation!BJ83)</f>
        <v>ISCOM_TLS</v>
      </c>
      <c r="C83" t="str">
        <f>IF(Allocation!BK83="","",Allocation!BK83)</f>
        <v>ISCOM</v>
      </c>
      <c r="D83" t="str">
        <f>IF(Allocation!BL83="","",Allocation!BL83)</f>
        <v>BAC_COM</v>
      </c>
      <c r="E83" t="str">
        <f>IF(Allocation!BM83="","",Allocation!BM83)</f>
        <v>B3</v>
      </c>
      <c r="F83" t="str">
        <f>IF(Allocation!BN83="","",Allocation!BN83)</f>
        <v>ALT</v>
      </c>
      <c r="G83">
        <f>IF(Allocation!BO83="","",Allocation!BO83)</f>
        <v>42</v>
      </c>
      <c r="H83">
        <f>IF(Allocation!BP83="","",Allocation!BP83)</f>
        <v>2</v>
      </c>
      <c r="I83">
        <f>IF(Allocation!BQ83="","",Allocation!BQ83)</f>
        <v>282240</v>
      </c>
      <c r="J83">
        <f>IF(Allocation!CC83="","",Allocation!CC83)</f>
        <v>0</v>
      </c>
      <c r="K83">
        <f t="shared" si="19"/>
        <v>960</v>
      </c>
      <c r="L83">
        <f t="shared" si="20"/>
        <v>216</v>
      </c>
      <c r="M83">
        <f t="shared" si="21"/>
        <v>10</v>
      </c>
      <c r="N83">
        <f t="shared" si="22"/>
        <v>1522320</v>
      </c>
      <c r="O83">
        <f t="shared" si="23"/>
        <v>4800</v>
      </c>
      <c r="P83">
        <f t="shared" si="24"/>
        <v>88</v>
      </c>
      <c r="Q83">
        <f t="shared" si="25"/>
        <v>779</v>
      </c>
      <c r="R83">
        <f t="shared" si="26"/>
        <v>35</v>
      </c>
      <c r="S83">
        <f t="shared" si="27"/>
        <v>5914800</v>
      </c>
      <c r="T83">
        <f t="shared" si="28"/>
        <v>2933</v>
      </c>
      <c r="U83">
        <f t="shared" si="29"/>
        <v>135</v>
      </c>
      <c r="V83">
        <f t="shared" si="30"/>
        <v>21758770</v>
      </c>
      <c r="W83">
        <f>IF($A83="","",Allocation!CD83)</f>
        <v>115229</v>
      </c>
      <c r="X83">
        <f>IF($A83="","",Allocation!CE83)</f>
        <v>253220.84</v>
      </c>
      <c r="Y83">
        <f>IF($A83="","",Allocation!CF83)</f>
        <v>82038</v>
      </c>
      <c r="Z83">
        <f>IF($A83="","",Allocation!CG83)</f>
        <v>20076</v>
      </c>
      <c r="AA83">
        <f>IF($A83="","",Allocation!CH83)</f>
        <v>569357.18000000005</v>
      </c>
      <c r="AB83">
        <f>IF($A83="","",Allocation!CI83)</f>
        <v>2760232</v>
      </c>
      <c r="AC83">
        <f>IF($A83="","",IF(Allocation!$N$4="VOL_EFF",$G83,IF(Allocation!$N$4="VOL_CLASS",$H83,$I83)))</f>
        <v>2</v>
      </c>
      <c r="AD83">
        <f>IF($A83="","",IF(Allocation!$N$4="VOL_EFF",$L83,IF(Allocation!$N$4="VOL_CLASS",$M83,$N83)))</f>
        <v>10</v>
      </c>
      <c r="AE83">
        <f>IF($A83="","",IF(Allocation!$N$3="VOL_EFF",$L83,IF(Allocation!$N$3="VOL_CLASS",$M83,$N83)))</f>
        <v>216</v>
      </c>
      <c r="AF83">
        <f>IF($A83="","",IF(Allocation!$N$3="VOL_EFF",$Q83,IF(Allocation!$N$3="VOL_CLASS",$R83,$S83)))</f>
        <v>779</v>
      </c>
      <c r="AG83">
        <f>IF($A83="","",IF(Allocation!$N$1="VOL_EFF",$Q83,IF(Allocation!$N$1="VOL_CLASS",$R83,$S83)))</f>
        <v>779</v>
      </c>
      <c r="AH83">
        <f>IF($A83="","",IF(Allocation!$N$1="VOL_EFF",$T83,IF(Allocation!$N$1="VOL_CLASS",$U83,$V83)))</f>
        <v>2933</v>
      </c>
      <c r="AI83">
        <f t="shared" si="31"/>
        <v>23045.800000000003</v>
      </c>
      <c r="AJ83">
        <f t="shared" si="32"/>
        <v>50644.168000000005</v>
      </c>
      <c r="AK83">
        <f t="shared" si="33"/>
        <v>15951.833333333334</v>
      </c>
      <c r="AL83">
        <f t="shared" si="34"/>
        <v>113871.43600000002</v>
      </c>
      <c r="AM83">
        <f t="shared" si="35"/>
        <v>40655.309376065474</v>
      </c>
      <c r="AN83">
        <f t="shared" si="36"/>
        <v>29325.542679671693</v>
      </c>
      <c r="AO83">
        <f>IF($A83="","",Allocation!CJ83)</f>
        <v>580167</v>
      </c>
      <c r="AP83">
        <f>IF($A83="","",IF(Allocation!$N$2="VOL_EFF",$Q83,IF(Allocation!$N$2="VOL_CLASS",$R83,$S83)))</f>
        <v>5914800</v>
      </c>
      <c r="AQ83">
        <f>IF($A83="","",IF(Allocation!$N$2="VOL_EFF",$T83,IF(Allocation!$N$2="VOL_CLASS",$U83,$V83)))</f>
        <v>21758770</v>
      </c>
      <c r="AR83">
        <f t="shared" si="37"/>
        <v>8745.9106109294808</v>
      </c>
      <c r="AS83" t="str">
        <f>IF($A83="","",$A83&amp;"|"&amp;Allocation!BG83)</f>
        <v>2025|ACT</v>
      </c>
    </row>
    <row r="84" spans="1:45" x14ac:dyDescent="0.45">
      <c r="A84" t="str">
        <f>IF(Allocation!BI84="","",Allocation!BI84)</f>
        <v>2025</v>
      </c>
      <c r="B84" t="str">
        <f>IF(Allocation!BJ84="","",Allocation!BJ84)</f>
        <v>ISCOM_TLS</v>
      </c>
      <c r="C84" t="str">
        <f>IF(Allocation!BK84="","",Allocation!BK84)</f>
        <v>ISCOM</v>
      </c>
      <c r="D84" t="str">
        <f>IF(Allocation!BL84="","",Allocation!BL84)</f>
        <v>MAS_COM</v>
      </c>
      <c r="E84" t="str">
        <f>IF(Allocation!BM84="","",Allocation!BM84)</f>
        <v>M1</v>
      </c>
      <c r="F84" t="str">
        <f>IF(Allocation!BN84="","",Allocation!BN84)</f>
        <v>ALT</v>
      </c>
      <c r="G84">
        <f>IF(Allocation!BO84="","",Allocation!BO84)</f>
        <v>44</v>
      </c>
      <c r="H84">
        <f>IF(Allocation!BP84="","",Allocation!BP84)</f>
        <v>2</v>
      </c>
      <c r="I84">
        <f>IF(Allocation!BQ84="","",Allocation!BQ84)</f>
        <v>320760</v>
      </c>
      <c r="J84">
        <f>IF(Allocation!CC84="","",Allocation!CC84)</f>
        <v>44</v>
      </c>
      <c r="K84">
        <f t="shared" si="19"/>
        <v>840</v>
      </c>
      <c r="L84">
        <f t="shared" si="20"/>
        <v>216</v>
      </c>
      <c r="M84">
        <f t="shared" si="21"/>
        <v>10</v>
      </c>
      <c r="N84">
        <f t="shared" si="22"/>
        <v>1522320</v>
      </c>
      <c r="O84">
        <f t="shared" si="23"/>
        <v>4800</v>
      </c>
      <c r="P84">
        <f t="shared" si="24"/>
        <v>88</v>
      </c>
      <c r="Q84">
        <f t="shared" si="25"/>
        <v>779</v>
      </c>
      <c r="R84">
        <f t="shared" si="26"/>
        <v>35</v>
      </c>
      <c r="S84">
        <f t="shared" si="27"/>
        <v>5914800</v>
      </c>
      <c r="T84">
        <f t="shared" si="28"/>
        <v>2933</v>
      </c>
      <c r="U84">
        <f t="shared" si="29"/>
        <v>135</v>
      </c>
      <c r="V84">
        <f t="shared" si="30"/>
        <v>21758770</v>
      </c>
      <c r="W84">
        <f>IF($A84="","",Allocation!CD84)</f>
        <v>115229</v>
      </c>
      <c r="X84">
        <f>IF($A84="","",Allocation!CE84)</f>
        <v>253220.84</v>
      </c>
      <c r="Y84">
        <f>IF($A84="","",Allocation!CF84)</f>
        <v>82038</v>
      </c>
      <c r="Z84">
        <f>IF($A84="","",Allocation!CG84)</f>
        <v>20076</v>
      </c>
      <c r="AA84">
        <f>IF($A84="","",Allocation!CH84)</f>
        <v>569357.18000000005</v>
      </c>
      <c r="AB84">
        <f>IF($A84="","",Allocation!CI84)</f>
        <v>2760232</v>
      </c>
      <c r="AC84">
        <f>IF($A84="","",IF(Allocation!$N$4="VOL_EFF",$G84,IF(Allocation!$N$4="VOL_CLASS",$H84,$I84)))</f>
        <v>2</v>
      </c>
      <c r="AD84">
        <f>IF($A84="","",IF(Allocation!$N$4="VOL_EFF",$L84,IF(Allocation!$N$4="VOL_CLASS",$M84,$N84)))</f>
        <v>10</v>
      </c>
      <c r="AE84">
        <f>IF($A84="","",IF(Allocation!$N$3="VOL_EFF",$L84,IF(Allocation!$N$3="VOL_CLASS",$M84,$N84)))</f>
        <v>216</v>
      </c>
      <c r="AF84">
        <f>IF($A84="","",IF(Allocation!$N$3="VOL_EFF",$Q84,IF(Allocation!$N$3="VOL_CLASS",$R84,$S84)))</f>
        <v>779</v>
      </c>
      <c r="AG84">
        <f>IF($A84="","",IF(Allocation!$N$1="VOL_EFF",$Q84,IF(Allocation!$N$1="VOL_CLASS",$R84,$S84)))</f>
        <v>779</v>
      </c>
      <c r="AH84">
        <f>IF($A84="","",IF(Allocation!$N$1="VOL_EFF",$T84,IF(Allocation!$N$1="VOL_CLASS",$U84,$V84)))</f>
        <v>2933</v>
      </c>
      <c r="AI84">
        <f t="shared" si="31"/>
        <v>20165.074999999997</v>
      </c>
      <c r="AJ84">
        <f t="shared" si="32"/>
        <v>44313.646999999997</v>
      </c>
      <c r="AK84">
        <f t="shared" si="33"/>
        <v>26749.444444444445</v>
      </c>
      <c r="AL84">
        <f t="shared" si="34"/>
        <v>113871.43600000002</v>
      </c>
      <c r="AM84">
        <f t="shared" si="35"/>
        <v>40655.309376065474</v>
      </c>
      <c r="AN84">
        <f t="shared" si="36"/>
        <v>66259.177568560583</v>
      </c>
      <c r="AO84">
        <f>IF($A84="","",Allocation!CJ84)</f>
        <v>580167</v>
      </c>
      <c r="AP84">
        <f>IF($A84="","",IF(Allocation!$N$2="VOL_EFF",$Q84,IF(Allocation!$N$2="VOL_CLASS",$R84,$S84)))</f>
        <v>5914800</v>
      </c>
      <c r="AQ84">
        <f>IF($A84="","",IF(Allocation!$N$2="VOL_EFF",$T84,IF(Allocation!$N$2="VOL_CLASS",$U84,$V84)))</f>
        <v>21758770</v>
      </c>
      <c r="AR84">
        <f t="shared" si="37"/>
        <v>8745.9106109294808</v>
      </c>
      <c r="AS84" t="str">
        <f>IF($A84="","",$A84&amp;"|"&amp;Allocation!BG84)</f>
        <v>2025|ACT</v>
      </c>
    </row>
    <row r="85" spans="1:45" x14ac:dyDescent="0.45">
      <c r="A85" t="str">
        <f>IF(Allocation!BI85="","",Allocation!BI85)</f>
        <v>2025</v>
      </c>
      <c r="B85" t="str">
        <f>IF(Allocation!BJ85="","",Allocation!BJ85)</f>
        <v>ISCOM_TLS</v>
      </c>
      <c r="C85" t="str">
        <f>IF(Allocation!BK85="","",Allocation!BK85)</f>
        <v>ISCOM</v>
      </c>
      <c r="D85" t="str">
        <f>IF(Allocation!BL85="","",Allocation!BL85)</f>
        <v>MAS_COM</v>
      </c>
      <c r="E85" t="str">
        <f>IF(Allocation!BM85="","",Allocation!BM85)</f>
        <v>M2</v>
      </c>
      <c r="F85" t="str">
        <f>IF(Allocation!BN85="","",Allocation!BN85)</f>
        <v>ALT</v>
      </c>
      <c r="G85">
        <f>IF(Allocation!BO85="","",Allocation!BO85)</f>
        <v>43</v>
      </c>
      <c r="H85">
        <f>IF(Allocation!BP85="","",Allocation!BP85)</f>
        <v>2</v>
      </c>
      <c r="I85">
        <f>IF(Allocation!BQ85="","",Allocation!BQ85)</f>
        <v>309600</v>
      </c>
      <c r="J85">
        <f>IF(Allocation!CC85="","",Allocation!CC85)</f>
        <v>0</v>
      </c>
      <c r="K85">
        <f t="shared" si="19"/>
        <v>840</v>
      </c>
      <c r="L85">
        <f t="shared" si="20"/>
        <v>216</v>
      </c>
      <c r="M85">
        <f t="shared" si="21"/>
        <v>10</v>
      </c>
      <c r="N85">
        <f t="shared" si="22"/>
        <v>1522320</v>
      </c>
      <c r="O85">
        <f t="shared" si="23"/>
        <v>4800</v>
      </c>
      <c r="P85">
        <f t="shared" si="24"/>
        <v>88</v>
      </c>
      <c r="Q85">
        <f t="shared" si="25"/>
        <v>779</v>
      </c>
      <c r="R85">
        <f t="shared" si="26"/>
        <v>35</v>
      </c>
      <c r="S85">
        <f t="shared" si="27"/>
        <v>5914800</v>
      </c>
      <c r="T85">
        <f t="shared" si="28"/>
        <v>2933</v>
      </c>
      <c r="U85">
        <f t="shared" si="29"/>
        <v>135</v>
      </c>
      <c r="V85">
        <f t="shared" si="30"/>
        <v>21758770</v>
      </c>
      <c r="W85">
        <f>IF($A85="","",Allocation!CD85)</f>
        <v>115229</v>
      </c>
      <c r="X85">
        <f>IF($A85="","",Allocation!CE85)</f>
        <v>253220.84</v>
      </c>
      <c r="Y85">
        <f>IF($A85="","",Allocation!CF85)</f>
        <v>82038</v>
      </c>
      <c r="Z85">
        <f>IF($A85="","",Allocation!CG85)</f>
        <v>20076</v>
      </c>
      <c r="AA85">
        <f>IF($A85="","",Allocation!CH85)</f>
        <v>569357.18000000005</v>
      </c>
      <c r="AB85">
        <f>IF($A85="","",Allocation!CI85)</f>
        <v>2760232</v>
      </c>
      <c r="AC85">
        <f>IF($A85="","",IF(Allocation!$N$4="VOL_EFF",$G85,IF(Allocation!$N$4="VOL_CLASS",$H85,$I85)))</f>
        <v>2</v>
      </c>
      <c r="AD85">
        <f>IF($A85="","",IF(Allocation!$N$4="VOL_EFF",$L85,IF(Allocation!$N$4="VOL_CLASS",$M85,$N85)))</f>
        <v>10</v>
      </c>
      <c r="AE85">
        <f>IF($A85="","",IF(Allocation!$N$3="VOL_EFF",$L85,IF(Allocation!$N$3="VOL_CLASS",$M85,$N85)))</f>
        <v>216</v>
      </c>
      <c r="AF85">
        <f>IF($A85="","",IF(Allocation!$N$3="VOL_EFF",$Q85,IF(Allocation!$N$3="VOL_CLASS",$R85,$S85)))</f>
        <v>779</v>
      </c>
      <c r="AG85">
        <f>IF($A85="","",IF(Allocation!$N$1="VOL_EFF",$Q85,IF(Allocation!$N$1="VOL_CLASS",$R85,$S85)))</f>
        <v>779</v>
      </c>
      <c r="AH85">
        <f>IF($A85="","",IF(Allocation!$N$1="VOL_EFF",$T85,IF(Allocation!$N$1="VOL_CLASS",$U85,$V85)))</f>
        <v>2933</v>
      </c>
      <c r="AI85">
        <f t="shared" si="31"/>
        <v>20165.074999999997</v>
      </c>
      <c r="AJ85">
        <f t="shared" si="32"/>
        <v>44313.646999999997</v>
      </c>
      <c r="AK85">
        <f t="shared" si="33"/>
        <v>16331.638888888889</v>
      </c>
      <c r="AL85">
        <f t="shared" si="34"/>
        <v>113871.43600000002</v>
      </c>
      <c r="AM85">
        <f t="shared" si="35"/>
        <v>40655.309376065474</v>
      </c>
      <c r="AN85">
        <f t="shared" si="36"/>
        <v>65516.983124116145</v>
      </c>
      <c r="AO85">
        <f>IF($A85="","",Allocation!CJ85)</f>
        <v>580167</v>
      </c>
      <c r="AP85">
        <f>IF($A85="","",IF(Allocation!$N$2="VOL_EFF",$Q85,IF(Allocation!$N$2="VOL_CLASS",$R85,$S85)))</f>
        <v>5914800</v>
      </c>
      <c r="AQ85">
        <f>IF($A85="","",IF(Allocation!$N$2="VOL_EFF",$T85,IF(Allocation!$N$2="VOL_CLASS",$U85,$V85)))</f>
        <v>21758770</v>
      </c>
      <c r="AR85">
        <f t="shared" si="37"/>
        <v>8745.9106109294808</v>
      </c>
      <c r="AS85" t="str">
        <f>IF($A85="","",$A85&amp;"|"&amp;Allocation!BG85)</f>
        <v>2025|ACT</v>
      </c>
    </row>
    <row r="86" spans="1:45" x14ac:dyDescent="0.45">
      <c r="A86" t="str">
        <f>IF(Allocation!BI86="","",Allocation!BI86)</f>
        <v>2025</v>
      </c>
      <c r="B86" t="str">
        <f>IF(Allocation!BJ86="","",Allocation!BJ86)</f>
        <v>MBWAY_BOR</v>
      </c>
      <c r="C86" t="str">
        <f>IF(Allocation!BK86="","",Allocation!BK86)</f>
        <v>MBWAY</v>
      </c>
      <c r="D86" t="str">
        <f>IF(Allocation!BL86="","",Allocation!BL86)</f>
        <v>BAC_MGT</v>
      </c>
      <c r="E86" t="str">
        <f>IF(Allocation!BM86="","",Allocation!BM86)</f>
        <v>B1</v>
      </c>
      <c r="F86" t="str">
        <f>IF(Allocation!BN86="","",Allocation!BN86)</f>
        <v>INIT</v>
      </c>
      <c r="G86">
        <f>IF(Allocation!BO86="","",Allocation!BO86)</f>
        <v>48</v>
      </c>
      <c r="H86">
        <f>IF(Allocation!BP86="","",Allocation!BP86)</f>
        <v>2</v>
      </c>
      <c r="I86">
        <f>IF(Allocation!BQ86="","",Allocation!BQ86)</f>
        <v>353520</v>
      </c>
      <c r="J86">
        <f>IF(Allocation!CC86="","",Allocation!CC86)</f>
        <v>48</v>
      </c>
      <c r="K86">
        <f t="shared" si="19"/>
        <v>1200</v>
      </c>
      <c r="L86">
        <f t="shared" si="20"/>
        <v>234</v>
      </c>
      <c r="M86">
        <f t="shared" si="21"/>
        <v>10</v>
      </c>
      <c r="N86">
        <f t="shared" si="22"/>
        <v>1666855</v>
      </c>
      <c r="O86">
        <f t="shared" si="23"/>
        <v>4800</v>
      </c>
      <c r="P86">
        <f t="shared" si="24"/>
        <v>96</v>
      </c>
      <c r="Q86">
        <f t="shared" si="25"/>
        <v>1179</v>
      </c>
      <c r="R86">
        <f t="shared" si="26"/>
        <v>50</v>
      </c>
      <c r="S86">
        <f t="shared" si="27"/>
        <v>9032400</v>
      </c>
      <c r="T86">
        <f t="shared" si="28"/>
        <v>2933</v>
      </c>
      <c r="U86">
        <f t="shared" si="29"/>
        <v>135</v>
      </c>
      <c r="V86">
        <f t="shared" si="30"/>
        <v>21758770</v>
      </c>
      <c r="W86">
        <f>IF($A86="","",Allocation!CD86)</f>
        <v>115229</v>
      </c>
      <c r="X86">
        <f>IF($A86="","",Allocation!CE86)</f>
        <v>267929</v>
      </c>
      <c r="Y86">
        <f>IF($A86="","",Allocation!CF86)</f>
        <v>88430</v>
      </c>
      <c r="Z86">
        <f>IF($A86="","",Allocation!CG86)</f>
        <v>22657</v>
      </c>
      <c r="AA86">
        <f>IF($A86="","",Allocation!CH86)</f>
        <v>633405.78</v>
      </c>
      <c r="AB86">
        <f>IF($A86="","",Allocation!CI86)</f>
        <v>2760232</v>
      </c>
      <c r="AC86">
        <f>IF($A86="","",IF(Allocation!$N$4="VOL_EFF",$G86,IF(Allocation!$N$4="VOL_CLASS",$H86,$I86)))</f>
        <v>2</v>
      </c>
      <c r="AD86">
        <f>IF($A86="","",IF(Allocation!$N$4="VOL_EFF",$L86,IF(Allocation!$N$4="VOL_CLASS",$M86,$N86)))</f>
        <v>10</v>
      </c>
      <c r="AE86">
        <f>IF($A86="","",IF(Allocation!$N$3="VOL_EFF",$L86,IF(Allocation!$N$3="VOL_CLASS",$M86,$N86)))</f>
        <v>234</v>
      </c>
      <c r="AF86">
        <f>IF($A86="","",IF(Allocation!$N$3="VOL_EFF",$Q86,IF(Allocation!$N$3="VOL_CLASS",$R86,$S86)))</f>
        <v>1179</v>
      </c>
      <c r="AG86">
        <f>IF($A86="","",IF(Allocation!$N$1="VOL_EFF",$Q86,IF(Allocation!$N$1="VOL_CLASS",$R86,$S86)))</f>
        <v>1179</v>
      </c>
      <c r="AH86">
        <f>IF($A86="","",IF(Allocation!$N$1="VOL_EFF",$T86,IF(Allocation!$N$1="VOL_CLASS",$U86,$V86)))</f>
        <v>2933</v>
      </c>
      <c r="AI86">
        <f t="shared" si="31"/>
        <v>28807.25</v>
      </c>
      <c r="AJ86">
        <f t="shared" si="32"/>
        <v>66982.25</v>
      </c>
      <c r="AK86">
        <f t="shared" si="33"/>
        <v>29467.98717948718</v>
      </c>
      <c r="AL86">
        <f t="shared" si="34"/>
        <v>126681.15600000002</v>
      </c>
      <c r="AM86">
        <f t="shared" si="35"/>
        <v>44043.251824070918</v>
      </c>
      <c r="AN86">
        <f t="shared" si="36"/>
        <v>47978.193075707764</v>
      </c>
      <c r="AO86">
        <f>IF($A86="","",Allocation!CJ86)</f>
        <v>580167</v>
      </c>
      <c r="AP86">
        <f>IF($A86="","",IF(Allocation!$N$2="VOL_EFF",$Q86,IF(Allocation!$N$2="VOL_CLASS",$R86,$S86)))</f>
        <v>9032400</v>
      </c>
      <c r="AQ86">
        <f>IF($A86="","",IF(Allocation!$N$2="VOL_EFF",$T86,IF(Allocation!$N$2="VOL_CLASS",$U86,$V86)))</f>
        <v>21758770</v>
      </c>
      <c r="AR86">
        <f t="shared" si="37"/>
        <v>9559.9119207340973</v>
      </c>
      <c r="AS86" t="str">
        <f>IF($A86="","",$A86&amp;"|"&amp;Allocation!BG86)</f>
        <v>2025|ACT</v>
      </c>
    </row>
    <row r="87" spans="1:45" x14ac:dyDescent="0.45">
      <c r="A87" t="str">
        <f>IF(Allocation!BI87="","",Allocation!BI87)</f>
        <v>2025</v>
      </c>
      <c r="B87" t="str">
        <f>IF(Allocation!BJ87="","",Allocation!BJ87)</f>
        <v>MBWAY_BOR</v>
      </c>
      <c r="C87" t="str">
        <f>IF(Allocation!BK87="","",Allocation!BK87)</f>
        <v>MBWAY</v>
      </c>
      <c r="D87" t="str">
        <f>IF(Allocation!BL87="","",Allocation!BL87)</f>
        <v>BAC_MGT</v>
      </c>
      <c r="E87" t="str">
        <f>IF(Allocation!BM87="","",Allocation!BM87)</f>
        <v>B2</v>
      </c>
      <c r="F87" t="str">
        <f>IF(Allocation!BN87="","",Allocation!BN87)</f>
        <v>ALT</v>
      </c>
      <c r="G87">
        <f>IF(Allocation!BO87="","",Allocation!BO87)</f>
        <v>46</v>
      </c>
      <c r="H87">
        <f>IF(Allocation!BP87="","",Allocation!BP87)</f>
        <v>2</v>
      </c>
      <c r="I87">
        <f>IF(Allocation!BQ87="","",Allocation!BQ87)</f>
        <v>312340</v>
      </c>
      <c r="J87">
        <f>IF(Allocation!CC87="","",Allocation!CC87)</f>
        <v>0</v>
      </c>
      <c r="K87">
        <f t="shared" si="19"/>
        <v>960</v>
      </c>
      <c r="L87">
        <f t="shared" si="20"/>
        <v>234</v>
      </c>
      <c r="M87">
        <f t="shared" si="21"/>
        <v>10</v>
      </c>
      <c r="N87">
        <f t="shared" si="22"/>
        <v>1666855</v>
      </c>
      <c r="O87">
        <f t="shared" si="23"/>
        <v>4800</v>
      </c>
      <c r="P87">
        <f t="shared" si="24"/>
        <v>96</v>
      </c>
      <c r="Q87">
        <f t="shared" si="25"/>
        <v>1179</v>
      </c>
      <c r="R87">
        <f t="shared" si="26"/>
        <v>50</v>
      </c>
      <c r="S87">
        <f t="shared" si="27"/>
        <v>9032400</v>
      </c>
      <c r="T87">
        <f t="shared" si="28"/>
        <v>2933</v>
      </c>
      <c r="U87">
        <f t="shared" si="29"/>
        <v>135</v>
      </c>
      <c r="V87">
        <f t="shared" si="30"/>
        <v>21758770</v>
      </c>
      <c r="W87">
        <f>IF($A87="","",Allocation!CD87)</f>
        <v>115229</v>
      </c>
      <c r="X87">
        <f>IF($A87="","",Allocation!CE87)</f>
        <v>267929</v>
      </c>
      <c r="Y87">
        <f>IF($A87="","",Allocation!CF87)</f>
        <v>88430</v>
      </c>
      <c r="Z87">
        <f>IF($A87="","",Allocation!CG87)</f>
        <v>22657</v>
      </c>
      <c r="AA87">
        <f>IF($A87="","",Allocation!CH87)</f>
        <v>633405.78</v>
      </c>
      <c r="AB87">
        <f>IF($A87="","",Allocation!CI87)</f>
        <v>2760232</v>
      </c>
      <c r="AC87">
        <f>IF($A87="","",IF(Allocation!$N$4="VOL_EFF",$G87,IF(Allocation!$N$4="VOL_CLASS",$H87,$I87)))</f>
        <v>2</v>
      </c>
      <c r="AD87">
        <f>IF($A87="","",IF(Allocation!$N$4="VOL_EFF",$L87,IF(Allocation!$N$4="VOL_CLASS",$M87,$N87)))</f>
        <v>10</v>
      </c>
      <c r="AE87">
        <f>IF($A87="","",IF(Allocation!$N$3="VOL_EFF",$L87,IF(Allocation!$N$3="VOL_CLASS",$M87,$N87)))</f>
        <v>234</v>
      </c>
      <c r="AF87">
        <f>IF($A87="","",IF(Allocation!$N$3="VOL_EFF",$Q87,IF(Allocation!$N$3="VOL_CLASS",$R87,$S87)))</f>
        <v>1179</v>
      </c>
      <c r="AG87">
        <f>IF($A87="","",IF(Allocation!$N$1="VOL_EFF",$Q87,IF(Allocation!$N$1="VOL_CLASS",$R87,$S87)))</f>
        <v>1179</v>
      </c>
      <c r="AH87">
        <f>IF($A87="","",IF(Allocation!$N$1="VOL_EFF",$T87,IF(Allocation!$N$1="VOL_CLASS",$U87,$V87)))</f>
        <v>2933</v>
      </c>
      <c r="AI87">
        <f t="shared" si="31"/>
        <v>23045.800000000003</v>
      </c>
      <c r="AJ87">
        <f t="shared" si="32"/>
        <v>53585.8</v>
      </c>
      <c r="AK87">
        <f t="shared" si="33"/>
        <v>17383.675213675215</v>
      </c>
      <c r="AL87">
        <f t="shared" si="34"/>
        <v>126681.15600000002</v>
      </c>
      <c r="AM87">
        <f t="shared" si="35"/>
        <v>44043.251824070918</v>
      </c>
      <c r="AN87">
        <f t="shared" si="36"/>
        <v>38040.405041519727</v>
      </c>
      <c r="AO87">
        <f>IF($A87="","",Allocation!CJ87)</f>
        <v>580167</v>
      </c>
      <c r="AP87">
        <f>IF($A87="","",IF(Allocation!$N$2="VOL_EFF",$Q87,IF(Allocation!$N$2="VOL_CLASS",$R87,$S87)))</f>
        <v>9032400</v>
      </c>
      <c r="AQ87">
        <f>IF($A87="","",IF(Allocation!$N$2="VOL_EFF",$T87,IF(Allocation!$N$2="VOL_CLASS",$U87,$V87)))</f>
        <v>21758770</v>
      </c>
      <c r="AR87">
        <f t="shared" si="37"/>
        <v>9559.9119207340973</v>
      </c>
      <c r="AS87" t="str">
        <f>IF($A87="","",$A87&amp;"|"&amp;Allocation!BG87)</f>
        <v>2025|ACT</v>
      </c>
    </row>
    <row r="88" spans="1:45" x14ac:dyDescent="0.45">
      <c r="A88" t="str">
        <f>IF(Allocation!BI88="","",Allocation!BI88)</f>
        <v>2025</v>
      </c>
      <c r="B88" t="str">
        <f>IF(Allocation!BJ88="","",Allocation!BJ88)</f>
        <v>MBWAY_BOR</v>
      </c>
      <c r="C88" t="str">
        <f>IF(Allocation!BK88="","",Allocation!BK88)</f>
        <v>MBWAY</v>
      </c>
      <c r="D88" t="str">
        <f>IF(Allocation!BL88="","",Allocation!BL88)</f>
        <v>BAC_MGT</v>
      </c>
      <c r="E88" t="str">
        <f>IF(Allocation!BM88="","",Allocation!BM88)</f>
        <v>B3</v>
      </c>
      <c r="F88" t="str">
        <f>IF(Allocation!BN88="","",Allocation!BN88)</f>
        <v>ALT</v>
      </c>
      <c r="G88">
        <f>IF(Allocation!BO88="","",Allocation!BO88)</f>
        <v>45</v>
      </c>
      <c r="H88">
        <f>IF(Allocation!BP88="","",Allocation!BP88)</f>
        <v>2</v>
      </c>
      <c r="I88">
        <f>IF(Allocation!BQ88="","",Allocation!BQ88)</f>
        <v>305550</v>
      </c>
      <c r="J88">
        <f>IF(Allocation!CC88="","",Allocation!CC88)</f>
        <v>0</v>
      </c>
      <c r="K88">
        <f t="shared" si="19"/>
        <v>960</v>
      </c>
      <c r="L88">
        <f t="shared" si="20"/>
        <v>234</v>
      </c>
      <c r="M88">
        <f t="shared" si="21"/>
        <v>10</v>
      </c>
      <c r="N88">
        <f t="shared" si="22"/>
        <v>1666855</v>
      </c>
      <c r="O88">
        <f t="shared" si="23"/>
        <v>4800</v>
      </c>
      <c r="P88">
        <f t="shared" si="24"/>
        <v>96</v>
      </c>
      <c r="Q88">
        <f t="shared" si="25"/>
        <v>1179</v>
      </c>
      <c r="R88">
        <f t="shared" si="26"/>
        <v>50</v>
      </c>
      <c r="S88">
        <f t="shared" si="27"/>
        <v>9032400</v>
      </c>
      <c r="T88">
        <f t="shared" si="28"/>
        <v>2933</v>
      </c>
      <c r="U88">
        <f t="shared" si="29"/>
        <v>135</v>
      </c>
      <c r="V88">
        <f t="shared" si="30"/>
        <v>21758770</v>
      </c>
      <c r="W88">
        <f>IF($A88="","",Allocation!CD88)</f>
        <v>115229</v>
      </c>
      <c r="X88">
        <f>IF($A88="","",Allocation!CE88)</f>
        <v>267929</v>
      </c>
      <c r="Y88">
        <f>IF($A88="","",Allocation!CF88)</f>
        <v>88430</v>
      </c>
      <c r="Z88">
        <f>IF($A88="","",Allocation!CG88)</f>
        <v>22657</v>
      </c>
      <c r="AA88">
        <f>IF($A88="","",Allocation!CH88)</f>
        <v>633405.78</v>
      </c>
      <c r="AB88">
        <f>IF($A88="","",Allocation!CI88)</f>
        <v>2760232</v>
      </c>
      <c r="AC88">
        <f>IF($A88="","",IF(Allocation!$N$4="VOL_EFF",$G88,IF(Allocation!$N$4="VOL_CLASS",$H88,$I88)))</f>
        <v>2</v>
      </c>
      <c r="AD88">
        <f>IF($A88="","",IF(Allocation!$N$4="VOL_EFF",$L88,IF(Allocation!$N$4="VOL_CLASS",$M88,$N88)))</f>
        <v>10</v>
      </c>
      <c r="AE88">
        <f>IF($A88="","",IF(Allocation!$N$3="VOL_EFF",$L88,IF(Allocation!$N$3="VOL_CLASS",$M88,$N88)))</f>
        <v>234</v>
      </c>
      <c r="AF88">
        <f>IF($A88="","",IF(Allocation!$N$3="VOL_EFF",$Q88,IF(Allocation!$N$3="VOL_CLASS",$R88,$S88)))</f>
        <v>1179</v>
      </c>
      <c r="AG88">
        <f>IF($A88="","",IF(Allocation!$N$1="VOL_EFF",$Q88,IF(Allocation!$N$1="VOL_CLASS",$R88,$S88)))</f>
        <v>1179</v>
      </c>
      <c r="AH88">
        <f>IF($A88="","",IF(Allocation!$N$1="VOL_EFF",$T88,IF(Allocation!$N$1="VOL_CLASS",$U88,$V88)))</f>
        <v>2933</v>
      </c>
      <c r="AI88">
        <f t="shared" si="31"/>
        <v>23045.800000000003</v>
      </c>
      <c r="AJ88">
        <f t="shared" si="32"/>
        <v>53585.8</v>
      </c>
      <c r="AK88">
        <f t="shared" si="33"/>
        <v>17005.76923076923</v>
      </c>
      <c r="AL88">
        <f t="shared" si="34"/>
        <v>126681.15600000002</v>
      </c>
      <c r="AM88">
        <f t="shared" si="35"/>
        <v>44043.251824070918</v>
      </c>
      <c r="AN88">
        <f t="shared" si="36"/>
        <v>31628.311024425726</v>
      </c>
      <c r="AO88">
        <f>IF($A88="","",Allocation!CJ88)</f>
        <v>580167</v>
      </c>
      <c r="AP88">
        <f>IF($A88="","",IF(Allocation!$N$2="VOL_EFF",$Q88,IF(Allocation!$N$2="VOL_CLASS",$R88,$S88)))</f>
        <v>9032400</v>
      </c>
      <c r="AQ88">
        <f>IF($A88="","",IF(Allocation!$N$2="VOL_EFF",$T88,IF(Allocation!$N$2="VOL_CLASS",$U88,$V88)))</f>
        <v>21758770</v>
      </c>
      <c r="AR88">
        <f t="shared" si="37"/>
        <v>9559.9119207340973</v>
      </c>
      <c r="AS88" t="str">
        <f>IF($A88="","",$A88&amp;"|"&amp;Allocation!BG88)</f>
        <v>2025|ACT</v>
      </c>
    </row>
    <row r="89" spans="1:45" x14ac:dyDescent="0.45">
      <c r="A89" t="str">
        <f>IF(Allocation!BI89="","",Allocation!BI89)</f>
        <v>2025</v>
      </c>
      <c r="B89" t="str">
        <f>IF(Allocation!BJ89="","",Allocation!BJ89)</f>
        <v>MBWAY_BOR</v>
      </c>
      <c r="C89" t="str">
        <f>IF(Allocation!BK89="","",Allocation!BK89)</f>
        <v>MBWAY</v>
      </c>
      <c r="D89" t="str">
        <f>IF(Allocation!BL89="","",Allocation!BL89)</f>
        <v>MAS_MGT</v>
      </c>
      <c r="E89" t="str">
        <f>IF(Allocation!BM89="","",Allocation!BM89)</f>
        <v>M1</v>
      </c>
      <c r="F89" t="str">
        <f>IF(Allocation!BN89="","",Allocation!BN89)</f>
        <v>ALT</v>
      </c>
      <c r="G89">
        <f>IF(Allocation!BO89="","",Allocation!BO89)</f>
        <v>48</v>
      </c>
      <c r="H89">
        <f>IF(Allocation!BP89="","",Allocation!BP89)</f>
        <v>2</v>
      </c>
      <c r="I89">
        <f>IF(Allocation!BQ89="","",Allocation!BQ89)</f>
        <v>353520</v>
      </c>
      <c r="J89">
        <f>IF(Allocation!CC89="","",Allocation!CC89)</f>
        <v>48</v>
      </c>
      <c r="K89">
        <f t="shared" si="19"/>
        <v>840</v>
      </c>
      <c r="L89">
        <f t="shared" si="20"/>
        <v>234</v>
      </c>
      <c r="M89">
        <f t="shared" si="21"/>
        <v>10</v>
      </c>
      <c r="N89">
        <f t="shared" si="22"/>
        <v>1666855</v>
      </c>
      <c r="O89">
        <f t="shared" si="23"/>
        <v>4800</v>
      </c>
      <c r="P89">
        <f t="shared" si="24"/>
        <v>96</v>
      </c>
      <c r="Q89">
        <f t="shared" si="25"/>
        <v>1179</v>
      </c>
      <c r="R89">
        <f t="shared" si="26"/>
        <v>50</v>
      </c>
      <c r="S89">
        <f t="shared" si="27"/>
        <v>9032400</v>
      </c>
      <c r="T89">
        <f t="shared" si="28"/>
        <v>2933</v>
      </c>
      <c r="U89">
        <f t="shared" si="29"/>
        <v>135</v>
      </c>
      <c r="V89">
        <f t="shared" si="30"/>
        <v>21758770</v>
      </c>
      <c r="W89">
        <f>IF($A89="","",Allocation!CD89)</f>
        <v>115229</v>
      </c>
      <c r="X89">
        <f>IF($A89="","",Allocation!CE89)</f>
        <v>267929</v>
      </c>
      <c r="Y89">
        <f>IF($A89="","",Allocation!CF89)</f>
        <v>88430</v>
      </c>
      <c r="Z89">
        <f>IF($A89="","",Allocation!CG89)</f>
        <v>22657</v>
      </c>
      <c r="AA89">
        <f>IF($A89="","",Allocation!CH89)</f>
        <v>633405.78</v>
      </c>
      <c r="AB89">
        <f>IF($A89="","",Allocation!CI89)</f>
        <v>2760232</v>
      </c>
      <c r="AC89">
        <f>IF($A89="","",IF(Allocation!$N$4="VOL_EFF",$G89,IF(Allocation!$N$4="VOL_CLASS",$H89,$I89)))</f>
        <v>2</v>
      </c>
      <c r="AD89">
        <f>IF($A89="","",IF(Allocation!$N$4="VOL_EFF",$L89,IF(Allocation!$N$4="VOL_CLASS",$M89,$N89)))</f>
        <v>10</v>
      </c>
      <c r="AE89">
        <f>IF($A89="","",IF(Allocation!$N$3="VOL_EFF",$L89,IF(Allocation!$N$3="VOL_CLASS",$M89,$N89)))</f>
        <v>234</v>
      </c>
      <c r="AF89">
        <f>IF($A89="","",IF(Allocation!$N$3="VOL_EFF",$Q89,IF(Allocation!$N$3="VOL_CLASS",$R89,$S89)))</f>
        <v>1179</v>
      </c>
      <c r="AG89">
        <f>IF($A89="","",IF(Allocation!$N$1="VOL_EFF",$Q89,IF(Allocation!$N$1="VOL_CLASS",$R89,$S89)))</f>
        <v>1179</v>
      </c>
      <c r="AH89">
        <f>IF($A89="","",IF(Allocation!$N$1="VOL_EFF",$T89,IF(Allocation!$N$1="VOL_CLASS",$U89,$V89)))</f>
        <v>2933</v>
      </c>
      <c r="AI89">
        <f t="shared" si="31"/>
        <v>20165.074999999997</v>
      </c>
      <c r="AJ89">
        <f t="shared" si="32"/>
        <v>46887.574999999997</v>
      </c>
      <c r="AK89">
        <f t="shared" si="33"/>
        <v>29467.98717948718</v>
      </c>
      <c r="AL89">
        <f t="shared" si="34"/>
        <v>126681.15600000002</v>
      </c>
      <c r="AM89">
        <f t="shared" si="35"/>
        <v>44043.251824070918</v>
      </c>
      <c r="AN89">
        <f t="shared" si="36"/>
        <v>76715.043075707799</v>
      </c>
      <c r="AO89">
        <f>IF($A89="","",Allocation!CJ89)</f>
        <v>580167</v>
      </c>
      <c r="AP89">
        <f>IF($A89="","",IF(Allocation!$N$2="VOL_EFF",$Q89,IF(Allocation!$N$2="VOL_CLASS",$R89,$S89)))</f>
        <v>9032400</v>
      </c>
      <c r="AQ89">
        <f>IF($A89="","",IF(Allocation!$N$2="VOL_EFF",$T89,IF(Allocation!$N$2="VOL_CLASS",$U89,$V89)))</f>
        <v>21758770</v>
      </c>
      <c r="AR89">
        <f t="shared" si="37"/>
        <v>9559.9119207340973</v>
      </c>
      <c r="AS89" t="str">
        <f>IF($A89="","",$A89&amp;"|"&amp;Allocation!BG89)</f>
        <v>2025|ACT</v>
      </c>
    </row>
    <row r="90" spans="1:45" x14ac:dyDescent="0.45">
      <c r="A90" t="str">
        <f>IF(Allocation!BI90="","",Allocation!BI90)</f>
        <v>2025</v>
      </c>
      <c r="B90" t="str">
        <f>IF(Allocation!BJ90="","",Allocation!BJ90)</f>
        <v>MBWAY_BOR</v>
      </c>
      <c r="C90" t="str">
        <f>IF(Allocation!BK90="","",Allocation!BK90)</f>
        <v>MBWAY</v>
      </c>
      <c r="D90" t="str">
        <f>IF(Allocation!BL90="","",Allocation!BL90)</f>
        <v>MAS_MGT</v>
      </c>
      <c r="E90" t="str">
        <f>IF(Allocation!BM90="","",Allocation!BM90)</f>
        <v>M2</v>
      </c>
      <c r="F90" t="str">
        <f>IF(Allocation!BN90="","",Allocation!BN90)</f>
        <v>ALT</v>
      </c>
      <c r="G90">
        <f>IF(Allocation!BO90="","",Allocation!BO90)</f>
        <v>47</v>
      </c>
      <c r="H90">
        <f>IF(Allocation!BP90="","",Allocation!BP90)</f>
        <v>2</v>
      </c>
      <c r="I90">
        <f>IF(Allocation!BQ90="","",Allocation!BQ90)</f>
        <v>341925</v>
      </c>
      <c r="J90">
        <f>IF(Allocation!CC90="","",Allocation!CC90)</f>
        <v>0</v>
      </c>
      <c r="K90">
        <f t="shared" si="19"/>
        <v>840</v>
      </c>
      <c r="L90">
        <f t="shared" si="20"/>
        <v>234</v>
      </c>
      <c r="M90">
        <f t="shared" si="21"/>
        <v>10</v>
      </c>
      <c r="N90">
        <f t="shared" si="22"/>
        <v>1666855</v>
      </c>
      <c r="O90">
        <f t="shared" si="23"/>
        <v>4800</v>
      </c>
      <c r="P90">
        <f t="shared" si="24"/>
        <v>96</v>
      </c>
      <c r="Q90">
        <f t="shared" si="25"/>
        <v>1179</v>
      </c>
      <c r="R90">
        <f t="shared" si="26"/>
        <v>50</v>
      </c>
      <c r="S90">
        <f t="shared" si="27"/>
        <v>9032400</v>
      </c>
      <c r="T90">
        <f t="shared" si="28"/>
        <v>2933</v>
      </c>
      <c r="U90">
        <f t="shared" si="29"/>
        <v>135</v>
      </c>
      <c r="V90">
        <f t="shared" si="30"/>
        <v>21758770</v>
      </c>
      <c r="W90">
        <f>IF($A90="","",Allocation!CD90)</f>
        <v>115229</v>
      </c>
      <c r="X90">
        <f>IF($A90="","",Allocation!CE90)</f>
        <v>267929</v>
      </c>
      <c r="Y90">
        <f>IF($A90="","",Allocation!CF90)</f>
        <v>88430</v>
      </c>
      <c r="Z90">
        <f>IF($A90="","",Allocation!CG90)</f>
        <v>22657</v>
      </c>
      <c r="AA90">
        <f>IF($A90="","",Allocation!CH90)</f>
        <v>633405.78</v>
      </c>
      <c r="AB90">
        <f>IF($A90="","",Allocation!CI90)</f>
        <v>2760232</v>
      </c>
      <c r="AC90">
        <f>IF($A90="","",IF(Allocation!$N$4="VOL_EFF",$G90,IF(Allocation!$N$4="VOL_CLASS",$H90,$I90)))</f>
        <v>2</v>
      </c>
      <c r="AD90">
        <f>IF($A90="","",IF(Allocation!$N$4="VOL_EFF",$L90,IF(Allocation!$N$4="VOL_CLASS",$M90,$N90)))</f>
        <v>10</v>
      </c>
      <c r="AE90">
        <f>IF($A90="","",IF(Allocation!$N$3="VOL_EFF",$L90,IF(Allocation!$N$3="VOL_CLASS",$M90,$N90)))</f>
        <v>234</v>
      </c>
      <c r="AF90">
        <f>IF($A90="","",IF(Allocation!$N$3="VOL_EFF",$Q90,IF(Allocation!$N$3="VOL_CLASS",$R90,$S90)))</f>
        <v>1179</v>
      </c>
      <c r="AG90">
        <f>IF($A90="","",IF(Allocation!$N$1="VOL_EFF",$Q90,IF(Allocation!$N$1="VOL_CLASS",$R90,$S90)))</f>
        <v>1179</v>
      </c>
      <c r="AH90">
        <f>IF($A90="","",IF(Allocation!$N$1="VOL_EFF",$T90,IF(Allocation!$N$1="VOL_CLASS",$U90,$V90)))</f>
        <v>2933</v>
      </c>
      <c r="AI90">
        <f t="shared" si="31"/>
        <v>20165.074999999997</v>
      </c>
      <c r="AJ90">
        <f t="shared" si="32"/>
        <v>46887.574999999997</v>
      </c>
      <c r="AK90">
        <f t="shared" si="33"/>
        <v>17761.581196581199</v>
      </c>
      <c r="AL90">
        <f t="shared" si="34"/>
        <v>126681.15600000002</v>
      </c>
      <c r="AM90">
        <f t="shared" si="35"/>
        <v>44043.251824070918</v>
      </c>
      <c r="AN90">
        <f t="shared" si="36"/>
        <v>76826.44905861374</v>
      </c>
      <c r="AO90">
        <f>IF($A90="","",Allocation!CJ90)</f>
        <v>580167</v>
      </c>
      <c r="AP90">
        <f>IF($A90="","",IF(Allocation!$N$2="VOL_EFF",$Q90,IF(Allocation!$N$2="VOL_CLASS",$R90,$S90)))</f>
        <v>9032400</v>
      </c>
      <c r="AQ90">
        <f>IF($A90="","",IF(Allocation!$N$2="VOL_EFF",$T90,IF(Allocation!$N$2="VOL_CLASS",$U90,$V90)))</f>
        <v>21758770</v>
      </c>
      <c r="AR90">
        <f t="shared" si="37"/>
        <v>9559.9119207340973</v>
      </c>
      <c r="AS90" t="str">
        <f>IF($A90="","",$A90&amp;"|"&amp;Allocation!BG90)</f>
        <v>2025|ACT</v>
      </c>
    </row>
    <row r="91" spans="1:45" x14ac:dyDescent="0.45">
      <c r="A91" t="str">
        <f>IF(Allocation!BI91="","",Allocation!BI91)</f>
        <v>2025</v>
      </c>
      <c r="B91" t="str">
        <f>IF(Allocation!BJ91="","",Allocation!BJ91)</f>
        <v>MBWAY_LYO</v>
      </c>
      <c r="C91" t="str">
        <f>IF(Allocation!BK91="","",Allocation!BK91)</f>
        <v>MBWAY</v>
      </c>
      <c r="D91" t="str">
        <f>IF(Allocation!BL91="","",Allocation!BL91)</f>
        <v>BAC_MGT</v>
      </c>
      <c r="E91" t="str">
        <f>IF(Allocation!BM91="","",Allocation!BM91)</f>
        <v>B1</v>
      </c>
      <c r="F91" t="str">
        <f>IF(Allocation!BN91="","",Allocation!BN91)</f>
        <v>INIT</v>
      </c>
      <c r="G91">
        <f>IF(Allocation!BO91="","",Allocation!BO91)</f>
        <v>62</v>
      </c>
      <c r="H91">
        <f>IF(Allocation!BP91="","",Allocation!BP91)</f>
        <v>3</v>
      </c>
      <c r="I91">
        <f>IF(Allocation!BQ91="","",Allocation!BQ91)</f>
        <v>493830</v>
      </c>
      <c r="J91">
        <f>IF(Allocation!CC91="","",Allocation!CC91)</f>
        <v>62</v>
      </c>
      <c r="K91">
        <f t="shared" si="19"/>
        <v>1800</v>
      </c>
      <c r="L91">
        <f t="shared" si="20"/>
        <v>304</v>
      </c>
      <c r="M91">
        <f t="shared" si="21"/>
        <v>13</v>
      </c>
      <c r="N91">
        <f t="shared" si="22"/>
        <v>2342685</v>
      </c>
      <c r="O91">
        <f t="shared" si="23"/>
        <v>6240</v>
      </c>
      <c r="P91">
        <f t="shared" si="24"/>
        <v>124</v>
      </c>
      <c r="Q91">
        <f t="shared" si="25"/>
        <v>1179</v>
      </c>
      <c r="R91">
        <f t="shared" si="26"/>
        <v>50</v>
      </c>
      <c r="S91">
        <f t="shared" si="27"/>
        <v>9032400</v>
      </c>
      <c r="T91">
        <f t="shared" si="28"/>
        <v>2933</v>
      </c>
      <c r="U91">
        <f t="shared" si="29"/>
        <v>135</v>
      </c>
      <c r="V91">
        <f t="shared" si="30"/>
        <v>21758770</v>
      </c>
      <c r="W91">
        <f>IF($A91="","",Allocation!CD91)</f>
        <v>149798</v>
      </c>
      <c r="X91">
        <f>IF($A91="","",Allocation!CE91)</f>
        <v>381714.36</v>
      </c>
      <c r="Y91">
        <f>IF($A91="","",Allocation!CF91)</f>
        <v>115067</v>
      </c>
      <c r="Z91">
        <f>IF($A91="","",Allocation!CG91)</f>
        <v>37985</v>
      </c>
      <c r="AA91">
        <f>IF($A91="","",Allocation!CH91)</f>
        <v>902966.67</v>
      </c>
      <c r="AB91">
        <f>IF($A91="","",Allocation!CI91)</f>
        <v>2760232</v>
      </c>
      <c r="AC91">
        <f>IF($A91="","",IF(Allocation!$N$4="VOL_EFF",$G91,IF(Allocation!$N$4="VOL_CLASS",$H91,$I91)))</f>
        <v>3</v>
      </c>
      <c r="AD91">
        <f>IF($A91="","",IF(Allocation!$N$4="VOL_EFF",$L91,IF(Allocation!$N$4="VOL_CLASS",$M91,$N91)))</f>
        <v>13</v>
      </c>
      <c r="AE91">
        <f>IF($A91="","",IF(Allocation!$N$3="VOL_EFF",$L91,IF(Allocation!$N$3="VOL_CLASS",$M91,$N91)))</f>
        <v>304</v>
      </c>
      <c r="AF91">
        <f>IF($A91="","",IF(Allocation!$N$3="VOL_EFF",$Q91,IF(Allocation!$N$3="VOL_CLASS",$R91,$S91)))</f>
        <v>1179</v>
      </c>
      <c r="AG91">
        <f>IF($A91="","",IF(Allocation!$N$1="VOL_EFF",$Q91,IF(Allocation!$N$1="VOL_CLASS",$R91,$S91)))</f>
        <v>1179</v>
      </c>
      <c r="AH91">
        <f>IF($A91="","",IF(Allocation!$N$1="VOL_EFF",$T91,IF(Allocation!$N$1="VOL_CLASS",$U91,$V91)))</f>
        <v>2933</v>
      </c>
      <c r="AI91">
        <f t="shared" si="31"/>
        <v>43210.961538461532</v>
      </c>
      <c r="AJ91">
        <f t="shared" si="32"/>
        <v>110109.91153846153</v>
      </c>
      <c r="AK91">
        <f t="shared" si="33"/>
        <v>42460.111842105267</v>
      </c>
      <c r="AL91">
        <f t="shared" si="34"/>
        <v>208376.92384615386</v>
      </c>
      <c r="AM91">
        <f t="shared" si="35"/>
        <v>66021.442576516551</v>
      </c>
      <c r="AN91">
        <f t="shared" si="36"/>
        <v>9320.20869822643</v>
      </c>
      <c r="AO91">
        <f>IF($A91="","",Allocation!CJ91)</f>
        <v>580167</v>
      </c>
      <c r="AP91">
        <f>IF($A91="","",IF(Allocation!$N$2="VOL_EFF",$Q91,IF(Allocation!$N$2="VOL_CLASS",$R91,$S91)))</f>
        <v>9032400</v>
      </c>
      <c r="AQ91">
        <f>IF($A91="","",IF(Allocation!$N$2="VOL_EFF",$T91,IF(Allocation!$N$2="VOL_CLASS",$U91,$V91)))</f>
        <v>21758770</v>
      </c>
      <c r="AR91">
        <f t="shared" si="37"/>
        <v>14330.439960074782</v>
      </c>
      <c r="AS91" t="str">
        <f>IF($A91="","",$A91&amp;"|"&amp;Allocation!BG91)</f>
        <v>2025|ACT</v>
      </c>
    </row>
    <row r="92" spans="1:45" x14ac:dyDescent="0.45">
      <c r="A92" t="str">
        <f>IF(Allocation!BI92="","",Allocation!BI92)</f>
        <v>2025</v>
      </c>
      <c r="B92" t="str">
        <f>IF(Allocation!BJ92="","",Allocation!BJ92)</f>
        <v>MBWAY_LYO</v>
      </c>
      <c r="C92" t="str">
        <f>IF(Allocation!BK92="","",Allocation!BK92)</f>
        <v>MBWAY</v>
      </c>
      <c r="D92" t="str">
        <f>IF(Allocation!BL92="","",Allocation!BL92)</f>
        <v>BAC_MGT</v>
      </c>
      <c r="E92" t="str">
        <f>IF(Allocation!BM92="","",Allocation!BM92)</f>
        <v>B2</v>
      </c>
      <c r="F92" t="str">
        <f>IF(Allocation!BN92="","",Allocation!BN92)</f>
        <v>ALT</v>
      </c>
      <c r="G92">
        <f>IF(Allocation!BO92="","",Allocation!BO92)</f>
        <v>60</v>
      </c>
      <c r="H92">
        <f>IF(Allocation!BP92="","",Allocation!BP92)</f>
        <v>2</v>
      </c>
      <c r="I92">
        <f>IF(Allocation!BQ92="","",Allocation!BQ92)</f>
        <v>441000</v>
      </c>
      <c r="J92">
        <f>IF(Allocation!CC92="","",Allocation!CC92)</f>
        <v>0</v>
      </c>
      <c r="K92">
        <f t="shared" si="19"/>
        <v>960</v>
      </c>
      <c r="L92">
        <f t="shared" si="20"/>
        <v>304</v>
      </c>
      <c r="M92">
        <f t="shared" si="21"/>
        <v>13</v>
      </c>
      <c r="N92">
        <f t="shared" si="22"/>
        <v>2342685</v>
      </c>
      <c r="O92">
        <f t="shared" si="23"/>
        <v>6240</v>
      </c>
      <c r="P92">
        <f t="shared" si="24"/>
        <v>124</v>
      </c>
      <c r="Q92">
        <f t="shared" si="25"/>
        <v>1179</v>
      </c>
      <c r="R92">
        <f t="shared" si="26"/>
        <v>50</v>
      </c>
      <c r="S92">
        <f t="shared" si="27"/>
        <v>9032400</v>
      </c>
      <c r="T92">
        <f t="shared" si="28"/>
        <v>2933</v>
      </c>
      <c r="U92">
        <f t="shared" si="29"/>
        <v>135</v>
      </c>
      <c r="V92">
        <f t="shared" si="30"/>
        <v>21758770</v>
      </c>
      <c r="W92">
        <f>IF($A92="","",Allocation!CD92)</f>
        <v>149798</v>
      </c>
      <c r="X92">
        <f>IF($A92="","",Allocation!CE92)</f>
        <v>381714.36</v>
      </c>
      <c r="Y92">
        <f>IF($A92="","",Allocation!CF92)</f>
        <v>115067</v>
      </c>
      <c r="Z92">
        <f>IF($A92="","",Allocation!CG92)</f>
        <v>37985</v>
      </c>
      <c r="AA92">
        <f>IF($A92="","",Allocation!CH92)</f>
        <v>902966.67</v>
      </c>
      <c r="AB92">
        <f>IF($A92="","",Allocation!CI92)</f>
        <v>2760232</v>
      </c>
      <c r="AC92">
        <f>IF($A92="","",IF(Allocation!$N$4="VOL_EFF",$G92,IF(Allocation!$N$4="VOL_CLASS",$H92,$I92)))</f>
        <v>2</v>
      </c>
      <c r="AD92">
        <f>IF($A92="","",IF(Allocation!$N$4="VOL_EFF",$L92,IF(Allocation!$N$4="VOL_CLASS",$M92,$N92)))</f>
        <v>13</v>
      </c>
      <c r="AE92">
        <f>IF($A92="","",IF(Allocation!$N$3="VOL_EFF",$L92,IF(Allocation!$N$3="VOL_CLASS",$M92,$N92)))</f>
        <v>304</v>
      </c>
      <c r="AF92">
        <f>IF($A92="","",IF(Allocation!$N$3="VOL_EFF",$Q92,IF(Allocation!$N$3="VOL_CLASS",$R92,$S92)))</f>
        <v>1179</v>
      </c>
      <c r="AG92">
        <f>IF($A92="","",IF(Allocation!$N$1="VOL_EFF",$Q92,IF(Allocation!$N$1="VOL_CLASS",$R92,$S92)))</f>
        <v>1179</v>
      </c>
      <c r="AH92">
        <f>IF($A92="","",IF(Allocation!$N$1="VOL_EFF",$T92,IF(Allocation!$N$1="VOL_CLASS",$U92,$V92)))</f>
        <v>2933</v>
      </c>
      <c r="AI92">
        <f t="shared" si="31"/>
        <v>23045.846153846156</v>
      </c>
      <c r="AJ92">
        <f t="shared" si="32"/>
        <v>58725.286153846158</v>
      </c>
      <c r="AK92">
        <f t="shared" si="33"/>
        <v>22710.592105263157</v>
      </c>
      <c r="AL92">
        <f t="shared" si="34"/>
        <v>138917.94923076924</v>
      </c>
      <c r="AM92">
        <f t="shared" si="35"/>
        <v>44014.295051011039</v>
      </c>
      <c r="AN92">
        <f t="shared" si="36"/>
        <v>144032.40466521442</v>
      </c>
      <c r="AO92">
        <f>IF($A92="","",Allocation!CJ92)</f>
        <v>580167</v>
      </c>
      <c r="AP92">
        <f>IF($A92="","",IF(Allocation!$N$2="VOL_EFF",$Q92,IF(Allocation!$N$2="VOL_CLASS",$R92,$S92)))</f>
        <v>9032400</v>
      </c>
      <c r="AQ92">
        <f>IF($A92="","",IF(Allocation!$N$2="VOL_EFF",$T92,IF(Allocation!$N$2="VOL_CLASS",$U92,$V92)))</f>
        <v>21758770</v>
      </c>
      <c r="AR92">
        <f t="shared" si="37"/>
        <v>9553.6266400498534</v>
      </c>
      <c r="AS92" t="str">
        <f>IF($A92="","",$A92&amp;"|"&amp;Allocation!BG92)</f>
        <v>2025|ACT</v>
      </c>
    </row>
    <row r="93" spans="1:45" x14ac:dyDescent="0.45">
      <c r="A93" t="str">
        <f>IF(Allocation!BI93="","",Allocation!BI93)</f>
        <v>2025</v>
      </c>
      <c r="B93" t="str">
        <f>IF(Allocation!BJ93="","",Allocation!BJ93)</f>
        <v>MBWAY_LYO</v>
      </c>
      <c r="C93" t="str">
        <f>IF(Allocation!BK93="","",Allocation!BK93)</f>
        <v>MBWAY</v>
      </c>
      <c r="D93" t="str">
        <f>IF(Allocation!BL93="","",Allocation!BL93)</f>
        <v>BAC_MGT</v>
      </c>
      <c r="E93" t="str">
        <f>IF(Allocation!BM93="","",Allocation!BM93)</f>
        <v>B3</v>
      </c>
      <c r="F93" t="str">
        <f>IF(Allocation!BN93="","",Allocation!BN93)</f>
        <v>ALT</v>
      </c>
      <c r="G93">
        <f>IF(Allocation!BO93="","",Allocation!BO93)</f>
        <v>59</v>
      </c>
      <c r="H93">
        <f>IF(Allocation!BP93="","",Allocation!BP93)</f>
        <v>2</v>
      </c>
      <c r="I93">
        <f>IF(Allocation!BQ93="","",Allocation!BQ93)</f>
        <v>433650</v>
      </c>
      <c r="J93">
        <f>IF(Allocation!CC93="","",Allocation!CC93)</f>
        <v>0</v>
      </c>
      <c r="K93">
        <f t="shared" si="19"/>
        <v>960</v>
      </c>
      <c r="L93">
        <f t="shared" si="20"/>
        <v>304</v>
      </c>
      <c r="M93">
        <f t="shared" si="21"/>
        <v>13</v>
      </c>
      <c r="N93">
        <f t="shared" si="22"/>
        <v>2342685</v>
      </c>
      <c r="O93">
        <f t="shared" si="23"/>
        <v>6240</v>
      </c>
      <c r="P93">
        <f t="shared" si="24"/>
        <v>124</v>
      </c>
      <c r="Q93">
        <f t="shared" si="25"/>
        <v>1179</v>
      </c>
      <c r="R93">
        <f t="shared" si="26"/>
        <v>50</v>
      </c>
      <c r="S93">
        <f t="shared" si="27"/>
        <v>9032400</v>
      </c>
      <c r="T93">
        <f t="shared" si="28"/>
        <v>2933</v>
      </c>
      <c r="U93">
        <f t="shared" si="29"/>
        <v>135</v>
      </c>
      <c r="V93">
        <f t="shared" si="30"/>
        <v>21758770</v>
      </c>
      <c r="W93">
        <f>IF($A93="","",Allocation!CD93)</f>
        <v>149798</v>
      </c>
      <c r="X93">
        <f>IF($A93="","",Allocation!CE93)</f>
        <v>381714.36</v>
      </c>
      <c r="Y93">
        <f>IF($A93="","",Allocation!CF93)</f>
        <v>115067</v>
      </c>
      <c r="Z93">
        <f>IF($A93="","",Allocation!CG93)</f>
        <v>37985</v>
      </c>
      <c r="AA93">
        <f>IF($A93="","",Allocation!CH93)</f>
        <v>902966.67</v>
      </c>
      <c r="AB93">
        <f>IF($A93="","",Allocation!CI93)</f>
        <v>2760232</v>
      </c>
      <c r="AC93">
        <f>IF($A93="","",IF(Allocation!$N$4="VOL_EFF",$G93,IF(Allocation!$N$4="VOL_CLASS",$H93,$I93)))</f>
        <v>2</v>
      </c>
      <c r="AD93">
        <f>IF($A93="","",IF(Allocation!$N$4="VOL_EFF",$L93,IF(Allocation!$N$4="VOL_CLASS",$M93,$N93)))</f>
        <v>13</v>
      </c>
      <c r="AE93">
        <f>IF($A93="","",IF(Allocation!$N$3="VOL_EFF",$L93,IF(Allocation!$N$3="VOL_CLASS",$M93,$N93)))</f>
        <v>304</v>
      </c>
      <c r="AF93">
        <f>IF($A93="","",IF(Allocation!$N$3="VOL_EFF",$Q93,IF(Allocation!$N$3="VOL_CLASS",$R93,$S93)))</f>
        <v>1179</v>
      </c>
      <c r="AG93">
        <f>IF($A93="","",IF(Allocation!$N$1="VOL_EFF",$Q93,IF(Allocation!$N$1="VOL_CLASS",$R93,$S93)))</f>
        <v>1179</v>
      </c>
      <c r="AH93">
        <f>IF($A93="","",IF(Allocation!$N$1="VOL_EFF",$T93,IF(Allocation!$N$1="VOL_CLASS",$U93,$V93)))</f>
        <v>2933</v>
      </c>
      <c r="AI93">
        <f t="shared" si="31"/>
        <v>23045.846153846156</v>
      </c>
      <c r="AJ93">
        <f t="shared" si="32"/>
        <v>58725.286153846158</v>
      </c>
      <c r="AK93">
        <f t="shared" si="33"/>
        <v>22332.082236842103</v>
      </c>
      <c r="AL93">
        <f t="shared" si="34"/>
        <v>138917.94923076924</v>
      </c>
      <c r="AM93">
        <f t="shared" si="35"/>
        <v>44014.295051011039</v>
      </c>
      <c r="AN93">
        <f t="shared" si="36"/>
        <v>137060.91453363543</v>
      </c>
      <c r="AO93">
        <f>IF($A93="","",Allocation!CJ93)</f>
        <v>580167</v>
      </c>
      <c r="AP93">
        <f>IF($A93="","",IF(Allocation!$N$2="VOL_EFF",$Q93,IF(Allocation!$N$2="VOL_CLASS",$R93,$S93)))</f>
        <v>9032400</v>
      </c>
      <c r="AQ93">
        <f>IF($A93="","",IF(Allocation!$N$2="VOL_EFF",$T93,IF(Allocation!$N$2="VOL_CLASS",$U93,$V93)))</f>
        <v>21758770</v>
      </c>
      <c r="AR93">
        <f t="shared" si="37"/>
        <v>9553.6266400498534</v>
      </c>
      <c r="AS93" t="str">
        <f>IF($A93="","",$A93&amp;"|"&amp;Allocation!BG93)</f>
        <v>2025|ACT</v>
      </c>
    </row>
    <row r="94" spans="1:45" x14ac:dyDescent="0.45">
      <c r="A94" t="str">
        <f>IF(Allocation!BI94="","",Allocation!BI94)</f>
        <v>2025</v>
      </c>
      <c r="B94" t="str">
        <f>IF(Allocation!BJ94="","",Allocation!BJ94)</f>
        <v>MBWAY_LYO</v>
      </c>
      <c r="C94" t="str">
        <f>IF(Allocation!BK94="","",Allocation!BK94)</f>
        <v>MBWAY</v>
      </c>
      <c r="D94" t="str">
        <f>IF(Allocation!BL94="","",Allocation!BL94)</f>
        <v>MAS_MGT</v>
      </c>
      <c r="E94" t="str">
        <f>IF(Allocation!BM94="","",Allocation!BM94)</f>
        <v>M1</v>
      </c>
      <c r="F94" t="str">
        <f>IF(Allocation!BN94="","",Allocation!BN94)</f>
        <v>ALT</v>
      </c>
      <c r="G94">
        <f>IF(Allocation!BO94="","",Allocation!BO94)</f>
        <v>62</v>
      </c>
      <c r="H94">
        <f>IF(Allocation!BP94="","",Allocation!BP94)</f>
        <v>3</v>
      </c>
      <c r="I94">
        <f>IF(Allocation!BQ94="","",Allocation!BQ94)</f>
        <v>493830</v>
      </c>
      <c r="J94">
        <f>IF(Allocation!CC94="","",Allocation!CC94)</f>
        <v>62</v>
      </c>
      <c r="K94">
        <f t="shared" si="19"/>
        <v>1260</v>
      </c>
      <c r="L94">
        <f t="shared" si="20"/>
        <v>304</v>
      </c>
      <c r="M94">
        <f t="shared" si="21"/>
        <v>13</v>
      </c>
      <c r="N94">
        <f t="shared" si="22"/>
        <v>2342685</v>
      </c>
      <c r="O94">
        <f t="shared" si="23"/>
        <v>6240</v>
      </c>
      <c r="P94">
        <f t="shared" si="24"/>
        <v>124</v>
      </c>
      <c r="Q94">
        <f t="shared" si="25"/>
        <v>1179</v>
      </c>
      <c r="R94">
        <f t="shared" si="26"/>
        <v>50</v>
      </c>
      <c r="S94">
        <f t="shared" si="27"/>
        <v>9032400</v>
      </c>
      <c r="T94">
        <f t="shared" si="28"/>
        <v>2933</v>
      </c>
      <c r="U94">
        <f t="shared" si="29"/>
        <v>135</v>
      </c>
      <c r="V94">
        <f t="shared" si="30"/>
        <v>21758770</v>
      </c>
      <c r="W94">
        <f>IF($A94="","",Allocation!CD94)</f>
        <v>149798</v>
      </c>
      <c r="X94">
        <f>IF($A94="","",Allocation!CE94)</f>
        <v>381714.36</v>
      </c>
      <c r="Y94">
        <f>IF($A94="","",Allocation!CF94)</f>
        <v>115067</v>
      </c>
      <c r="Z94">
        <f>IF($A94="","",Allocation!CG94)</f>
        <v>37985</v>
      </c>
      <c r="AA94">
        <f>IF($A94="","",Allocation!CH94)</f>
        <v>902966.67</v>
      </c>
      <c r="AB94">
        <f>IF($A94="","",Allocation!CI94)</f>
        <v>2760232</v>
      </c>
      <c r="AC94">
        <f>IF($A94="","",IF(Allocation!$N$4="VOL_EFF",$G94,IF(Allocation!$N$4="VOL_CLASS",$H94,$I94)))</f>
        <v>3</v>
      </c>
      <c r="AD94">
        <f>IF($A94="","",IF(Allocation!$N$4="VOL_EFF",$L94,IF(Allocation!$N$4="VOL_CLASS",$M94,$N94)))</f>
        <v>13</v>
      </c>
      <c r="AE94">
        <f>IF($A94="","",IF(Allocation!$N$3="VOL_EFF",$L94,IF(Allocation!$N$3="VOL_CLASS",$M94,$N94)))</f>
        <v>304</v>
      </c>
      <c r="AF94">
        <f>IF($A94="","",IF(Allocation!$N$3="VOL_EFF",$Q94,IF(Allocation!$N$3="VOL_CLASS",$R94,$S94)))</f>
        <v>1179</v>
      </c>
      <c r="AG94">
        <f>IF($A94="","",IF(Allocation!$N$1="VOL_EFF",$Q94,IF(Allocation!$N$1="VOL_CLASS",$R94,$S94)))</f>
        <v>1179</v>
      </c>
      <c r="AH94">
        <f>IF($A94="","",IF(Allocation!$N$1="VOL_EFF",$T94,IF(Allocation!$N$1="VOL_CLASS",$U94,$V94)))</f>
        <v>2933</v>
      </c>
      <c r="AI94">
        <f t="shared" si="31"/>
        <v>30247.673076923078</v>
      </c>
      <c r="AJ94">
        <f t="shared" si="32"/>
        <v>77076.938076923077</v>
      </c>
      <c r="AK94">
        <f t="shared" si="33"/>
        <v>42460.111842105267</v>
      </c>
      <c r="AL94">
        <f t="shared" si="34"/>
        <v>208376.92384615386</v>
      </c>
      <c r="AM94">
        <f t="shared" si="35"/>
        <v>66021.442576516551</v>
      </c>
      <c r="AN94">
        <f t="shared" si="36"/>
        <v>55316.470621303364</v>
      </c>
      <c r="AO94">
        <f>IF($A94="","",Allocation!CJ94)</f>
        <v>580167</v>
      </c>
      <c r="AP94">
        <f>IF($A94="","",IF(Allocation!$N$2="VOL_EFF",$Q94,IF(Allocation!$N$2="VOL_CLASS",$R94,$S94)))</f>
        <v>9032400</v>
      </c>
      <c r="AQ94">
        <f>IF($A94="","",IF(Allocation!$N$2="VOL_EFF",$T94,IF(Allocation!$N$2="VOL_CLASS",$U94,$V94)))</f>
        <v>21758770</v>
      </c>
      <c r="AR94">
        <f t="shared" si="37"/>
        <v>14330.439960074782</v>
      </c>
      <c r="AS94" t="str">
        <f>IF($A94="","",$A94&amp;"|"&amp;Allocation!BG94)</f>
        <v>2025|ACT</v>
      </c>
    </row>
    <row r="95" spans="1:45" x14ac:dyDescent="0.45">
      <c r="A95" t="str">
        <f>IF(Allocation!BI95="","",Allocation!BI95)</f>
        <v>2025</v>
      </c>
      <c r="B95" t="str">
        <f>IF(Allocation!BJ95="","",Allocation!BJ95)</f>
        <v>MBWAY_LYO</v>
      </c>
      <c r="C95" t="str">
        <f>IF(Allocation!BK95="","",Allocation!BK95)</f>
        <v>MBWAY</v>
      </c>
      <c r="D95" t="str">
        <f>IF(Allocation!BL95="","",Allocation!BL95)</f>
        <v>MAS_MGT</v>
      </c>
      <c r="E95" t="str">
        <f>IF(Allocation!BM95="","",Allocation!BM95)</f>
        <v>M2</v>
      </c>
      <c r="F95" t="str">
        <f>IF(Allocation!BN95="","",Allocation!BN95)</f>
        <v>ALT</v>
      </c>
      <c r="G95">
        <f>IF(Allocation!BO95="","",Allocation!BO95)</f>
        <v>61</v>
      </c>
      <c r="H95">
        <f>IF(Allocation!BP95="","",Allocation!BP95)</f>
        <v>3</v>
      </c>
      <c r="I95">
        <f>IF(Allocation!BQ95="","",Allocation!BQ95)</f>
        <v>480375</v>
      </c>
      <c r="J95">
        <f>IF(Allocation!CC95="","",Allocation!CC95)</f>
        <v>0</v>
      </c>
      <c r="K95">
        <f t="shared" si="19"/>
        <v>1260</v>
      </c>
      <c r="L95">
        <f t="shared" si="20"/>
        <v>304</v>
      </c>
      <c r="M95">
        <f t="shared" si="21"/>
        <v>13</v>
      </c>
      <c r="N95">
        <f t="shared" si="22"/>
        <v>2342685</v>
      </c>
      <c r="O95">
        <f t="shared" si="23"/>
        <v>6240</v>
      </c>
      <c r="P95">
        <f t="shared" si="24"/>
        <v>124</v>
      </c>
      <c r="Q95">
        <f t="shared" si="25"/>
        <v>1179</v>
      </c>
      <c r="R95">
        <f t="shared" si="26"/>
        <v>50</v>
      </c>
      <c r="S95">
        <f t="shared" si="27"/>
        <v>9032400</v>
      </c>
      <c r="T95">
        <f t="shared" si="28"/>
        <v>2933</v>
      </c>
      <c r="U95">
        <f t="shared" si="29"/>
        <v>135</v>
      </c>
      <c r="V95">
        <f t="shared" si="30"/>
        <v>21758770</v>
      </c>
      <c r="W95">
        <f>IF($A95="","",Allocation!CD95)</f>
        <v>149798</v>
      </c>
      <c r="X95">
        <f>IF($A95="","",Allocation!CE95)</f>
        <v>381714.36</v>
      </c>
      <c r="Y95">
        <f>IF($A95="","",Allocation!CF95)</f>
        <v>115067</v>
      </c>
      <c r="Z95">
        <f>IF($A95="","",Allocation!CG95)</f>
        <v>37985</v>
      </c>
      <c r="AA95">
        <f>IF($A95="","",Allocation!CH95)</f>
        <v>902966.67</v>
      </c>
      <c r="AB95">
        <f>IF($A95="","",Allocation!CI95)</f>
        <v>2760232</v>
      </c>
      <c r="AC95">
        <f>IF($A95="","",IF(Allocation!$N$4="VOL_EFF",$G95,IF(Allocation!$N$4="VOL_CLASS",$H95,$I95)))</f>
        <v>3</v>
      </c>
      <c r="AD95">
        <f>IF($A95="","",IF(Allocation!$N$4="VOL_EFF",$L95,IF(Allocation!$N$4="VOL_CLASS",$M95,$N95)))</f>
        <v>13</v>
      </c>
      <c r="AE95">
        <f>IF($A95="","",IF(Allocation!$N$3="VOL_EFF",$L95,IF(Allocation!$N$3="VOL_CLASS",$M95,$N95)))</f>
        <v>304</v>
      </c>
      <c r="AF95">
        <f>IF($A95="","",IF(Allocation!$N$3="VOL_EFF",$Q95,IF(Allocation!$N$3="VOL_CLASS",$R95,$S95)))</f>
        <v>1179</v>
      </c>
      <c r="AG95">
        <f>IF($A95="","",IF(Allocation!$N$1="VOL_EFF",$Q95,IF(Allocation!$N$1="VOL_CLASS",$R95,$S95)))</f>
        <v>1179</v>
      </c>
      <c r="AH95">
        <f>IF($A95="","",IF(Allocation!$N$1="VOL_EFF",$T95,IF(Allocation!$N$1="VOL_CLASS",$U95,$V95)))</f>
        <v>2933</v>
      </c>
      <c r="AI95">
        <f t="shared" si="31"/>
        <v>30247.673076923078</v>
      </c>
      <c r="AJ95">
        <f t="shared" si="32"/>
        <v>77076.938076923077</v>
      </c>
      <c r="AK95">
        <f t="shared" si="33"/>
        <v>23089.101973684214</v>
      </c>
      <c r="AL95">
        <f t="shared" si="34"/>
        <v>208376.92384615386</v>
      </c>
      <c r="AM95">
        <f t="shared" si="35"/>
        <v>66021.442576516551</v>
      </c>
      <c r="AN95">
        <f t="shared" si="36"/>
        <v>61232.480489724432</v>
      </c>
      <c r="AO95">
        <f>IF($A95="","",Allocation!CJ95)</f>
        <v>580167</v>
      </c>
      <c r="AP95">
        <f>IF($A95="","",IF(Allocation!$N$2="VOL_EFF",$Q95,IF(Allocation!$N$2="VOL_CLASS",$R95,$S95)))</f>
        <v>9032400</v>
      </c>
      <c r="AQ95">
        <f>IF($A95="","",IF(Allocation!$N$2="VOL_EFF",$T95,IF(Allocation!$N$2="VOL_CLASS",$U95,$V95)))</f>
        <v>21758770</v>
      </c>
      <c r="AR95">
        <f t="shared" si="37"/>
        <v>14330.439960074782</v>
      </c>
      <c r="AS95" t="str">
        <f>IF($A95="","",$A95&amp;"|"&amp;Allocation!BG95)</f>
        <v>2025|ACT</v>
      </c>
    </row>
    <row r="96" spans="1:45" x14ac:dyDescent="0.45">
      <c r="A96" t="str">
        <f>IF(Allocation!BI96="","",Allocation!BI96)</f>
        <v>2025</v>
      </c>
      <c r="B96" t="str">
        <f>IF(Allocation!BJ96="","",Allocation!BJ96)</f>
        <v>MBWAY_NAN</v>
      </c>
      <c r="C96" t="str">
        <f>IF(Allocation!BK96="","",Allocation!BK96)</f>
        <v>MBWAY</v>
      </c>
      <c r="D96" t="str">
        <f>IF(Allocation!BL96="","",Allocation!BL96)</f>
        <v>BAC_MGT</v>
      </c>
      <c r="E96" t="str">
        <f>IF(Allocation!BM96="","",Allocation!BM96)</f>
        <v>B1</v>
      </c>
      <c r="F96" t="str">
        <f>IF(Allocation!BN96="","",Allocation!BN96)</f>
        <v>INIT</v>
      </c>
      <c r="G96">
        <f>IF(Allocation!BO96="","",Allocation!BO96)</f>
        <v>57</v>
      </c>
      <c r="H96">
        <f>IF(Allocation!BP96="","",Allocation!BP96)</f>
        <v>2</v>
      </c>
      <c r="I96">
        <f>IF(Allocation!BQ96="","",Allocation!BQ96)</f>
        <v>432630</v>
      </c>
      <c r="J96">
        <f>IF(Allocation!CC96="","",Allocation!CC96)</f>
        <v>57</v>
      </c>
      <c r="K96">
        <f t="shared" si="19"/>
        <v>1200</v>
      </c>
      <c r="L96">
        <f t="shared" si="20"/>
        <v>279</v>
      </c>
      <c r="M96">
        <f t="shared" si="21"/>
        <v>12</v>
      </c>
      <c r="N96">
        <f t="shared" si="22"/>
        <v>2048260</v>
      </c>
      <c r="O96">
        <f t="shared" si="23"/>
        <v>5640</v>
      </c>
      <c r="P96">
        <f t="shared" si="24"/>
        <v>114</v>
      </c>
      <c r="Q96">
        <f t="shared" si="25"/>
        <v>1179</v>
      </c>
      <c r="R96">
        <f t="shared" si="26"/>
        <v>50</v>
      </c>
      <c r="S96">
        <f t="shared" si="27"/>
        <v>9032400</v>
      </c>
      <c r="T96">
        <f t="shared" si="28"/>
        <v>2933</v>
      </c>
      <c r="U96">
        <f t="shared" si="29"/>
        <v>135</v>
      </c>
      <c r="V96">
        <f t="shared" si="30"/>
        <v>21758770</v>
      </c>
      <c r="W96">
        <f>IF($A96="","",Allocation!CD96)</f>
        <v>138275</v>
      </c>
      <c r="X96">
        <f>IF($A96="","",Allocation!CE96)</f>
        <v>333028.5</v>
      </c>
      <c r="Y96">
        <f>IF($A96="","",Allocation!CF96)</f>
        <v>104412</v>
      </c>
      <c r="Z96">
        <f>IF($A96="","",Allocation!CG96)</f>
        <v>28666</v>
      </c>
      <c r="AA96">
        <f>IF($A96="","",Allocation!CH96)</f>
        <v>778750.02</v>
      </c>
      <c r="AB96">
        <f>IF($A96="","",Allocation!CI96)</f>
        <v>2760232</v>
      </c>
      <c r="AC96">
        <f>IF($A96="","",IF(Allocation!$N$4="VOL_EFF",$G96,IF(Allocation!$N$4="VOL_CLASS",$H96,$I96)))</f>
        <v>2</v>
      </c>
      <c r="AD96">
        <f>IF($A96="","",IF(Allocation!$N$4="VOL_EFF",$L96,IF(Allocation!$N$4="VOL_CLASS",$M96,$N96)))</f>
        <v>12</v>
      </c>
      <c r="AE96">
        <f>IF($A96="","",IF(Allocation!$N$3="VOL_EFF",$L96,IF(Allocation!$N$3="VOL_CLASS",$M96,$N96)))</f>
        <v>279</v>
      </c>
      <c r="AF96">
        <f>IF($A96="","",IF(Allocation!$N$3="VOL_EFF",$Q96,IF(Allocation!$N$3="VOL_CLASS",$R96,$S96)))</f>
        <v>1179</v>
      </c>
      <c r="AG96">
        <f>IF($A96="","",IF(Allocation!$N$1="VOL_EFF",$Q96,IF(Allocation!$N$1="VOL_CLASS",$R96,$S96)))</f>
        <v>1179</v>
      </c>
      <c r="AH96">
        <f>IF($A96="","",IF(Allocation!$N$1="VOL_EFF",$T96,IF(Allocation!$N$1="VOL_CLASS",$U96,$V96)))</f>
        <v>2933</v>
      </c>
      <c r="AI96">
        <f t="shared" si="31"/>
        <v>29420.212765957447</v>
      </c>
      <c r="AJ96">
        <f t="shared" si="32"/>
        <v>70857.127659574471</v>
      </c>
      <c r="AK96">
        <f t="shared" si="33"/>
        <v>35664.483870967742</v>
      </c>
      <c r="AL96">
        <f t="shared" si="34"/>
        <v>129791.67</v>
      </c>
      <c r="AM96">
        <f t="shared" si="35"/>
        <v>43760.923286737125</v>
      </c>
      <c r="AN96">
        <f t="shared" si="36"/>
        <v>113636.9519827005</v>
      </c>
      <c r="AO96">
        <f>IF($A96="","",Allocation!CJ96)</f>
        <v>580167</v>
      </c>
      <c r="AP96">
        <f>IF($A96="","",IF(Allocation!$N$2="VOL_EFF",$Q96,IF(Allocation!$N$2="VOL_CLASS",$R96,$S96)))</f>
        <v>9032400</v>
      </c>
      <c r="AQ96">
        <f>IF($A96="","",IF(Allocation!$N$2="VOL_EFF",$T96,IF(Allocation!$N$2="VOL_CLASS",$U96,$V96)))</f>
        <v>21758770</v>
      </c>
      <c r="AR96">
        <f t="shared" si="37"/>
        <v>9498.6304340627248</v>
      </c>
      <c r="AS96" t="str">
        <f>IF($A96="","",$A96&amp;"|"&amp;Allocation!BG96)</f>
        <v>2025|ACT</v>
      </c>
    </row>
    <row r="97" spans="1:45" x14ac:dyDescent="0.45">
      <c r="A97" t="str">
        <f>IF(Allocation!BI97="","",Allocation!BI97)</f>
        <v>2025</v>
      </c>
      <c r="B97" t="str">
        <f>IF(Allocation!BJ97="","",Allocation!BJ97)</f>
        <v>MBWAY_NAN</v>
      </c>
      <c r="C97" t="str">
        <f>IF(Allocation!BK97="","",Allocation!BK97)</f>
        <v>MBWAY</v>
      </c>
      <c r="D97" t="str">
        <f>IF(Allocation!BL97="","",Allocation!BL97)</f>
        <v>BAC_MGT</v>
      </c>
      <c r="E97" t="str">
        <f>IF(Allocation!BM97="","",Allocation!BM97)</f>
        <v>B2</v>
      </c>
      <c r="F97" t="str">
        <f>IF(Allocation!BN97="","",Allocation!BN97)</f>
        <v>ALT</v>
      </c>
      <c r="G97">
        <f>IF(Allocation!BO97="","",Allocation!BO97)</f>
        <v>55</v>
      </c>
      <c r="H97">
        <f>IF(Allocation!BP97="","",Allocation!BP97)</f>
        <v>2</v>
      </c>
      <c r="I97">
        <f>IF(Allocation!BQ97="","",Allocation!BQ97)</f>
        <v>385000</v>
      </c>
      <c r="J97">
        <f>IF(Allocation!CC97="","",Allocation!CC97)</f>
        <v>0</v>
      </c>
      <c r="K97">
        <f t="shared" si="19"/>
        <v>960</v>
      </c>
      <c r="L97">
        <f t="shared" si="20"/>
        <v>279</v>
      </c>
      <c r="M97">
        <f t="shared" si="21"/>
        <v>12</v>
      </c>
      <c r="N97">
        <f t="shared" si="22"/>
        <v>2048260</v>
      </c>
      <c r="O97">
        <f t="shared" si="23"/>
        <v>5640</v>
      </c>
      <c r="P97">
        <f t="shared" si="24"/>
        <v>114</v>
      </c>
      <c r="Q97">
        <f t="shared" si="25"/>
        <v>1179</v>
      </c>
      <c r="R97">
        <f t="shared" si="26"/>
        <v>50</v>
      </c>
      <c r="S97">
        <f t="shared" si="27"/>
        <v>9032400</v>
      </c>
      <c r="T97">
        <f t="shared" si="28"/>
        <v>2933</v>
      </c>
      <c r="U97">
        <f t="shared" si="29"/>
        <v>135</v>
      </c>
      <c r="V97">
        <f t="shared" si="30"/>
        <v>21758770</v>
      </c>
      <c r="W97">
        <f>IF($A97="","",Allocation!CD97)</f>
        <v>138275</v>
      </c>
      <c r="X97">
        <f>IF($A97="","",Allocation!CE97)</f>
        <v>333028.5</v>
      </c>
      <c r="Y97">
        <f>IF($A97="","",Allocation!CF97)</f>
        <v>104412</v>
      </c>
      <c r="Z97">
        <f>IF($A97="","",Allocation!CG97)</f>
        <v>28666</v>
      </c>
      <c r="AA97">
        <f>IF($A97="","",Allocation!CH97)</f>
        <v>778750.02</v>
      </c>
      <c r="AB97">
        <f>IF($A97="","",Allocation!CI97)</f>
        <v>2760232</v>
      </c>
      <c r="AC97">
        <f>IF($A97="","",IF(Allocation!$N$4="VOL_EFF",$G97,IF(Allocation!$N$4="VOL_CLASS",$H97,$I97)))</f>
        <v>2</v>
      </c>
      <c r="AD97">
        <f>IF($A97="","",IF(Allocation!$N$4="VOL_EFF",$L97,IF(Allocation!$N$4="VOL_CLASS",$M97,$N97)))</f>
        <v>12</v>
      </c>
      <c r="AE97">
        <f>IF($A97="","",IF(Allocation!$N$3="VOL_EFF",$L97,IF(Allocation!$N$3="VOL_CLASS",$M97,$N97)))</f>
        <v>279</v>
      </c>
      <c r="AF97">
        <f>IF($A97="","",IF(Allocation!$N$3="VOL_EFF",$Q97,IF(Allocation!$N$3="VOL_CLASS",$R97,$S97)))</f>
        <v>1179</v>
      </c>
      <c r="AG97">
        <f>IF($A97="","",IF(Allocation!$N$1="VOL_EFF",$Q97,IF(Allocation!$N$1="VOL_CLASS",$R97,$S97)))</f>
        <v>1179</v>
      </c>
      <c r="AH97">
        <f>IF($A97="","",IF(Allocation!$N$1="VOL_EFF",$T97,IF(Allocation!$N$1="VOL_CLASS",$U97,$V97)))</f>
        <v>2933</v>
      </c>
      <c r="AI97">
        <f t="shared" si="31"/>
        <v>23536.170212765956</v>
      </c>
      <c r="AJ97">
        <f t="shared" si="32"/>
        <v>56685.70212765957</v>
      </c>
      <c r="AK97">
        <f t="shared" si="33"/>
        <v>20583.010752688173</v>
      </c>
      <c r="AL97">
        <f t="shared" si="34"/>
        <v>129791.67</v>
      </c>
      <c r="AM97">
        <f t="shared" si="35"/>
        <v>43760.923286737125</v>
      </c>
      <c r="AN97">
        <f t="shared" si="36"/>
        <v>101143.89318608644</v>
      </c>
      <c r="AO97">
        <f>IF($A97="","",Allocation!CJ97)</f>
        <v>580167</v>
      </c>
      <c r="AP97">
        <f>IF($A97="","",IF(Allocation!$N$2="VOL_EFF",$Q97,IF(Allocation!$N$2="VOL_CLASS",$R97,$S97)))</f>
        <v>9032400</v>
      </c>
      <c r="AQ97">
        <f>IF($A97="","",IF(Allocation!$N$2="VOL_EFF",$T97,IF(Allocation!$N$2="VOL_CLASS",$U97,$V97)))</f>
        <v>21758770</v>
      </c>
      <c r="AR97">
        <f t="shared" si="37"/>
        <v>9498.6304340627248</v>
      </c>
      <c r="AS97" t="str">
        <f>IF($A97="","",$A97&amp;"|"&amp;Allocation!BG97)</f>
        <v>2025|ACT</v>
      </c>
    </row>
    <row r="98" spans="1:45" x14ac:dyDescent="0.45">
      <c r="A98" t="str">
        <f>IF(Allocation!BI98="","",Allocation!BI98)</f>
        <v>2025</v>
      </c>
      <c r="B98" t="str">
        <f>IF(Allocation!BJ98="","",Allocation!BJ98)</f>
        <v>MBWAY_NAN</v>
      </c>
      <c r="C98" t="str">
        <f>IF(Allocation!BK98="","",Allocation!BK98)</f>
        <v>MBWAY</v>
      </c>
      <c r="D98" t="str">
        <f>IF(Allocation!BL98="","",Allocation!BL98)</f>
        <v>BAC_MGT</v>
      </c>
      <c r="E98" t="str">
        <f>IF(Allocation!BM98="","",Allocation!BM98)</f>
        <v>B3</v>
      </c>
      <c r="F98" t="str">
        <f>IF(Allocation!BN98="","",Allocation!BN98)</f>
        <v>ALT</v>
      </c>
      <c r="G98">
        <f>IF(Allocation!BO98="","",Allocation!BO98)</f>
        <v>54</v>
      </c>
      <c r="H98">
        <f>IF(Allocation!BP98="","",Allocation!BP98)</f>
        <v>2</v>
      </c>
      <c r="I98">
        <f>IF(Allocation!BQ98="","",Allocation!BQ98)</f>
        <v>378000</v>
      </c>
      <c r="J98">
        <f>IF(Allocation!CC98="","",Allocation!CC98)</f>
        <v>0</v>
      </c>
      <c r="K98">
        <f t="shared" si="19"/>
        <v>960</v>
      </c>
      <c r="L98">
        <f t="shared" si="20"/>
        <v>279</v>
      </c>
      <c r="M98">
        <f t="shared" si="21"/>
        <v>12</v>
      </c>
      <c r="N98">
        <f t="shared" si="22"/>
        <v>2048260</v>
      </c>
      <c r="O98">
        <f t="shared" si="23"/>
        <v>5640</v>
      </c>
      <c r="P98">
        <f t="shared" si="24"/>
        <v>114</v>
      </c>
      <c r="Q98">
        <f t="shared" si="25"/>
        <v>1179</v>
      </c>
      <c r="R98">
        <f t="shared" si="26"/>
        <v>50</v>
      </c>
      <c r="S98">
        <f t="shared" si="27"/>
        <v>9032400</v>
      </c>
      <c r="T98">
        <f t="shared" si="28"/>
        <v>2933</v>
      </c>
      <c r="U98">
        <f t="shared" si="29"/>
        <v>135</v>
      </c>
      <c r="V98">
        <f t="shared" si="30"/>
        <v>21758770</v>
      </c>
      <c r="W98">
        <f>IF($A98="","",Allocation!CD98)</f>
        <v>138275</v>
      </c>
      <c r="X98">
        <f>IF($A98="","",Allocation!CE98)</f>
        <v>333028.5</v>
      </c>
      <c r="Y98">
        <f>IF($A98="","",Allocation!CF98)</f>
        <v>104412</v>
      </c>
      <c r="Z98">
        <f>IF($A98="","",Allocation!CG98)</f>
        <v>28666</v>
      </c>
      <c r="AA98">
        <f>IF($A98="","",Allocation!CH98)</f>
        <v>778750.02</v>
      </c>
      <c r="AB98">
        <f>IF($A98="","",Allocation!CI98)</f>
        <v>2760232</v>
      </c>
      <c r="AC98">
        <f>IF($A98="","",IF(Allocation!$N$4="VOL_EFF",$G98,IF(Allocation!$N$4="VOL_CLASS",$H98,$I98)))</f>
        <v>2</v>
      </c>
      <c r="AD98">
        <f>IF($A98="","",IF(Allocation!$N$4="VOL_EFF",$L98,IF(Allocation!$N$4="VOL_CLASS",$M98,$N98)))</f>
        <v>12</v>
      </c>
      <c r="AE98">
        <f>IF($A98="","",IF(Allocation!$N$3="VOL_EFF",$L98,IF(Allocation!$N$3="VOL_CLASS",$M98,$N98)))</f>
        <v>279</v>
      </c>
      <c r="AF98">
        <f>IF($A98="","",IF(Allocation!$N$3="VOL_EFF",$Q98,IF(Allocation!$N$3="VOL_CLASS",$R98,$S98)))</f>
        <v>1179</v>
      </c>
      <c r="AG98">
        <f>IF($A98="","",IF(Allocation!$N$1="VOL_EFF",$Q98,IF(Allocation!$N$1="VOL_CLASS",$R98,$S98)))</f>
        <v>1179</v>
      </c>
      <c r="AH98">
        <f>IF($A98="","",IF(Allocation!$N$1="VOL_EFF",$T98,IF(Allocation!$N$1="VOL_CLASS",$U98,$V98)))</f>
        <v>2933</v>
      </c>
      <c r="AI98">
        <f t="shared" si="31"/>
        <v>23536.170212765956</v>
      </c>
      <c r="AJ98">
        <f t="shared" si="32"/>
        <v>56685.70212765957</v>
      </c>
      <c r="AK98">
        <f t="shared" si="33"/>
        <v>20208.774193548386</v>
      </c>
      <c r="AL98">
        <f t="shared" si="34"/>
        <v>129791.67</v>
      </c>
      <c r="AM98">
        <f t="shared" si="35"/>
        <v>43760.923286737125</v>
      </c>
      <c r="AN98">
        <f t="shared" si="36"/>
        <v>94518.129745226237</v>
      </c>
      <c r="AO98">
        <f>IF($A98="","",Allocation!CJ98)</f>
        <v>580167</v>
      </c>
      <c r="AP98">
        <f>IF($A98="","",IF(Allocation!$N$2="VOL_EFF",$Q98,IF(Allocation!$N$2="VOL_CLASS",$R98,$S98)))</f>
        <v>9032400</v>
      </c>
      <c r="AQ98">
        <f>IF($A98="","",IF(Allocation!$N$2="VOL_EFF",$T98,IF(Allocation!$N$2="VOL_CLASS",$U98,$V98)))</f>
        <v>21758770</v>
      </c>
      <c r="AR98">
        <f t="shared" si="37"/>
        <v>9498.6304340627248</v>
      </c>
      <c r="AS98" t="str">
        <f>IF($A98="","",$A98&amp;"|"&amp;Allocation!BG98)</f>
        <v>2025|ACT</v>
      </c>
    </row>
    <row r="99" spans="1:45" x14ac:dyDescent="0.45">
      <c r="A99" t="str">
        <f>IF(Allocation!BI99="","",Allocation!BI99)</f>
        <v>2025</v>
      </c>
      <c r="B99" t="str">
        <f>IF(Allocation!BJ99="","",Allocation!BJ99)</f>
        <v>MBWAY_NAN</v>
      </c>
      <c r="C99" t="str">
        <f>IF(Allocation!BK99="","",Allocation!BK99)</f>
        <v>MBWAY</v>
      </c>
      <c r="D99" t="str">
        <f>IF(Allocation!BL99="","",Allocation!BL99)</f>
        <v>MAS_MGT</v>
      </c>
      <c r="E99" t="str">
        <f>IF(Allocation!BM99="","",Allocation!BM99)</f>
        <v>M1</v>
      </c>
      <c r="F99" t="str">
        <f>IF(Allocation!BN99="","",Allocation!BN99)</f>
        <v>ALT</v>
      </c>
      <c r="G99">
        <f>IF(Allocation!BO99="","",Allocation!BO99)</f>
        <v>57</v>
      </c>
      <c r="H99">
        <f>IF(Allocation!BP99="","",Allocation!BP99)</f>
        <v>3</v>
      </c>
      <c r="I99">
        <f>IF(Allocation!BQ99="","",Allocation!BQ99)</f>
        <v>432630</v>
      </c>
      <c r="J99">
        <f>IF(Allocation!CC99="","",Allocation!CC99)</f>
        <v>57</v>
      </c>
      <c r="K99">
        <f t="shared" si="19"/>
        <v>1260</v>
      </c>
      <c r="L99">
        <f t="shared" si="20"/>
        <v>279</v>
      </c>
      <c r="M99">
        <f t="shared" si="21"/>
        <v>12</v>
      </c>
      <c r="N99">
        <f t="shared" si="22"/>
        <v>2048260</v>
      </c>
      <c r="O99">
        <f t="shared" si="23"/>
        <v>5640</v>
      </c>
      <c r="P99">
        <f t="shared" si="24"/>
        <v>114</v>
      </c>
      <c r="Q99">
        <f t="shared" si="25"/>
        <v>1179</v>
      </c>
      <c r="R99">
        <f t="shared" si="26"/>
        <v>50</v>
      </c>
      <c r="S99">
        <f t="shared" si="27"/>
        <v>9032400</v>
      </c>
      <c r="T99">
        <f t="shared" si="28"/>
        <v>2933</v>
      </c>
      <c r="U99">
        <f t="shared" si="29"/>
        <v>135</v>
      </c>
      <c r="V99">
        <f t="shared" si="30"/>
        <v>21758770</v>
      </c>
      <c r="W99">
        <f>IF($A99="","",Allocation!CD99)</f>
        <v>138275</v>
      </c>
      <c r="X99">
        <f>IF($A99="","",Allocation!CE99)</f>
        <v>333028.5</v>
      </c>
      <c r="Y99">
        <f>IF($A99="","",Allocation!CF99)</f>
        <v>104412</v>
      </c>
      <c r="Z99">
        <f>IF($A99="","",Allocation!CG99)</f>
        <v>28666</v>
      </c>
      <c r="AA99">
        <f>IF($A99="","",Allocation!CH99)</f>
        <v>778750.02</v>
      </c>
      <c r="AB99">
        <f>IF($A99="","",Allocation!CI99)</f>
        <v>2760232</v>
      </c>
      <c r="AC99">
        <f>IF($A99="","",IF(Allocation!$N$4="VOL_EFF",$G99,IF(Allocation!$N$4="VOL_CLASS",$H99,$I99)))</f>
        <v>3</v>
      </c>
      <c r="AD99">
        <f>IF($A99="","",IF(Allocation!$N$4="VOL_EFF",$L99,IF(Allocation!$N$4="VOL_CLASS",$M99,$N99)))</f>
        <v>12</v>
      </c>
      <c r="AE99">
        <f>IF($A99="","",IF(Allocation!$N$3="VOL_EFF",$L99,IF(Allocation!$N$3="VOL_CLASS",$M99,$N99)))</f>
        <v>279</v>
      </c>
      <c r="AF99">
        <f>IF($A99="","",IF(Allocation!$N$3="VOL_EFF",$Q99,IF(Allocation!$N$3="VOL_CLASS",$R99,$S99)))</f>
        <v>1179</v>
      </c>
      <c r="AG99">
        <f>IF($A99="","",IF(Allocation!$N$1="VOL_EFF",$Q99,IF(Allocation!$N$1="VOL_CLASS",$R99,$S99)))</f>
        <v>1179</v>
      </c>
      <c r="AH99">
        <f>IF($A99="","",IF(Allocation!$N$1="VOL_EFF",$T99,IF(Allocation!$N$1="VOL_CLASS",$U99,$V99)))</f>
        <v>2933</v>
      </c>
      <c r="AI99">
        <f t="shared" si="31"/>
        <v>30891.223404255317</v>
      </c>
      <c r="AJ99">
        <f t="shared" si="32"/>
        <v>74399.984042553187</v>
      </c>
      <c r="AK99">
        <f t="shared" si="33"/>
        <v>35664.483870967742</v>
      </c>
      <c r="AL99">
        <f t="shared" si="34"/>
        <v>194687.505</v>
      </c>
      <c r="AM99">
        <f t="shared" si="35"/>
        <v>65641.384930105691</v>
      </c>
      <c r="AN99">
        <f t="shared" si="36"/>
        <v>17097.473101023992</v>
      </c>
      <c r="AO99">
        <f>IF($A99="","",Allocation!CJ99)</f>
        <v>580167</v>
      </c>
      <c r="AP99">
        <f>IF($A99="","",IF(Allocation!$N$2="VOL_EFF",$Q99,IF(Allocation!$N$2="VOL_CLASS",$R99,$S99)))</f>
        <v>9032400</v>
      </c>
      <c r="AQ99">
        <f>IF($A99="","",IF(Allocation!$N$2="VOL_EFF",$T99,IF(Allocation!$N$2="VOL_CLASS",$U99,$V99)))</f>
        <v>21758770</v>
      </c>
      <c r="AR99">
        <f t="shared" si="37"/>
        <v>14247.945651094089</v>
      </c>
      <c r="AS99" t="str">
        <f>IF($A99="","",$A99&amp;"|"&amp;Allocation!BG99)</f>
        <v>2025|ACT</v>
      </c>
    </row>
    <row r="100" spans="1:45" x14ac:dyDescent="0.45">
      <c r="A100" t="str">
        <f>IF(Allocation!BI100="","",Allocation!BI100)</f>
        <v>2025</v>
      </c>
      <c r="B100" t="str">
        <f>IF(Allocation!BJ100="","",Allocation!BJ100)</f>
        <v>MBWAY_NAN</v>
      </c>
      <c r="C100" t="str">
        <f>IF(Allocation!BK100="","",Allocation!BK100)</f>
        <v>MBWAY</v>
      </c>
      <c r="D100" t="str">
        <f>IF(Allocation!BL100="","",Allocation!BL100)</f>
        <v>MAS_MGT</v>
      </c>
      <c r="E100" t="str">
        <f>IF(Allocation!BM100="","",Allocation!BM100)</f>
        <v>M2</v>
      </c>
      <c r="F100" t="str">
        <f>IF(Allocation!BN100="","",Allocation!BN100)</f>
        <v>ALT</v>
      </c>
      <c r="G100">
        <f>IF(Allocation!BO100="","",Allocation!BO100)</f>
        <v>56</v>
      </c>
      <c r="H100">
        <f>IF(Allocation!BP100="","",Allocation!BP100)</f>
        <v>3</v>
      </c>
      <c r="I100">
        <f>IF(Allocation!BQ100="","",Allocation!BQ100)</f>
        <v>420000</v>
      </c>
      <c r="J100">
        <f>IF(Allocation!CC100="","",Allocation!CC100)</f>
        <v>0</v>
      </c>
      <c r="K100">
        <f t="shared" si="19"/>
        <v>1260</v>
      </c>
      <c r="L100">
        <f t="shared" si="20"/>
        <v>279</v>
      </c>
      <c r="M100">
        <f t="shared" si="21"/>
        <v>12</v>
      </c>
      <c r="N100">
        <f t="shared" si="22"/>
        <v>2048260</v>
      </c>
      <c r="O100">
        <f t="shared" si="23"/>
        <v>5640</v>
      </c>
      <c r="P100">
        <f t="shared" si="24"/>
        <v>114</v>
      </c>
      <c r="Q100">
        <f t="shared" si="25"/>
        <v>1179</v>
      </c>
      <c r="R100">
        <f t="shared" si="26"/>
        <v>50</v>
      </c>
      <c r="S100">
        <f t="shared" si="27"/>
        <v>9032400</v>
      </c>
      <c r="T100">
        <f t="shared" si="28"/>
        <v>2933</v>
      </c>
      <c r="U100">
        <f t="shared" si="29"/>
        <v>135</v>
      </c>
      <c r="V100">
        <f t="shared" si="30"/>
        <v>21758770</v>
      </c>
      <c r="W100">
        <f>IF($A100="","",Allocation!CD100)</f>
        <v>138275</v>
      </c>
      <c r="X100">
        <f>IF($A100="","",Allocation!CE100)</f>
        <v>333028.5</v>
      </c>
      <c r="Y100">
        <f>IF($A100="","",Allocation!CF100)</f>
        <v>104412</v>
      </c>
      <c r="Z100">
        <f>IF($A100="","",Allocation!CG100)</f>
        <v>28666</v>
      </c>
      <c r="AA100">
        <f>IF($A100="","",Allocation!CH100)</f>
        <v>778750.02</v>
      </c>
      <c r="AB100">
        <f>IF($A100="","",Allocation!CI100)</f>
        <v>2760232</v>
      </c>
      <c r="AC100">
        <f>IF($A100="","",IF(Allocation!$N$4="VOL_EFF",$G100,IF(Allocation!$N$4="VOL_CLASS",$H100,$I100)))</f>
        <v>3</v>
      </c>
      <c r="AD100">
        <f>IF($A100="","",IF(Allocation!$N$4="VOL_EFF",$L100,IF(Allocation!$N$4="VOL_CLASS",$M100,$N100)))</f>
        <v>12</v>
      </c>
      <c r="AE100">
        <f>IF($A100="","",IF(Allocation!$N$3="VOL_EFF",$L100,IF(Allocation!$N$3="VOL_CLASS",$M100,$N100)))</f>
        <v>279</v>
      </c>
      <c r="AF100">
        <f>IF($A100="","",IF(Allocation!$N$3="VOL_EFF",$Q100,IF(Allocation!$N$3="VOL_CLASS",$R100,$S100)))</f>
        <v>1179</v>
      </c>
      <c r="AG100">
        <f>IF($A100="","",IF(Allocation!$N$1="VOL_EFF",$Q100,IF(Allocation!$N$1="VOL_CLASS",$R100,$S100)))</f>
        <v>1179</v>
      </c>
      <c r="AH100">
        <f>IF($A100="","",IF(Allocation!$N$1="VOL_EFF",$T100,IF(Allocation!$N$1="VOL_CLASS",$U100,$V100)))</f>
        <v>2933</v>
      </c>
      <c r="AI100">
        <f t="shared" si="31"/>
        <v>30891.223404255317</v>
      </c>
      <c r="AJ100">
        <f t="shared" si="32"/>
        <v>74399.984042553187</v>
      </c>
      <c r="AK100">
        <f t="shared" si="33"/>
        <v>20957.247311827959</v>
      </c>
      <c r="AL100">
        <f t="shared" si="34"/>
        <v>194687.505</v>
      </c>
      <c r="AM100">
        <f t="shared" si="35"/>
        <v>65641.384930105691</v>
      </c>
      <c r="AN100">
        <f t="shared" si="36"/>
        <v>19174.709660163731</v>
      </c>
      <c r="AO100">
        <f>IF($A100="","",Allocation!CJ100)</f>
        <v>580167</v>
      </c>
      <c r="AP100">
        <f>IF($A100="","",IF(Allocation!$N$2="VOL_EFF",$Q100,IF(Allocation!$N$2="VOL_CLASS",$R100,$S100)))</f>
        <v>9032400</v>
      </c>
      <c r="AQ100">
        <f>IF($A100="","",IF(Allocation!$N$2="VOL_EFF",$T100,IF(Allocation!$N$2="VOL_CLASS",$U100,$V100)))</f>
        <v>21758770</v>
      </c>
      <c r="AR100">
        <f t="shared" si="37"/>
        <v>14247.945651094089</v>
      </c>
      <c r="AS100" t="str">
        <f>IF($A100="","",$A100&amp;"|"&amp;Allocation!BG100)</f>
        <v>2025|ACT</v>
      </c>
    </row>
    <row r="101" spans="1:45" x14ac:dyDescent="0.45">
      <c r="A101" t="str">
        <f>IF(Allocation!BI101="","",Allocation!BI101)</f>
        <v>2025</v>
      </c>
      <c r="B101" t="str">
        <f>IF(Allocation!BJ101="","",Allocation!BJ101)</f>
        <v>MBWAY_PAR</v>
      </c>
      <c r="C101" t="str">
        <f>IF(Allocation!BK101="","",Allocation!BK101)</f>
        <v>MBWAY</v>
      </c>
      <c r="D101" t="str">
        <f>IF(Allocation!BL101="","",Allocation!BL101)</f>
        <v>BAC_MGT</v>
      </c>
      <c r="E101" t="str">
        <f>IF(Allocation!BM101="","",Allocation!BM101)</f>
        <v>B1</v>
      </c>
      <c r="F101" t="str">
        <f>IF(Allocation!BN101="","",Allocation!BN101)</f>
        <v>INIT</v>
      </c>
      <c r="G101">
        <f>IF(Allocation!BO101="","",Allocation!BO101)</f>
        <v>74</v>
      </c>
      <c r="H101">
        <f>IF(Allocation!BP101="","",Allocation!BP101)</f>
        <v>3</v>
      </c>
      <c r="I101">
        <f>IF(Allocation!BQ101="","",Allocation!BQ101)</f>
        <v>628260</v>
      </c>
      <c r="J101">
        <f>IF(Allocation!CC101="","",Allocation!CC101)</f>
        <v>74</v>
      </c>
      <c r="K101">
        <f t="shared" si="19"/>
        <v>1800</v>
      </c>
      <c r="L101">
        <f t="shared" si="20"/>
        <v>362</v>
      </c>
      <c r="M101">
        <f t="shared" si="21"/>
        <v>15</v>
      </c>
      <c r="N101">
        <f t="shared" si="22"/>
        <v>2974600</v>
      </c>
      <c r="O101">
        <f t="shared" si="23"/>
        <v>7200</v>
      </c>
      <c r="P101">
        <f t="shared" si="24"/>
        <v>148</v>
      </c>
      <c r="Q101">
        <f t="shared" si="25"/>
        <v>1179</v>
      </c>
      <c r="R101">
        <f t="shared" si="26"/>
        <v>50</v>
      </c>
      <c r="S101">
        <f t="shared" si="27"/>
        <v>9032400</v>
      </c>
      <c r="T101">
        <f t="shared" si="28"/>
        <v>2933</v>
      </c>
      <c r="U101">
        <f t="shared" si="29"/>
        <v>135</v>
      </c>
      <c r="V101">
        <f t="shared" si="30"/>
        <v>21758770</v>
      </c>
      <c r="W101">
        <f>IF($A101="","",Allocation!CD101)</f>
        <v>172844</v>
      </c>
      <c r="X101">
        <f>IF($A101="","",Allocation!CE101)</f>
        <v>484866.41</v>
      </c>
      <c r="Y101">
        <f>IF($A101="","",Allocation!CF101)</f>
        <v>135665</v>
      </c>
      <c r="Z101">
        <f>IF($A101="","",Allocation!CG101)</f>
        <v>62082</v>
      </c>
      <c r="AA101">
        <f>IF($A101="","",Allocation!CH101)</f>
        <v>1163910.23</v>
      </c>
      <c r="AB101">
        <f>IF($A101="","",Allocation!CI101)</f>
        <v>2760232</v>
      </c>
      <c r="AC101">
        <f>IF($A101="","",IF(Allocation!$N$4="VOL_EFF",$G101,IF(Allocation!$N$4="VOL_CLASS",$H101,$I101)))</f>
        <v>3</v>
      </c>
      <c r="AD101">
        <f>IF($A101="","",IF(Allocation!$N$4="VOL_EFF",$L101,IF(Allocation!$N$4="VOL_CLASS",$M101,$N101)))</f>
        <v>15</v>
      </c>
      <c r="AE101">
        <f>IF($A101="","",IF(Allocation!$N$3="VOL_EFF",$L101,IF(Allocation!$N$3="VOL_CLASS",$M101,$N101)))</f>
        <v>362</v>
      </c>
      <c r="AF101">
        <f>IF($A101="","",IF(Allocation!$N$3="VOL_EFF",$Q101,IF(Allocation!$N$3="VOL_CLASS",$R101,$S101)))</f>
        <v>1179</v>
      </c>
      <c r="AG101">
        <f>IF($A101="","",IF(Allocation!$N$1="VOL_EFF",$Q101,IF(Allocation!$N$1="VOL_CLASS",$R101,$S101)))</f>
        <v>1179</v>
      </c>
      <c r="AH101">
        <f>IF($A101="","",IF(Allocation!$N$1="VOL_EFF",$T101,IF(Allocation!$N$1="VOL_CLASS",$U101,$V101)))</f>
        <v>2933</v>
      </c>
      <c r="AI101">
        <f t="shared" si="31"/>
        <v>43211</v>
      </c>
      <c r="AJ101">
        <f t="shared" si="32"/>
        <v>121216.60249999999</v>
      </c>
      <c r="AK101">
        <f t="shared" si="33"/>
        <v>58773.624309392268</v>
      </c>
      <c r="AL101">
        <f t="shared" si="34"/>
        <v>232782.046</v>
      </c>
      <c r="AM101">
        <f t="shared" si="35"/>
        <v>68135.287009887499</v>
      </c>
      <c r="AN101">
        <f t="shared" si="36"/>
        <v>89352.174730695668</v>
      </c>
      <c r="AO101">
        <f>IF($A101="","",Allocation!CJ101)</f>
        <v>580167</v>
      </c>
      <c r="AP101">
        <f>IF($A101="","",IF(Allocation!$N$2="VOL_EFF",$Q101,IF(Allocation!$N$2="VOL_CLASS",$R101,$S101)))</f>
        <v>9032400</v>
      </c>
      <c r="AQ101">
        <f>IF($A101="","",IF(Allocation!$N$2="VOL_EFF",$T101,IF(Allocation!$N$2="VOL_CLASS",$U101,$V101)))</f>
        <v>21758770</v>
      </c>
      <c r="AR101">
        <f t="shared" si="37"/>
        <v>14789.265450024548</v>
      </c>
      <c r="AS101" t="str">
        <f>IF($A101="","",$A101&amp;"|"&amp;Allocation!BG101)</f>
        <v>2025|ACT</v>
      </c>
    </row>
    <row r="102" spans="1:45" x14ac:dyDescent="0.45">
      <c r="A102" t="str">
        <f>IF(Allocation!BI102="","",Allocation!BI102)</f>
        <v>2025</v>
      </c>
      <c r="B102" t="str">
        <f>IF(Allocation!BJ102="","",Allocation!BJ102)</f>
        <v>MBWAY_PAR</v>
      </c>
      <c r="C102" t="str">
        <f>IF(Allocation!BK102="","",Allocation!BK102)</f>
        <v>MBWAY</v>
      </c>
      <c r="D102" t="str">
        <f>IF(Allocation!BL102="","",Allocation!BL102)</f>
        <v>BAC_MGT</v>
      </c>
      <c r="E102" t="str">
        <f>IF(Allocation!BM102="","",Allocation!BM102)</f>
        <v>B2</v>
      </c>
      <c r="F102" t="str">
        <f>IF(Allocation!BN102="","",Allocation!BN102)</f>
        <v>ALT</v>
      </c>
      <c r="G102">
        <f>IF(Allocation!BO102="","",Allocation!BO102)</f>
        <v>72</v>
      </c>
      <c r="H102">
        <f>IF(Allocation!BP102="","",Allocation!BP102)</f>
        <v>3</v>
      </c>
      <c r="I102">
        <f>IF(Allocation!BQ102="","",Allocation!BQ102)</f>
        <v>564480</v>
      </c>
      <c r="J102">
        <f>IF(Allocation!CC102="","",Allocation!CC102)</f>
        <v>0</v>
      </c>
      <c r="K102">
        <f t="shared" si="19"/>
        <v>1440</v>
      </c>
      <c r="L102">
        <f t="shared" si="20"/>
        <v>362</v>
      </c>
      <c r="M102">
        <f t="shared" si="21"/>
        <v>15</v>
      </c>
      <c r="N102">
        <f t="shared" si="22"/>
        <v>2974600</v>
      </c>
      <c r="O102">
        <f t="shared" si="23"/>
        <v>7200</v>
      </c>
      <c r="P102">
        <f t="shared" si="24"/>
        <v>148</v>
      </c>
      <c r="Q102">
        <f t="shared" si="25"/>
        <v>1179</v>
      </c>
      <c r="R102">
        <f t="shared" si="26"/>
        <v>50</v>
      </c>
      <c r="S102">
        <f t="shared" si="27"/>
        <v>9032400</v>
      </c>
      <c r="T102">
        <f t="shared" si="28"/>
        <v>2933</v>
      </c>
      <c r="U102">
        <f t="shared" si="29"/>
        <v>135</v>
      </c>
      <c r="V102">
        <f t="shared" si="30"/>
        <v>21758770</v>
      </c>
      <c r="W102">
        <f>IF($A102="","",Allocation!CD102)</f>
        <v>172844</v>
      </c>
      <c r="X102">
        <f>IF($A102="","",Allocation!CE102)</f>
        <v>484866.41</v>
      </c>
      <c r="Y102">
        <f>IF($A102="","",Allocation!CF102)</f>
        <v>135665</v>
      </c>
      <c r="Z102">
        <f>IF($A102="","",Allocation!CG102)</f>
        <v>62082</v>
      </c>
      <c r="AA102">
        <f>IF($A102="","",Allocation!CH102)</f>
        <v>1163910.23</v>
      </c>
      <c r="AB102">
        <f>IF($A102="","",Allocation!CI102)</f>
        <v>2760232</v>
      </c>
      <c r="AC102">
        <f>IF($A102="","",IF(Allocation!$N$4="VOL_EFF",$G102,IF(Allocation!$N$4="VOL_CLASS",$H102,$I102)))</f>
        <v>3</v>
      </c>
      <c r="AD102">
        <f>IF($A102="","",IF(Allocation!$N$4="VOL_EFF",$L102,IF(Allocation!$N$4="VOL_CLASS",$M102,$N102)))</f>
        <v>15</v>
      </c>
      <c r="AE102">
        <f>IF($A102="","",IF(Allocation!$N$3="VOL_EFF",$L102,IF(Allocation!$N$3="VOL_CLASS",$M102,$N102)))</f>
        <v>362</v>
      </c>
      <c r="AF102">
        <f>IF($A102="","",IF(Allocation!$N$3="VOL_EFF",$Q102,IF(Allocation!$N$3="VOL_CLASS",$R102,$S102)))</f>
        <v>1179</v>
      </c>
      <c r="AG102">
        <f>IF($A102="","",IF(Allocation!$N$1="VOL_EFF",$Q102,IF(Allocation!$N$1="VOL_CLASS",$R102,$S102)))</f>
        <v>1179</v>
      </c>
      <c r="AH102">
        <f>IF($A102="","",IF(Allocation!$N$1="VOL_EFF",$T102,IF(Allocation!$N$1="VOL_CLASS",$U102,$V102)))</f>
        <v>2933</v>
      </c>
      <c r="AI102">
        <f t="shared" si="31"/>
        <v>34568.800000000003</v>
      </c>
      <c r="AJ102">
        <f t="shared" si="32"/>
        <v>96973.282000000007</v>
      </c>
      <c r="AK102">
        <f t="shared" si="33"/>
        <v>26983.093922651933</v>
      </c>
      <c r="AL102">
        <f t="shared" si="34"/>
        <v>232782.046</v>
      </c>
      <c r="AM102">
        <f t="shared" si="35"/>
        <v>68135.287009887499</v>
      </c>
      <c r="AN102">
        <f t="shared" si="36"/>
        <v>90248.225617435994</v>
      </c>
      <c r="AO102">
        <f>IF($A102="","",Allocation!CJ102)</f>
        <v>580167</v>
      </c>
      <c r="AP102">
        <f>IF($A102="","",IF(Allocation!$N$2="VOL_EFF",$Q102,IF(Allocation!$N$2="VOL_CLASS",$R102,$S102)))</f>
        <v>9032400</v>
      </c>
      <c r="AQ102">
        <f>IF($A102="","",IF(Allocation!$N$2="VOL_EFF",$T102,IF(Allocation!$N$2="VOL_CLASS",$U102,$V102)))</f>
        <v>21758770</v>
      </c>
      <c r="AR102">
        <f t="shared" si="37"/>
        <v>14789.265450024548</v>
      </c>
      <c r="AS102" t="str">
        <f>IF($A102="","",$A102&amp;"|"&amp;Allocation!BG102)</f>
        <v>2025|ACT</v>
      </c>
    </row>
    <row r="103" spans="1:45" x14ac:dyDescent="0.45">
      <c r="A103" t="str">
        <f>IF(Allocation!BI103="","",Allocation!BI103)</f>
        <v>2025</v>
      </c>
      <c r="B103" t="str">
        <f>IF(Allocation!BJ103="","",Allocation!BJ103)</f>
        <v>MBWAY_PAR</v>
      </c>
      <c r="C103" t="str">
        <f>IF(Allocation!BK103="","",Allocation!BK103)</f>
        <v>MBWAY</v>
      </c>
      <c r="D103" t="str">
        <f>IF(Allocation!BL103="","",Allocation!BL103)</f>
        <v>BAC_MGT</v>
      </c>
      <c r="E103" t="str">
        <f>IF(Allocation!BM103="","",Allocation!BM103)</f>
        <v>B3</v>
      </c>
      <c r="F103" t="str">
        <f>IF(Allocation!BN103="","",Allocation!BN103)</f>
        <v>ALT</v>
      </c>
      <c r="G103">
        <f>IF(Allocation!BO103="","",Allocation!BO103)</f>
        <v>70</v>
      </c>
      <c r="H103">
        <f>IF(Allocation!BP103="","",Allocation!BP103)</f>
        <v>3</v>
      </c>
      <c r="I103">
        <f>IF(Allocation!BQ103="","",Allocation!BQ103)</f>
        <v>548800</v>
      </c>
      <c r="J103">
        <f>IF(Allocation!CC103="","",Allocation!CC103)</f>
        <v>0</v>
      </c>
      <c r="K103">
        <f t="shared" si="19"/>
        <v>1440</v>
      </c>
      <c r="L103">
        <f t="shared" si="20"/>
        <v>362</v>
      </c>
      <c r="M103">
        <f t="shared" si="21"/>
        <v>15</v>
      </c>
      <c r="N103">
        <f t="shared" si="22"/>
        <v>2974600</v>
      </c>
      <c r="O103">
        <f t="shared" si="23"/>
        <v>7200</v>
      </c>
      <c r="P103">
        <f t="shared" si="24"/>
        <v>148</v>
      </c>
      <c r="Q103">
        <f t="shared" si="25"/>
        <v>1179</v>
      </c>
      <c r="R103">
        <f t="shared" si="26"/>
        <v>50</v>
      </c>
      <c r="S103">
        <f t="shared" si="27"/>
        <v>9032400</v>
      </c>
      <c r="T103">
        <f t="shared" si="28"/>
        <v>2933</v>
      </c>
      <c r="U103">
        <f t="shared" si="29"/>
        <v>135</v>
      </c>
      <c r="V103">
        <f t="shared" si="30"/>
        <v>21758770</v>
      </c>
      <c r="W103">
        <f>IF($A103="","",Allocation!CD103)</f>
        <v>172844</v>
      </c>
      <c r="X103">
        <f>IF($A103="","",Allocation!CE103)</f>
        <v>484866.41</v>
      </c>
      <c r="Y103">
        <f>IF($A103="","",Allocation!CF103)</f>
        <v>135665</v>
      </c>
      <c r="Z103">
        <f>IF($A103="","",Allocation!CG103)</f>
        <v>62082</v>
      </c>
      <c r="AA103">
        <f>IF($A103="","",Allocation!CH103)</f>
        <v>1163910.23</v>
      </c>
      <c r="AB103">
        <f>IF($A103="","",Allocation!CI103)</f>
        <v>2760232</v>
      </c>
      <c r="AC103">
        <f>IF($A103="","",IF(Allocation!$N$4="VOL_EFF",$G103,IF(Allocation!$N$4="VOL_CLASS",$H103,$I103)))</f>
        <v>3</v>
      </c>
      <c r="AD103">
        <f>IF($A103="","",IF(Allocation!$N$4="VOL_EFF",$L103,IF(Allocation!$N$4="VOL_CLASS",$M103,$N103)))</f>
        <v>15</v>
      </c>
      <c r="AE103">
        <f>IF($A103="","",IF(Allocation!$N$3="VOL_EFF",$L103,IF(Allocation!$N$3="VOL_CLASS",$M103,$N103)))</f>
        <v>362</v>
      </c>
      <c r="AF103">
        <f>IF($A103="","",IF(Allocation!$N$3="VOL_EFF",$Q103,IF(Allocation!$N$3="VOL_CLASS",$R103,$S103)))</f>
        <v>1179</v>
      </c>
      <c r="AG103">
        <f>IF($A103="","",IF(Allocation!$N$1="VOL_EFF",$Q103,IF(Allocation!$N$1="VOL_CLASS",$R103,$S103)))</f>
        <v>1179</v>
      </c>
      <c r="AH103">
        <f>IF($A103="","",IF(Allocation!$N$1="VOL_EFF",$T103,IF(Allocation!$N$1="VOL_CLASS",$U103,$V103)))</f>
        <v>2933</v>
      </c>
      <c r="AI103">
        <f t="shared" si="31"/>
        <v>34568.800000000003</v>
      </c>
      <c r="AJ103">
        <f t="shared" si="32"/>
        <v>96973.282000000007</v>
      </c>
      <c r="AK103">
        <f t="shared" si="33"/>
        <v>26233.563535911602</v>
      </c>
      <c r="AL103">
        <f t="shared" si="34"/>
        <v>232782.046</v>
      </c>
      <c r="AM103">
        <f t="shared" si="35"/>
        <v>68135.287009887499</v>
      </c>
      <c r="AN103">
        <f t="shared" si="36"/>
        <v>75317.756004176277</v>
      </c>
      <c r="AO103">
        <f>IF($A103="","",Allocation!CJ103)</f>
        <v>580167</v>
      </c>
      <c r="AP103">
        <f>IF($A103="","",IF(Allocation!$N$2="VOL_EFF",$Q103,IF(Allocation!$N$2="VOL_CLASS",$R103,$S103)))</f>
        <v>9032400</v>
      </c>
      <c r="AQ103">
        <f>IF($A103="","",IF(Allocation!$N$2="VOL_EFF",$T103,IF(Allocation!$N$2="VOL_CLASS",$U103,$V103)))</f>
        <v>21758770</v>
      </c>
      <c r="AR103">
        <f t="shared" si="37"/>
        <v>14789.265450024548</v>
      </c>
      <c r="AS103" t="str">
        <f>IF($A103="","",$A103&amp;"|"&amp;Allocation!BG103)</f>
        <v>2025|ACT</v>
      </c>
    </row>
    <row r="104" spans="1:45" x14ac:dyDescent="0.45">
      <c r="A104" t="str">
        <f>IF(Allocation!BI104="","",Allocation!BI104)</f>
        <v>2025</v>
      </c>
      <c r="B104" t="str">
        <f>IF(Allocation!BJ104="","",Allocation!BJ104)</f>
        <v>MBWAY_PAR</v>
      </c>
      <c r="C104" t="str">
        <f>IF(Allocation!BK104="","",Allocation!BK104)</f>
        <v>MBWAY</v>
      </c>
      <c r="D104" t="str">
        <f>IF(Allocation!BL104="","",Allocation!BL104)</f>
        <v>MAS_MGT</v>
      </c>
      <c r="E104" t="str">
        <f>IF(Allocation!BM104="","",Allocation!BM104)</f>
        <v>M1</v>
      </c>
      <c r="F104" t="str">
        <f>IF(Allocation!BN104="","",Allocation!BN104)</f>
        <v>ALT</v>
      </c>
      <c r="G104">
        <f>IF(Allocation!BO104="","",Allocation!BO104)</f>
        <v>74</v>
      </c>
      <c r="H104">
        <f>IF(Allocation!BP104="","",Allocation!BP104)</f>
        <v>3</v>
      </c>
      <c r="I104">
        <f>IF(Allocation!BQ104="","",Allocation!BQ104)</f>
        <v>628260</v>
      </c>
      <c r="J104">
        <f>IF(Allocation!CC104="","",Allocation!CC104)</f>
        <v>74</v>
      </c>
      <c r="K104">
        <f t="shared" si="19"/>
        <v>1260</v>
      </c>
      <c r="L104">
        <f t="shared" si="20"/>
        <v>362</v>
      </c>
      <c r="M104">
        <f t="shared" si="21"/>
        <v>15</v>
      </c>
      <c r="N104">
        <f t="shared" si="22"/>
        <v>2974600</v>
      </c>
      <c r="O104">
        <f t="shared" si="23"/>
        <v>7200</v>
      </c>
      <c r="P104">
        <f t="shared" si="24"/>
        <v>148</v>
      </c>
      <c r="Q104">
        <f t="shared" si="25"/>
        <v>1179</v>
      </c>
      <c r="R104">
        <f t="shared" si="26"/>
        <v>50</v>
      </c>
      <c r="S104">
        <f t="shared" si="27"/>
        <v>9032400</v>
      </c>
      <c r="T104">
        <f t="shared" si="28"/>
        <v>2933</v>
      </c>
      <c r="U104">
        <f t="shared" si="29"/>
        <v>135</v>
      </c>
      <c r="V104">
        <f t="shared" si="30"/>
        <v>21758770</v>
      </c>
      <c r="W104">
        <f>IF($A104="","",Allocation!CD104)</f>
        <v>172844</v>
      </c>
      <c r="X104">
        <f>IF($A104="","",Allocation!CE104)</f>
        <v>484866.41</v>
      </c>
      <c r="Y104">
        <f>IF($A104="","",Allocation!CF104)</f>
        <v>135665</v>
      </c>
      <c r="Z104">
        <f>IF($A104="","",Allocation!CG104)</f>
        <v>62082</v>
      </c>
      <c r="AA104">
        <f>IF($A104="","",Allocation!CH104)</f>
        <v>1163910.23</v>
      </c>
      <c r="AB104">
        <f>IF($A104="","",Allocation!CI104)</f>
        <v>2760232</v>
      </c>
      <c r="AC104">
        <f>IF($A104="","",IF(Allocation!$N$4="VOL_EFF",$G104,IF(Allocation!$N$4="VOL_CLASS",$H104,$I104)))</f>
        <v>3</v>
      </c>
      <c r="AD104">
        <f>IF($A104="","",IF(Allocation!$N$4="VOL_EFF",$L104,IF(Allocation!$N$4="VOL_CLASS",$M104,$N104)))</f>
        <v>15</v>
      </c>
      <c r="AE104">
        <f>IF($A104="","",IF(Allocation!$N$3="VOL_EFF",$L104,IF(Allocation!$N$3="VOL_CLASS",$M104,$N104)))</f>
        <v>362</v>
      </c>
      <c r="AF104">
        <f>IF($A104="","",IF(Allocation!$N$3="VOL_EFF",$Q104,IF(Allocation!$N$3="VOL_CLASS",$R104,$S104)))</f>
        <v>1179</v>
      </c>
      <c r="AG104">
        <f>IF($A104="","",IF(Allocation!$N$1="VOL_EFF",$Q104,IF(Allocation!$N$1="VOL_CLASS",$R104,$S104)))</f>
        <v>1179</v>
      </c>
      <c r="AH104">
        <f>IF($A104="","",IF(Allocation!$N$1="VOL_EFF",$T104,IF(Allocation!$N$1="VOL_CLASS",$U104,$V104)))</f>
        <v>2933</v>
      </c>
      <c r="AI104">
        <f t="shared" si="31"/>
        <v>30247.699999999997</v>
      </c>
      <c r="AJ104">
        <f t="shared" si="32"/>
        <v>84851.621749999991</v>
      </c>
      <c r="AK104">
        <f t="shared" si="33"/>
        <v>58773.624309392268</v>
      </c>
      <c r="AL104">
        <f t="shared" si="34"/>
        <v>232782.046</v>
      </c>
      <c r="AM104">
        <f t="shared" si="35"/>
        <v>68135.287009887499</v>
      </c>
      <c r="AN104">
        <f t="shared" si="36"/>
        <v>138680.45548069564</v>
      </c>
      <c r="AO104">
        <f>IF($A104="","",Allocation!CJ104)</f>
        <v>580167</v>
      </c>
      <c r="AP104">
        <f>IF($A104="","",IF(Allocation!$N$2="VOL_EFF",$Q104,IF(Allocation!$N$2="VOL_CLASS",$R104,$S104)))</f>
        <v>9032400</v>
      </c>
      <c r="AQ104">
        <f>IF($A104="","",IF(Allocation!$N$2="VOL_EFF",$T104,IF(Allocation!$N$2="VOL_CLASS",$U104,$V104)))</f>
        <v>21758770</v>
      </c>
      <c r="AR104">
        <f t="shared" si="37"/>
        <v>14789.265450024548</v>
      </c>
      <c r="AS104" t="str">
        <f>IF($A104="","",$A104&amp;"|"&amp;Allocation!BG104)</f>
        <v>2025|ACT</v>
      </c>
    </row>
    <row r="105" spans="1:45" x14ac:dyDescent="0.45">
      <c r="A105" t="str">
        <f>IF(Allocation!BI105="","",Allocation!BI105)</f>
        <v>2025</v>
      </c>
      <c r="B105" t="str">
        <f>IF(Allocation!BJ105="","",Allocation!BJ105)</f>
        <v>MBWAY_PAR</v>
      </c>
      <c r="C105" t="str">
        <f>IF(Allocation!BK105="","",Allocation!BK105)</f>
        <v>MBWAY</v>
      </c>
      <c r="D105" t="str">
        <f>IF(Allocation!BL105="","",Allocation!BL105)</f>
        <v>MAS_MGT</v>
      </c>
      <c r="E105" t="str">
        <f>IF(Allocation!BM105="","",Allocation!BM105)</f>
        <v>M2</v>
      </c>
      <c r="F105" t="str">
        <f>IF(Allocation!BN105="","",Allocation!BN105)</f>
        <v>ALT</v>
      </c>
      <c r="G105">
        <f>IF(Allocation!BO105="","",Allocation!BO105)</f>
        <v>72</v>
      </c>
      <c r="H105">
        <f>IF(Allocation!BP105="","",Allocation!BP105)</f>
        <v>3</v>
      </c>
      <c r="I105">
        <f>IF(Allocation!BQ105="","",Allocation!BQ105)</f>
        <v>604800</v>
      </c>
      <c r="J105">
        <f>IF(Allocation!CC105="","",Allocation!CC105)</f>
        <v>0</v>
      </c>
      <c r="K105">
        <f t="shared" si="19"/>
        <v>1260</v>
      </c>
      <c r="L105">
        <f t="shared" si="20"/>
        <v>362</v>
      </c>
      <c r="M105">
        <f t="shared" si="21"/>
        <v>15</v>
      </c>
      <c r="N105">
        <f t="shared" si="22"/>
        <v>2974600</v>
      </c>
      <c r="O105">
        <f t="shared" si="23"/>
        <v>7200</v>
      </c>
      <c r="P105">
        <f t="shared" si="24"/>
        <v>148</v>
      </c>
      <c r="Q105">
        <f t="shared" si="25"/>
        <v>1179</v>
      </c>
      <c r="R105">
        <f t="shared" si="26"/>
        <v>50</v>
      </c>
      <c r="S105">
        <f t="shared" si="27"/>
        <v>9032400</v>
      </c>
      <c r="T105">
        <f t="shared" si="28"/>
        <v>2933</v>
      </c>
      <c r="U105">
        <f t="shared" si="29"/>
        <v>135</v>
      </c>
      <c r="V105">
        <f t="shared" si="30"/>
        <v>21758770</v>
      </c>
      <c r="W105">
        <f>IF($A105="","",Allocation!CD105)</f>
        <v>172844</v>
      </c>
      <c r="X105">
        <f>IF($A105="","",Allocation!CE105)</f>
        <v>484866.41</v>
      </c>
      <c r="Y105">
        <f>IF($A105="","",Allocation!CF105)</f>
        <v>135665</v>
      </c>
      <c r="Z105">
        <f>IF($A105="","",Allocation!CG105)</f>
        <v>62082</v>
      </c>
      <c r="AA105">
        <f>IF($A105="","",Allocation!CH105)</f>
        <v>1163910.23</v>
      </c>
      <c r="AB105">
        <f>IF($A105="","",Allocation!CI105)</f>
        <v>2760232</v>
      </c>
      <c r="AC105">
        <f>IF($A105="","",IF(Allocation!$N$4="VOL_EFF",$G105,IF(Allocation!$N$4="VOL_CLASS",$H105,$I105)))</f>
        <v>3</v>
      </c>
      <c r="AD105">
        <f>IF($A105="","",IF(Allocation!$N$4="VOL_EFF",$L105,IF(Allocation!$N$4="VOL_CLASS",$M105,$N105)))</f>
        <v>15</v>
      </c>
      <c r="AE105">
        <f>IF($A105="","",IF(Allocation!$N$3="VOL_EFF",$L105,IF(Allocation!$N$3="VOL_CLASS",$M105,$N105)))</f>
        <v>362</v>
      </c>
      <c r="AF105">
        <f>IF($A105="","",IF(Allocation!$N$3="VOL_EFF",$Q105,IF(Allocation!$N$3="VOL_CLASS",$R105,$S105)))</f>
        <v>1179</v>
      </c>
      <c r="AG105">
        <f>IF($A105="","",IF(Allocation!$N$1="VOL_EFF",$Q105,IF(Allocation!$N$1="VOL_CLASS",$R105,$S105)))</f>
        <v>1179</v>
      </c>
      <c r="AH105">
        <f>IF($A105="","",IF(Allocation!$N$1="VOL_EFF",$T105,IF(Allocation!$N$1="VOL_CLASS",$U105,$V105)))</f>
        <v>2933</v>
      </c>
      <c r="AI105">
        <f t="shared" si="31"/>
        <v>30247.699999999997</v>
      </c>
      <c r="AJ105">
        <f t="shared" si="32"/>
        <v>84851.621749999991</v>
      </c>
      <c r="AK105">
        <f t="shared" si="33"/>
        <v>26983.093922651933</v>
      </c>
      <c r="AL105">
        <f t="shared" si="34"/>
        <v>232782.046</v>
      </c>
      <c r="AM105">
        <f t="shared" si="35"/>
        <v>68135.287009887499</v>
      </c>
      <c r="AN105">
        <f t="shared" si="36"/>
        <v>147010.98586743599</v>
      </c>
      <c r="AO105">
        <f>IF($A105="","",Allocation!CJ105)</f>
        <v>580167</v>
      </c>
      <c r="AP105">
        <f>IF($A105="","",IF(Allocation!$N$2="VOL_EFF",$Q105,IF(Allocation!$N$2="VOL_CLASS",$R105,$S105)))</f>
        <v>9032400</v>
      </c>
      <c r="AQ105">
        <f>IF($A105="","",IF(Allocation!$N$2="VOL_EFF",$T105,IF(Allocation!$N$2="VOL_CLASS",$U105,$V105)))</f>
        <v>21758770</v>
      </c>
      <c r="AR105">
        <f t="shared" si="37"/>
        <v>14789.265450024548</v>
      </c>
      <c r="AS105" t="str">
        <f>IF($A105="","",$A105&amp;"|"&amp;Allocation!BG105)</f>
        <v>2025|ACT</v>
      </c>
    </row>
    <row r="106" spans="1:45" x14ac:dyDescent="0.45">
      <c r="A106" t="str">
        <f>IF(Allocation!BI106="","",Allocation!BI106)</f>
        <v>2025</v>
      </c>
      <c r="B106" t="str">
        <f>IF(Allocation!BJ106="","",Allocation!BJ106)</f>
        <v>PIGIER_BOR</v>
      </c>
      <c r="C106" t="str">
        <f>IF(Allocation!BK106="","",Allocation!BK106)</f>
        <v>PIGIER</v>
      </c>
      <c r="D106" t="str">
        <f>IF(Allocation!BL106="","",Allocation!BL106)</f>
        <v>BAC_RH</v>
      </c>
      <c r="E106" t="str">
        <f>IF(Allocation!BM106="","",Allocation!BM106)</f>
        <v>B2</v>
      </c>
      <c r="F106" t="str">
        <f>IF(Allocation!BN106="","",Allocation!BN106)</f>
        <v>ALT</v>
      </c>
      <c r="G106">
        <f>IF(Allocation!BO106="","",Allocation!BO106)</f>
        <v>33</v>
      </c>
      <c r="H106">
        <f>IF(Allocation!BP106="","",Allocation!BP106)</f>
        <v>2</v>
      </c>
      <c r="I106">
        <f>IF(Allocation!BQ106="","",Allocation!BQ106)</f>
        <v>224070</v>
      </c>
      <c r="J106">
        <f>IF(Allocation!CC106="","",Allocation!CC106)</f>
        <v>0</v>
      </c>
      <c r="K106">
        <f t="shared" si="19"/>
        <v>960</v>
      </c>
      <c r="L106">
        <f t="shared" si="20"/>
        <v>166</v>
      </c>
      <c r="M106">
        <f t="shared" si="21"/>
        <v>10</v>
      </c>
      <c r="N106">
        <f t="shared" si="22"/>
        <v>1068270</v>
      </c>
      <c r="O106">
        <f t="shared" si="23"/>
        <v>5680</v>
      </c>
      <c r="P106">
        <f t="shared" si="24"/>
        <v>68</v>
      </c>
      <c r="Q106">
        <f t="shared" si="25"/>
        <v>377</v>
      </c>
      <c r="R106">
        <f t="shared" si="26"/>
        <v>20</v>
      </c>
      <c r="S106">
        <f t="shared" si="27"/>
        <v>2537610</v>
      </c>
      <c r="T106">
        <f t="shared" si="28"/>
        <v>2933</v>
      </c>
      <c r="U106">
        <f t="shared" si="29"/>
        <v>135</v>
      </c>
      <c r="V106">
        <f t="shared" si="30"/>
        <v>21758770</v>
      </c>
      <c r="W106">
        <f>IF($A106="","",Allocation!CD106)</f>
        <v>92183</v>
      </c>
      <c r="X106">
        <f>IF($A106="","",Allocation!CE106)</f>
        <v>175123.55</v>
      </c>
      <c r="Y106">
        <f>IF($A106="","",Allocation!CF106)</f>
        <v>50430</v>
      </c>
      <c r="Z106">
        <f>IF($A106="","",Allocation!CG106)</f>
        <v>19971</v>
      </c>
      <c r="AA106">
        <f>IF($A106="","",Allocation!CH106)</f>
        <v>333578.02</v>
      </c>
      <c r="AB106">
        <f>IF($A106="","",Allocation!CI106)</f>
        <v>2760232</v>
      </c>
      <c r="AC106">
        <f>IF($A106="","",IF(Allocation!$N$4="VOL_EFF",$G106,IF(Allocation!$N$4="VOL_CLASS",$H106,$I106)))</f>
        <v>2</v>
      </c>
      <c r="AD106">
        <f>IF($A106="","",IF(Allocation!$N$4="VOL_EFF",$L106,IF(Allocation!$N$4="VOL_CLASS",$M106,$N106)))</f>
        <v>10</v>
      </c>
      <c r="AE106">
        <f>IF($A106="","",IF(Allocation!$N$3="VOL_EFF",$L106,IF(Allocation!$N$3="VOL_CLASS",$M106,$N106)))</f>
        <v>166</v>
      </c>
      <c r="AF106">
        <f>IF($A106="","",IF(Allocation!$N$3="VOL_EFF",$Q106,IF(Allocation!$N$3="VOL_CLASS",$R106,$S106)))</f>
        <v>377</v>
      </c>
      <c r="AG106">
        <f>IF($A106="","",IF(Allocation!$N$1="VOL_EFF",$Q106,IF(Allocation!$N$1="VOL_CLASS",$R106,$S106)))</f>
        <v>377</v>
      </c>
      <c r="AH106">
        <f>IF($A106="","",IF(Allocation!$N$1="VOL_EFF",$T106,IF(Allocation!$N$1="VOL_CLASS",$U106,$V106)))</f>
        <v>2933</v>
      </c>
      <c r="AI106">
        <f t="shared" si="31"/>
        <v>15580.225352112675</v>
      </c>
      <c r="AJ106">
        <f t="shared" si="32"/>
        <v>29598.346478873238</v>
      </c>
      <c r="AK106">
        <f t="shared" si="33"/>
        <v>10025.240963855422</v>
      </c>
      <c r="AL106">
        <f t="shared" si="34"/>
        <v>66715.604000000007</v>
      </c>
      <c r="AM106">
        <f t="shared" si="35"/>
        <v>31244.358131605866</v>
      </c>
      <c r="AN106">
        <f t="shared" si="36"/>
        <v>64947.679141779838</v>
      </c>
      <c r="AO106">
        <f>IF($A106="","",Allocation!CJ106)</f>
        <v>580167</v>
      </c>
      <c r="AP106">
        <f>IF($A106="","",IF(Allocation!$N$2="VOL_EFF",$Q106,IF(Allocation!$N$2="VOL_CLASS",$R106,$S106)))</f>
        <v>2537610</v>
      </c>
      <c r="AQ106">
        <f>IF($A106="","",IF(Allocation!$N$2="VOL_EFF",$T106,IF(Allocation!$N$2="VOL_CLASS",$U106,$V106)))</f>
        <v>21758770</v>
      </c>
      <c r="AR106">
        <f t="shared" si="37"/>
        <v>5958.5459317729492</v>
      </c>
      <c r="AS106" t="str">
        <f>IF($A106="","",$A106&amp;"|"&amp;Allocation!BG106)</f>
        <v>2025|ACT</v>
      </c>
    </row>
    <row r="107" spans="1:45" x14ac:dyDescent="0.45">
      <c r="A107" t="str">
        <f>IF(Allocation!BI107="","",Allocation!BI107)</f>
        <v>2025</v>
      </c>
      <c r="B107" t="str">
        <f>IF(Allocation!BJ107="","",Allocation!BJ107)</f>
        <v>PIGIER_BOR</v>
      </c>
      <c r="C107" t="str">
        <f>IF(Allocation!BK107="","",Allocation!BK107)</f>
        <v>PIGIER</v>
      </c>
      <c r="D107" t="str">
        <f>IF(Allocation!BL107="","",Allocation!BL107)</f>
        <v>BTS_GES</v>
      </c>
      <c r="E107" t="str">
        <f>IF(Allocation!BM107="","",Allocation!BM107)</f>
        <v>BTS1</v>
      </c>
      <c r="F107" t="str">
        <f>IF(Allocation!BN107="","",Allocation!BN107)</f>
        <v>ALT</v>
      </c>
      <c r="G107">
        <f>IF(Allocation!BO107="","",Allocation!BO107)</f>
        <v>34</v>
      </c>
      <c r="H107">
        <f>IF(Allocation!BP107="","",Allocation!BP107)</f>
        <v>2</v>
      </c>
      <c r="I107">
        <f>IF(Allocation!BQ107="","",Allocation!BQ107)</f>
        <v>200940</v>
      </c>
      <c r="J107">
        <f>IF(Allocation!CC107="","",Allocation!CC107)</f>
        <v>34</v>
      </c>
      <c r="K107">
        <f t="shared" si="19"/>
        <v>1400</v>
      </c>
      <c r="L107">
        <f t="shared" si="20"/>
        <v>166</v>
      </c>
      <c r="M107">
        <f t="shared" si="21"/>
        <v>10</v>
      </c>
      <c r="N107">
        <f t="shared" si="22"/>
        <v>1068270</v>
      </c>
      <c r="O107">
        <f t="shared" si="23"/>
        <v>5680</v>
      </c>
      <c r="P107">
        <f t="shared" si="24"/>
        <v>68</v>
      </c>
      <c r="Q107">
        <f t="shared" si="25"/>
        <v>377</v>
      </c>
      <c r="R107">
        <f t="shared" si="26"/>
        <v>20</v>
      </c>
      <c r="S107">
        <f t="shared" si="27"/>
        <v>2537610</v>
      </c>
      <c r="T107">
        <f t="shared" si="28"/>
        <v>2933</v>
      </c>
      <c r="U107">
        <f t="shared" si="29"/>
        <v>135</v>
      </c>
      <c r="V107">
        <f t="shared" si="30"/>
        <v>21758770</v>
      </c>
      <c r="W107">
        <f>IF($A107="","",Allocation!CD107)</f>
        <v>92183</v>
      </c>
      <c r="X107">
        <f>IF($A107="","",Allocation!CE107)</f>
        <v>175123.55</v>
      </c>
      <c r="Y107">
        <f>IF($A107="","",Allocation!CF107)</f>
        <v>50430</v>
      </c>
      <c r="Z107">
        <f>IF($A107="","",Allocation!CG107)</f>
        <v>19971</v>
      </c>
      <c r="AA107">
        <f>IF($A107="","",Allocation!CH107)</f>
        <v>333578.02</v>
      </c>
      <c r="AB107">
        <f>IF($A107="","",Allocation!CI107)</f>
        <v>2760232</v>
      </c>
      <c r="AC107">
        <f>IF($A107="","",IF(Allocation!$N$4="VOL_EFF",$G107,IF(Allocation!$N$4="VOL_CLASS",$H107,$I107)))</f>
        <v>2</v>
      </c>
      <c r="AD107">
        <f>IF($A107="","",IF(Allocation!$N$4="VOL_EFF",$L107,IF(Allocation!$N$4="VOL_CLASS",$M107,$N107)))</f>
        <v>10</v>
      </c>
      <c r="AE107">
        <f>IF($A107="","",IF(Allocation!$N$3="VOL_EFF",$L107,IF(Allocation!$N$3="VOL_CLASS",$M107,$N107)))</f>
        <v>166</v>
      </c>
      <c r="AF107">
        <f>IF($A107="","",IF(Allocation!$N$3="VOL_EFF",$Q107,IF(Allocation!$N$3="VOL_CLASS",$R107,$S107)))</f>
        <v>377</v>
      </c>
      <c r="AG107">
        <f>IF($A107="","",IF(Allocation!$N$1="VOL_EFF",$Q107,IF(Allocation!$N$1="VOL_CLASS",$R107,$S107)))</f>
        <v>377</v>
      </c>
      <c r="AH107">
        <f>IF($A107="","",IF(Allocation!$N$1="VOL_EFF",$T107,IF(Allocation!$N$1="VOL_CLASS",$U107,$V107)))</f>
        <v>2933</v>
      </c>
      <c r="AI107">
        <f t="shared" si="31"/>
        <v>22721.161971830985</v>
      </c>
      <c r="AJ107">
        <f t="shared" si="32"/>
        <v>43164.255281690137</v>
      </c>
      <c r="AK107">
        <f t="shared" si="33"/>
        <v>20314.536144578313</v>
      </c>
      <c r="AL107">
        <f t="shared" si="34"/>
        <v>66715.604000000007</v>
      </c>
      <c r="AM107">
        <f t="shared" si="35"/>
        <v>31244.358131605866</v>
      </c>
      <c r="AN107">
        <f t="shared" si="36"/>
        <v>10821.538538521738</v>
      </c>
      <c r="AO107">
        <f>IF($A107="","",Allocation!CJ107)</f>
        <v>580167</v>
      </c>
      <c r="AP107">
        <f>IF($A107="","",IF(Allocation!$N$2="VOL_EFF",$Q107,IF(Allocation!$N$2="VOL_CLASS",$R107,$S107)))</f>
        <v>2537610</v>
      </c>
      <c r="AQ107">
        <f>IF($A107="","",IF(Allocation!$N$2="VOL_EFF",$T107,IF(Allocation!$N$2="VOL_CLASS",$U107,$V107)))</f>
        <v>21758770</v>
      </c>
      <c r="AR107">
        <f t="shared" si="37"/>
        <v>5958.5459317729492</v>
      </c>
      <c r="AS107" t="str">
        <f>IF($A107="","",$A107&amp;"|"&amp;Allocation!BG107)</f>
        <v>2025|ACT</v>
      </c>
    </row>
    <row r="108" spans="1:45" x14ac:dyDescent="0.45">
      <c r="A108" t="str">
        <f>IF(Allocation!BI108="","",Allocation!BI108)</f>
        <v>2025</v>
      </c>
      <c r="B108" t="str">
        <f>IF(Allocation!BJ108="","",Allocation!BJ108)</f>
        <v>PIGIER_BOR</v>
      </c>
      <c r="C108" t="str">
        <f>IF(Allocation!BK108="","",Allocation!BK108)</f>
        <v>PIGIER</v>
      </c>
      <c r="D108" t="str">
        <f>IF(Allocation!BL108="","",Allocation!BL108)</f>
        <v>BTS_GES</v>
      </c>
      <c r="E108" t="str">
        <f>IF(Allocation!BM108="","",Allocation!BM108)</f>
        <v>BTS2</v>
      </c>
      <c r="F108" t="str">
        <f>IF(Allocation!BN108="","",Allocation!BN108)</f>
        <v>ALT</v>
      </c>
      <c r="G108">
        <f>IF(Allocation!BO108="","",Allocation!BO108)</f>
        <v>33</v>
      </c>
      <c r="H108">
        <f>IF(Allocation!BP108="","",Allocation!BP108)</f>
        <v>2</v>
      </c>
      <c r="I108">
        <f>IF(Allocation!BQ108="","",Allocation!BQ108)</f>
        <v>192060</v>
      </c>
      <c r="J108">
        <f>IF(Allocation!CC108="","",Allocation!CC108)</f>
        <v>0</v>
      </c>
      <c r="K108">
        <f t="shared" si="19"/>
        <v>1400</v>
      </c>
      <c r="L108">
        <f t="shared" si="20"/>
        <v>166</v>
      </c>
      <c r="M108">
        <f t="shared" si="21"/>
        <v>10</v>
      </c>
      <c r="N108">
        <f t="shared" si="22"/>
        <v>1068270</v>
      </c>
      <c r="O108">
        <f t="shared" si="23"/>
        <v>5680</v>
      </c>
      <c r="P108">
        <f t="shared" si="24"/>
        <v>68</v>
      </c>
      <c r="Q108">
        <f t="shared" si="25"/>
        <v>377</v>
      </c>
      <c r="R108">
        <f t="shared" si="26"/>
        <v>20</v>
      </c>
      <c r="S108">
        <f t="shared" si="27"/>
        <v>2537610</v>
      </c>
      <c r="T108">
        <f t="shared" si="28"/>
        <v>2933</v>
      </c>
      <c r="U108">
        <f t="shared" si="29"/>
        <v>135</v>
      </c>
      <c r="V108">
        <f t="shared" si="30"/>
        <v>21758770</v>
      </c>
      <c r="W108">
        <f>IF($A108="","",Allocation!CD108)</f>
        <v>92183</v>
      </c>
      <c r="X108">
        <f>IF($A108="","",Allocation!CE108)</f>
        <v>175123.55</v>
      </c>
      <c r="Y108">
        <f>IF($A108="","",Allocation!CF108)</f>
        <v>50430</v>
      </c>
      <c r="Z108">
        <f>IF($A108="","",Allocation!CG108)</f>
        <v>19971</v>
      </c>
      <c r="AA108">
        <f>IF($A108="","",Allocation!CH108)</f>
        <v>333578.02</v>
      </c>
      <c r="AB108">
        <f>IF($A108="","",Allocation!CI108)</f>
        <v>2760232</v>
      </c>
      <c r="AC108">
        <f>IF($A108="","",IF(Allocation!$N$4="VOL_EFF",$G108,IF(Allocation!$N$4="VOL_CLASS",$H108,$I108)))</f>
        <v>2</v>
      </c>
      <c r="AD108">
        <f>IF($A108="","",IF(Allocation!$N$4="VOL_EFF",$L108,IF(Allocation!$N$4="VOL_CLASS",$M108,$N108)))</f>
        <v>10</v>
      </c>
      <c r="AE108">
        <f>IF($A108="","",IF(Allocation!$N$3="VOL_EFF",$L108,IF(Allocation!$N$3="VOL_CLASS",$M108,$N108)))</f>
        <v>166</v>
      </c>
      <c r="AF108">
        <f>IF($A108="","",IF(Allocation!$N$3="VOL_EFF",$Q108,IF(Allocation!$N$3="VOL_CLASS",$R108,$S108)))</f>
        <v>377</v>
      </c>
      <c r="AG108">
        <f>IF($A108="","",IF(Allocation!$N$1="VOL_EFF",$Q108,IF(Allocation!$N$1="VOL_CLASS",$R108,$S108)))</f>
        <v>377</v>
      </c>
      <c r="AH108">
        <f>IF($A108="","",IF(Allocation!$N$1="VOL_EFF",$T108,IF(Allocation!$N$1="VOL_CLASS",$U108,$V108)))</f>
        <v>2933</v>
      </c>
      <c r="AI108">
        <f t="shared" si="31"/>
        <v>22721.161971830985</v>
      </c>
      <c r="AJ108">
        <f t="shared" si="32"/>
        <v>43164.255281690137</v>
      </c>
      <c r="AK108">
        <f t="shared" si="33"/>
        <v>10025.240963855422</v>
      </c>
      <c r="AL108">
        <f t="shared" si="34"/>
        <v>66715.604000000007</v>
      </c>
      <c r="AM108">
        <f t="shared" si="35"/>
        <v>31244.358131605866</v>
      </c>
      <c r="AN108">
        <f t="shared" si="36"/>
        <v>12230.833719244634</v>
      </c>
      <c r="AO108">
        <f>IF($A108="","",Allocation!CJ108)</f>
        <v>580167</v>
      </c>
      <c r="AP108">
        <f>IF($A108="","",IF(Allocation!$N$2="VOL_EFF",$Q108,IF(Allocation!$N$2="VOL_CLASS",$R108,$S108)))</f>
        <v>2537610</v>
      </c>
      <c r="AQ108">
        <f>IF($A108="","",IF(Allocation!$N$2="VOL_EFF",$T108,IF(Allocation!$N$2="VOL_CLASS",$U108,$V108)))</f>
        <v>21758770</v>
      </c>
      <c r="AR108">
        <f t="shared" si="37"/>
        <v>5958.5459317729492</v>
      </c>
      <c r="AS108" t="str">
        <f>IF($A108="","",$A108&amp;"|"&amp;Allocation!BG108)</f>
        <v>2025|ACT</v>
      </c>
    </row>
    <row r="109" spans="1:45" x14ac:dyDescent="0.45">
      <c r="A109" t="str">
        <f>IF(Allocation!BI109="","",Allocation!BI109)</f>
        <v>2025</v>
      </c>
      <c r="B109" t="str">
        <f>IF(Allocation!BJ109="","",Allocation!BJ109)</f>
        <v>PIGIER_BOR</v>
      </c>
      <c r="C109" t="str">
        <f>IF(Allocation!BK109="","",Allocation!BK109)</f>
        <v>PIGIER</v>
      </c>
      <c r="D109" t="str">
        <f>IF(Allocation!BL109="","",Allocation!BL109)</f>
        <v>BAC_RH</v>
      </c>
      <c r="E109" t="str">
        <f>IF(Allocation!BM109="","",Allocation!BM109)</f>
        <v>B1</v>
      </c>
      <c r="F109" t="str">
        <f>IF(Allocation!BN109="","",Allocation!BN109)</f>
        <v>ALT</v>
      </c>
      <c r="G109">
        <f>IF(Allocation!BO109="","",Allocation!BO109)</f>
        <v>34</v>
      </c>
      <c r="H109">
        <f>IF(Allocation!BP109="","",Allocation!BP109)</f>
        <v>2</v>
      </c>
      <c r="I109">
        <f>IF(Allocation!BQ109="","",Allocation!BQ109)</f>
        <v>233920</v>
      </c>
      <c r="J109">
        <f>IF(Allocation!CC109="","",Allocation!CC109)</f>
        <v>34</v>
      </c>
      <c r="K109">
        <f t="shared" si="19"/>
        <v>960</v>
      </c>
      <c r="L109">
        <f t="shared" si="20"/>
        <v>166</v>
      </c>
      <c r="M109">
        <f t="shared" si="21"/>
        <v>10</v>
      </c>
      <c r="N109">
        <f t="shared" si="22"/>
        <v>1068270</v>
      </c>
      <c r="O109">
        <f t="shared" si="23"/>
        <v>5680</v>
      </c>
      <c r="P109">
        <f t="shared" si="24"/>
        <v>68</v>
      </c>
      <c r="Q109">
        <f t="shared" si="25"/>
        <v>377</v>
      </c>
      <c r="R109">
        <f t="shared" si="26"/>
        <v>20</v>
      </c>
      <c r="S109">
        <f t="shared" si="27"/>
        <v>2537610</v>
      </c>
      <c r="T109">
        <f t="shared" si="28"/>
        <v>2933</v>
      </c>
      <c r="U109">
        <f t="shared" si="29"/>
        <v>135</v>
      </c>
      <c r="V109">
        <f t="shared" si="30"/>
        <v>21758770</v>
      </c>
      <c r="W109">
        <f>IF($A109="","",Allocation!CD109)</f>
        <v>92183</v>
      </c>
      <c r="X109">
        <f>IF($A109="","",Allocation!CE109)</f>
        <v>175123.55</v>
      </c>
      <c r="Y109">
        <f>IF($A109="","",Allocation!CF109)</f>
        <v>50430</v>
      </c>
      <c r="Z109">
        <f>IF($A109="","",Allocation!CG109)</f>
        <v>19971</v>
      </c>
      <c r="AA109">
        <f>IF($A109="","",Allocation!CH109)</f>
        <v>333578.02</v>
      </c>
      <c r="AB109">
        <f>IF($A109="","",Allocation!CI109)</f>
        <v>2760232</v>
      </c>
      <c r="AC109">
        <f>IF($A109="","",IF(Allocation!$N$4="VOL_EFF",$G109,IF(Allocation!$N$4="VOL_CLASS",$H109,$I109)))</f>
        <v>2</v>
      </c>
      <c r="AD109">
        <f>IF($A109="","",IF(Allocation!$N$4="VOL_EFF",$L109,IF(Allocation!$N$4="VOL_CLASS",$M109,$N109)))</f>
        <v>10</v>
      </c>
      <c r="AE109">
        <f>IF($A109="","",IF(Allocation!$N$3="VOL_EFF",$L109,IF(Allocation!$N$3="VOL_CLASS",$M109,$N109)))</f>
        <v>166</v>
      </c>
      <c r="AF109">
        <f>IF($A109="","",IF(Allocation!$N$3="VOL_EFF",$Q109,IF(Allocation!$N$3="VOL_CLASS",$R109,$S109)))</f>
        <v>377</v>
      </c>
      <c r="AG109">
        <f>IF($A109="","",IF(Allocation!$N$1="VOL_EFF",$Q109,IF(Allocation!$N$1="VOL_CLASS",$R109,$S109)))</f>
        <v>377</v>
      </c>
      <c r="AH109">
        <f>IF($A109="","",IF(Allocation!$N$1="VOL_EFF",$T109,IF(Allocation!$N$1="VOL_CLASS",$U109,$V109)))</f>
        <v>2933</v>
      </c>
      <c r="AI109">
        <f t="shared" si="31"/>
        <v>15580.225352112675</v>
      </c>
      <c r="AJ109">
        <f t="shared" si="32"/>
        <v>29598.346478873238</v>
      </c>
      <c r="AK109">
        <f t="shared" si="33"/>
        <v>20314.536144578313</v>
      </c>
      <c r="AL109">
        <f t="shared" si="34"/>
        <v>66715.604000000007</v>
      </c>
      <c r="AM109">
        <f t="shared" si="35"/>
        <v>31244.358131605866</v>
      </c>
      <c r="AN109">
        <f t="shared" si="36"/>
        <v>64508.383961056941</v>
      </c>
      <c r="AO109">
        <f>IF($A109="","",Allocation!CJ109)</f>
        <v>580167</v>
      </c>
      <c r="AP109">
        <f>IF($A109="","",IF(Allocation!$N$2="VOL_EFF",$Q109,IF(Allocation!$N$2="VOL_CLASS",$R109,$S109)))</f>
        <v>2537610</v>
      </c>
      <c r="AQ109">
        <f>IF($A109="","",IF(Allocation!$N$2="VOL_EFF",$T109,IF(Allocation!$N$2="VOL_CLASS",$U109,$V109)))</f>
        <v>21758770</v>
      </c>
      <c r="AR109">
        <f t="shared" si="37"/>
        <v>5958.5459317729492</v>
      </c>
      <c r="AS109" t="str">
        <f>IF($A109="","",$A109&amp;"|"&amp;Allocation!BG109)</f>
        <v>2025|ACT</v>
      </c>
    </row>
    <row r="110" spans="1:45" x14ac:dyDescent="0.45">
      <c r="A110" t="str">
        <f>IF(Allocation!BI110="","",Allocation!BI110)</f>
        <v>2025</v>
      </c>
      <c r="B110" t="str">
        <f>IF(Allocation!BJ110="","",Allocation!BJ110)</f>
        <v>PIGIER_BOR</v>
      </c>
      <c r="C110" t="str">
        <f>IF(Allocation!BK110="","",Allocation!BK110)</f>
        <v>PIGIER</v>
      </c>
      <c r="D110" t="str">
        <f>IF(Allocation!BL110="","",Allocation!BL110)</f>
        <v>BAC_RH</v>
      </c>
      <c r="E110" t="str">
        <f>IF(Allocation!BM110="","",Allocation!BM110)</f>
        <v>B3</v>
      </c>
      <c r="F110" t="str">
        <f>IF(Allocation!BN110="","",Allocation!BN110)</f>
        <v>ALT</v>
      </c>
      <c r="G110">
        <f>IF(Allocation!BO110="","",Allocation!BO110)</f>
        <v>32</v>
      </c>
      <c r="H110">
        <f>IF(Allocation!BP110="","",Allocation!BP110)</f>
        <v>2</v>
      </c>
      <c r="I110">
        <f>IF(Allocation!BQ110="","",Allocation!BQ110)</f>
        <v>217280</v>
      </c>
      <c r="J110">
        <f>IF(Allocation!CC110="","",Allocation!CC110)</f>
        <v>0</v>
      </c>
      <c r="K110">
        <f t="shared" si="19"/>
        <v>960</v>
      </c>
      <c r="L110">
        <f t="shared" si="20"/>
        <v>166</v>
      </c>
      <c r="M110">
        <f t="shared" si="21"/>
        <v>10</v>
      </c>
      <c r="N110">
        <f t="shared" si="22"/>
        <v>1068270</v>
      </c>
      <c r="O110">
        <f t="shared" si="23"/>
        <v>5680</v>
      </c>
      <c r="P110">
        <f t="shared" si="24"/>
        <v>68</v>
      </c>
      <c r="Q110">
        <f t="shared" si="25"/>
        <v>377</v>
      </c>
      <c r="R110">
        <f t="shared" si="26"/>
        <v>20</v>
      </c>
      <c r="S110">
        <f t="shared" si="27"/>
        <v>2537610</v>
      </c>
      <c r="T110">
        <f t="shared" si="28"/>
        <v>2933</v>
      </c>
      <c r="U110">
        <f t="shared" si="29"/>
        <v>135</v>
      </c>
      <c r="V110">
        <f t="shared" si="30"/>
        <v>21758770</v>
      </c>
      <c r="W110">
        <f>IF($A110="","",Allocation!CD110)</f>
        <v>92183</v>
      </c>
      <c r="X110">
        <f>IF($A110="","",Allocation!CE110)</f>
        <v>175123.55</v>
      </c>
      <c r="Y110">
        <f>IF($A110="","",Allocation!CF110)</f>
        <v>50430</v>
      </c>
      <c r="Z110">
        <f>IF($A110="","",Allocation!CG110)</f>
        <v>19971</v>
      </c>
      <c r="AA110">
        <f>IF($A110="","",Allocation!CH110)</f>
        <v>333578.02</v>
      </c>
      <c r="AB110">
        <f>IF($A110="","",Allocation!CI110)</f>
        <v>2760232</v>
      </c>
      <c r="AC110">
        <f>IF($A110="","",IF(Allocation!$N$4="VOL_EFF",$G110,IF(Allocation!$N$4="VOL_CLASS",$H110,$I110)))</f>
        <v>2</v>
      </c>
      <c r="AD110">
        <f>IF($A110="","",IF(Allocation!$N$4="VOL_EFF",$L110,IF(Allocation!$N$4="VOL_CLASS",$M110,$N110)))</f>
        <v>10</v>
      </c>
      <c r="AE110">
        <f>IF($A110="","",IF(Allocation!$N$3="VOL_EFF",$L110,IF(Allocation!$N$3="VOL_CLASS",$M110,$N110)))</f>
        <v>166</v>
      </c>
      <c r="AF110">
        <f>IF($A110="","",IF(Allocation!$N$3="VOL_EFF",$Q110,IF(Allocation!$N$3="VOL_CLASS",$R110,$S110)))</f>
        <v>377</v>
      </c>
      <c r="AG110">
        <f>IF($A110="","",IF(Allocation!$N$1="VOL_EFF",$Q110,IF(Allocation!$N$1="VOL_CLASS",$R110,$S110)))</f>
        <v>377</v>
      </c>
      <c r="AH110">
        <f>IF($A110="","",IF(Allocation!$N$1="VOL_EFF",$T110,IF(Allocation!$N$1="VOL_CLASS",$U110,$V110)))</f>
        <v>2933</v>
      </c>
      <c r="AI110">
        <f t="shared" si="31"/>
        <v>15580.225352112675</v>
      </c>
      <c r="AJ110">
        <f t="shared" si="32"/>
        <v>29598.346478873238</v>
      </c>
      <c r="AK110">
        <f t="shared" si="33"/>
        <v>9721.4457831325308</v>
      </c>
      <c r="AL110">
        <f t="shared" si="34"/>
        <v>66715.604000000007</v>
      </c>
      <c r="AM110">
        <f t="shared" si="35"/>
        <v>31244.358131605866</v>
      </c>
      <c r="AN110">
        <f t="shared" si="36"/>
        <v>58461.474322502734</v>
      </c>
      <c r="AO110">
        <f>IF($A110="","",Allocation!CJ110)</f>
        <v>580167</v>
      </c>
      <c r="AP110">
        <f>IF($A110="","",IF(Allocation!$N$2="VOL_EFF",$Q110,IF(Allocation!$N$2="VOL_CLASS",$R110,$S110)))</f>
        <v>2537610</v>
      </c>
      <c r="AQ110">
        <f>IF($A110="","",IF(Allocation!$N$2="VOL_EFF",$T110,IF(Allocation!$N$2="VOL_CLASS",$U110,$V110)))</f>
        <v>21758770</v>
      </c>
      <c r="AR110">
        <f t="shared" si="37"/>
        <v>5958.5459317729492</v>
      </c>
      <c r="AS110" t="str">
        <f>IF($A110="","",$A110&amp;"|"&amp;Allocation!BG110)</f>
        <v>2025|ACT</v>
      </c>
    </row>
    <row r="111" spans="1:45" x14ac:dyDescent="0.45">
      <c r="A111" t="str">
        <f>IF(Allocation!BI111="","",Allocation!BI111)</f>
        <v>2025</v>
      </c>
      <c r="B111" t="str">
        <f>IF(Allocation!BJ111="","",Allocation!BJ111)</f>
        <v>PIGIER_LYO</v>
      </c>
      <c r="C111" t="str">
        <f>IF(Allocation!BK111="","",Allocation!BK111)</f>
        <v>PIGIER</v>
      </c>
      <c r="D111" t="str">
        <f>IF(Allocation!BL111="","",Allocation!BL111)</f>
        <v>BAC_RH</v>
      </c>
      <c r="E111" t="str">
        <f>IF(Allocation!BM111="","",Allocation!BM111)</f>
        <v>B3</v>
      </c>
      <c r="F111" t="str">
        <f>IF(Allocation!BN111="","",Allocation!BN111)</f>
        <v>ALT</v>
      </c>
      <c r="G111">
        <f>IF(Allocation!BO111="","",Allocation!BO111)</f>
        <v>41</v>
      </c>
      <c r="H111">
        <f>IF(Allocation!BP111="","",Allocation!BP111)</f>
        <v>2</v>
      </c>
      <c r="I111">
        <f>IF(Allocation!BQ111="","",Allocation!BQ111)</f>
        <v>301350</v>
      </c>
      <c r="J111">
        <f>IF(Allocation!CC111="","",Allocation!CC111)</f>
        <v>0</v>
      </c>
      <c r="K111">
        <f t="shared" si="19"/>
        <v>960</v>
      </c>
      <c r="L111">
        <f t="shared" si="20"/>
        <v>211</v>
      </c>
      <c r="M111">
        <f t="shared" si="21"/>
        <v>10</v>
      </c>
      <c r="N111">
        <f t="shared" si="22"/>
        <v>1469340</v>
      </c>
      <c r="O111">
        <f t="shared" si="23"/>
        <v>5680</v>
      </c>
      <c r="P111">
        <f t="shared" si="24"/>
        <v>86</v>
      </c>
      <c r="Q111">
        <f t="shared" si="25"/>
        <v>377</v>
      </c>
      <c r="R111">
        <f t="shared" si="26"/>
        <v>20</v>
      </c>
      <c r="S111">
        <f t="shared" si="27"/>
        <v>2537610</v>
      </c>
      <c r="T111">
        <f t="shared" si="28"/>
        <v>2933</v>
      </c>
      <c r="U111">
        <f t="shared" si="29"/>
        <v>135</v>
      </c>
      <c r="V111">
        <f t="shared" si="30"/>
        <v>21758770</v>
      </c>
      <c r="W111">
        <f>IF($A111="","",Allocation!CD111)</f>
        <v>92183</v>
      </c>
      <c r="X111">
        <f>IF($A111="","",Allocation!CE111)</f>
        <v>228262.14</v>
      </c>
      <c r="Y111">
        <f>IF($A111="","",Allocation!CF111)</f>
        <v>64636</v>
      </c>
      <c r="Z111">
        <f>IF($A111="","",Allocation!CG111)</f>
        <v>33284</v>
      </c>
      <c r="AA111">
        <f>IF($A111="","",Allocation!CH111)</f>
        <v>508107.42</v>
      </c>
      <c r="AB111">
        <f>IF($A111="","",Allocation!CI111)</f>
        <v>2760232</v>
      </c>
      <c r="AC111">
        <f>IF($A111="","",IF(Allocation!$N$4="VOL_EFF",$G111,IF(Allocation!$N$4="VOL_CLASS",$H111,$I111)))</f>
        <v>2</v>
      </c>
      <c r="AD111">
        <f>IF($A111="","",IF(Allocation!$N$4="VOL_EFF",$L111,IF(Allocation!$N$4="VOL_CLASS",$M111,$N111)))</f>
        <v>10</v>
      </c>
      <c r="AE111">
        <f>IF($A111="","",IF(Allocation!$N$3="VOL_EFF",$L111,IF(Allocation!$N$3="VOL_CLASS",$M111,$N111)))</f>
        <v>211</v>
      </c>
      <c r="AF111">
        <f>IF($A111="","",IF(Allocation!$N$3="VOL_EFF",$Q111,IF(Allocation!$N$3="VOL_CLASS",$R111,$S111)))</f>
        <v>377</v>
      </c>
      <c r="AG111">
        <f>IF($A111="","",IF(Allocation!$N$1="VOL_EFF",$Q111,IF(Allocation!$N$1="VOL_CLASS",$R111,$S111)))</f>
        <v>377</v>
      </c>
      <c r="AH111">
        <f>IF($A111="","",IF(Allocation!$N$1="VOL_EFF",$T111,IF(Allocation!$N$1="VOL_CLASS",$U111,$V111)))</f>
        <v>2933</v>
      </c>
      <c r="AI111">
        <f t="shared" si="31"/>
        <v>15580.225352112675</v>
      </c>
      <c r="AJ111">
        <f t="shared" si="32"/>
        <v>38579.516619718313</v>
      </c>
      <c r="AK111">
        <f t="shared" si="33"/>
        <v>12559.601895734597</v>
      </c>
      <c r="AL111">
        <f t="shared" si="34"/>
        <v>101621.484</v>
      </c>
      <c r="AM111">
        <f t="shared" si="35"/>
        <v>39714.214251619509</v>
      </c>
      <c r="AN111">
        <f t="shared" si="36"/>
        <v>85721.143473561329</v>
      </c>
      <c r="AO111">
        <f>IF($A111="","",Allocation!CJ111)</f>
        <v>580167</v>
      </c>
      <c r="AP111">
        <f>IF($A111="","",IF(Allocation!$N$2="VOL_EFF",$Q111,IF(Allocation!$N$2="VOL_CLASS",$R111,$S111)))</f>
        <v>2537610</v>
      </c>
      <c r="AQ111">
        <f>IF($A111="","",IF(Allocation!$N$2="VOL_EFF",$T111,IF(Allocation!$N$2="VOL_CLASS",$U111,$V111)))</f>
        <v>21758770</v>
      </c>
      <c r="AR111">
        <f t="shared" si="37"/>
        <v>7573.8144072535688</v>
      </c>
      <c r="AS111" t="str">
        <f>IF($A111="","",$A111&amp;"|"&amp;Allocation!BG111)</f>
        <v>2025|ACT</v>
      </c>
    </row>
    <row r="112" spans="1:45" x14ac:dyDescent="0.45">
      <c r="A112" t="str">
        <f>IF(Allocation!BI112="","",Allocation!BI112)</f>
        <v>2025</v>
      </c>
      <c r="B112" t="str">
        <f>IF(Allocation!BJ112="","",Allocation!BJ112)</f>
        <v>PIGIER_LYO</v>
      </c>
      <c r="C112" t="str">
        <f>IF(Allocation!BK112="","",Allocation!BK112)</f>
        <v>PIGIER</v>
      </c>
      <c r="D112" t="str">
        <f>IF(Allocation!BL112="","",Allocation!BL112)</f>
        <v>BTS_GES</v>
      </c>
      <c r="E112" t="str">
        <f>IF(Allocation!BM112="","",Allocation!BM112)</f>
        <v>BTS1</v>
      </c>
      <c r="F112" t="str">
        <f>IF(Allocation!BN112="","",Allocation!BN112)</f>
        <v>ALT</v>
      </c>
      <c r="G112">
        <f>IF(Allocation!BO112="","",Allocation!BO112)</f>
        <v>43</v>
      </c>
      <c r="H112">
        <f>IF(Allocation!BP112="","",Allocation!BP112)</f>
        <v>2</v>
      </c>
      <c r="I112">
        <f>IF(Allocation!BQ112="","",Allocation!BQ112)</f>
        <v>274770</v>
      </c>
      <c r="J112">
        <f>IF(Allocation!CC112="","",Allocation!CC112)</f>
        <v>43</v>
      </c>
      <c r="K112">
        <f t="shared" si="19"/>
        <v>1400</v>
      </c>
      <c r="L112">
        <f t="shared" si="20"/>
        <v>211</v>
      </c>
      <c r="M112">
        <f t="shared" si="21"/>
        <v>10</v>
      </c>
      <c r="N112">
        <f t="shared" si="22"/>
        <v>1469340</v>
      </c>
      <c r="O112">
        <f t="shared" si="23"/>
        <v>5680</v>
      </c>
      <c r="P112">
        <f t="shared" si="24"/>
        <v>86</v>
      </c>
      <c r="Q112">
        <f t="shared" si="25"/>
        <v>377</v>
      </c>
      <c r="R112">
        <f t="shared" si="26"/>
        <v>20</v>
      </c>
      <c r="S112">
        <f t="shared" si="27"/>
        <v>2537610</v>
      </c>
      <c r="T112">
        <f t="shared" si="28"/>
        <v>2933</v>
      </c>
      <c r="U112">
        <f t="shared" si="29"/>
        <v>135</v>
      </c>
      <c r="V112">
        <f t="shared" si="30"/>
        <v>21758770</v>
      </c>
      <c r="W112">
        <f>IF($A112="","",Allocation!CD112)</f>
        <v>92183</v>
      </c>
      <c r="X112">
        <f>IF($A112="","",Allocation!CE112)</f>
        <v>228262.14</v>
      </c>
      <c r="Y112">
        <f>IF($A112="","",Allocation!CF112)</f>
        <v>64636</v>
      </c>
      <c r="Z112">
        <f>IF($A112="","",Allocation!CG112)</f>
        <v>33284</v>
      </c>
      <c r="AA112">
        <f>IF($A112="","",Allocation!CH112)</f>
        <v>508107.42</v>
      </c>
      <c r="AB112">
        <f>IF($A112="","",Allocation!CI112)</f>
        <v>2760232</v>
      </c>
      <c r="AC112">
        <f>IF($A112="","",IF(Allocation!$N$4="VOL_EFF",$G112,IF(Allocation!$N$4="VOL_CLASS",$H112,$I112)))</f>
        <v>2</v>
      </c>
      <c r="AD112">
        <f>IF($A112="","",IF(Allocation!$N$4="VOL_EFF",$L112,IF(Allocation!$N$4="VOL_CLASS",$M112,$N112)))</f>
        <v>10</v>
      </c>
      <c r="AE112">
        <f>IF($A112="","",IF(Allocation!$N$3="VOL_EFF",$L112,IF(Allocation!$N$3="VOL_CLASS",$M112,$N112)))</f>
        <v>211</v>
      </c>
      <c r="AF112">
        <f>IF($A112="","",IF(Allocation!$N$3="VOL_EFF",$Q112,IF(Allocation!$N$3="VOL_CLASS",$R112,$S112)))</f>
        <v>377</v>
      </c>
      <c r="AG112">
        <f>IF($A112="","",IF(Allocation!$N$1="VOL_EFF",$Q112,IF(Allocation!$N$1="VOL_CLASS",$R112,$S112)))</f>
        <v>377</v>
      </c>
      <c r="AH112">
        <f>IF($A112="","",IF(Allocation!$N$1="VOL_EFF",$T112,IF(Allocation!$N$1="VOL_CLASS",$U112,$V112)))</f>
        <v>2933</v>
      </c>
      <c r="AI112">
        <f t="shared" si="31"/>
        <v>22721.161971830985</v>
      </c>
      <c r="AJ112">
        <f t="shared" si="32"/>
        <v>56261.795070422537</v>
      </c>
      <c r="AK112">
        <f t="shared" si="33"/>
        <v>29814.265402843601</v>
      </c>
      <c r="AL112">
        <f t="shared" si="34"/>
        <v>101621.484</v>
      </c>
      <c r="AM112">
        <f t="shared" si="35"/>
        <v>39714.214251619509</v>
      </c>
      <c r="AN112">
        <f t="shared" si="36"/>
        <v>17063.26489602981</v>
      </c>
      <c r="AO112">
        <f>IF($A112="","",Allocation!CJ112)</f>
        <v>580167</v>
      </c>
      <c r="AP112">
        <f>IF($A112="","",IF(Allocation!$N$2="VOL_EFF",$Q112,IF(Allocation!$N$2="VOL_CLASS",$R112,$S112)))</f>
        <v>2537610</v>
      </c>
      <c r="AQ112">
        <f>IF($A112="","",IF(Allocation!$N$2="VOL_EFF",$T112,IF(Allocation!$N$2="VOL_CLASS",$U112,$V112)))</f>
        <v>21758770</v>
      </c>
      <c r="AR112">
        <f t="shared" si="37"/>
        <v>7573.8144072535688</v>
      </c>
      <c r="AS112" t="str">
        <f>IF($A112="","",$A112&amp;"|"&amp;Allocation!BG112)</f>
        <v>2025|ACT</v>
      </c>
    </row>
    <row r="113" spans="1:45" x14ac:dyDescent="0.45">
      <c r="A113" t="str">
        <f>IF(Allocation!BI113="","",Allocation!BI113)</f>
        <v>2025</v>
      </c>
      <c r="B113" t="str">
        <f>IF(Allocation!BJ113="","",Allocation!BJ113)</f>
        <v>PIGIER_LYO</v>
      </c>
      <c r="C113" t="str">
        <f>IF(Allocation!BK113="","",Allocation!BK113)</f>
        <v>PIGIER</v>
      </c>
      <c r="D113" t="str">
        <f>IF(Allocation!BL113="","",Allocation!BL113)</f>
        <v>BTS_GES</v>
      </c>
      <c r="E113" t="str">
        <f>IF(Allocation!BM113="","",Allocation!BM113)</f>
        <v>BTS2</v>
      </c>
      <c r="F113" t="str">
        <f>IF(Allocation!BN113="","",Allocation!BN113)</f>
        <v>ALT</v>
      </c>
      <c r="G113">
        <f>IF(Allocation!BO113="","",Allocation!BO113)</f>
        <v>42</v>
      </c>
      <c r="H113">
        <f>IF(Allocation!BP113="","",Allocation!BP113)</f>
        <v>2</v>
      </c>
      <c r="I113">
        <f>IF(Allocation!BQ113="","",Allocation!BQ113)</f>
        <v>264600</v>
      </c>
      <c r="J113">
        <f>IF(Allocation!CC113="","",Allocation!CC113)</f>
        <v>0</v>
      </c>
      <c r="K113">
        <f t="shared" si="19"/>
        <v>1400</v>
      </c>
      <c r="L113">
        <f t="shared" si="20"/>
        <v>211</v>
      </c>
      <c r="M113">
        <f t="shared" si="21"/>
        <v>10</v>
      </c>
      <c r="N113">
        <f t="shared" si="22"/>
        <v>1469340</v>
      </c>
      <c r="O113">
        <f t="shared" si="23"/>
        <v>5680</v>
      </c>
      <c r="P113">
        <f t="shared" si="24"/>
        <v>86</v>
      </c>
      <c r="Q113">
        <f t="shared" si="25"/>
        <v>377</v>
      </c>
      <c r="R113">
        <f t="shared" si="26"/>
        <v>20</v>
      </c>
      <c r="S113">
        <f t="shared" si="27"/>
        <v>2537610</v>
      </c>
      <c r="T113">
        <f t="shared" si="28"/>
        <v>2933</v>
      </c>
      <c r="U113">
        <f t="shared" si="29"/>
        <v>135</v>
      </c>
      <c r="V113">
        <f t="shared" si="30"/>
        <v>21758770</v>
      </c>
      <c r="W113">
        <f>IF($A113="","",Allocation!CD113)</f>
        <v>92183</v>
      </c>
      <c r="X113">
        <f>IF($A113="","",Allocation!CE113)</f>
        <v>228262.14</v>
      </c>
      <c r="Y113">
        <f>IF($A113="","",Allocation!CF113)</f>
        <v>64636</v>
      </c>
      <c r="Z113">
        <f>IF($A113="","",Allocation!CG113)</f>
        <v>33284</v>
      </c>
      <c r="AA113">
        <f>IF($A113="","",Allocation!CH113)</f>
        <v>508107.42</v>
      </c>
      <c r="AB113">
        <f>IF($A113="","",Allocation!CI113)</f>
        <v>2760232</v>
      </c>
      <c r="AC113">
        <f>IF($A113="","",IF(Allocation!$N$4="VOL_EFF",$G113,IF(Allocation!$N$4="VOL_CLASS",$H113,$I113)))</f>
        <v>2</v>
      </c>
      <c r="AD113">
        <f>IF($A113="","",IF(Allocation!$N$4="VOL_EFF",$L113,IF(Allocation!$N$4="VOL_CLASS",$M113,$N113)))</f>
        <v>10</v>
      </c>
      <c r="AE113">
        <f>IF($A113="","",IF(Allocation!$N$3="VOL_EFF",$L113,IF(Allocation!$N$3="VOL_CLASS",$M113,$N113)))</f>
        <v>211</v>
      </c>
      <c r="AF113">
        <f>IF($A113="","",IF(Allocation!$N$3="VOL_EFF",$Q113,IF(Allocation!$N$3="VOL_CLASS",$R113,$S113)))</f>
        <v>377</v>
      </c>
      <c r="AG113">
        <f>IF($A113="","",IF(Allocation!$N$1="VOL_EFF",$Q113,IF(Allocation!$N$1="VOL_CLASS",$R113,$S113)))</f>
        <v>377</v>
      </c>
      <c r="AH113">
        <f>IF($A113="","",IF(Allocation!$N$1="VOL_EFF",$T113,IF(Allocation!$N$1="VOL_CLASS",$U113,$V113)))</f>
        <v>2933</v>
      </c>
      <c r="AI113">
        <f t="shared" si="31"/>
        <v>22721.161971830985</v>
      </c>
      <c r="AJ113">
        <f t="shared" si="32"/>
        <v>56261.795070422537</v>
      </c>
      <c r="AK113">
        <f t="shared" si="33"/>
        <v>12865.9336492891</v>
      </c>
      <c r="AL113">
        <f t="shared" si="34"/>
        <v>101621.484</v>
      </c>
      <c r="AM113">
        <f t="shared" si="35"/>
        <v>39714.214251619509</v>
      </c>
      <c r="AN113">
        <f t="shared" si="36"/>
        <v>23841.596649584302</v>
      </c>
      <c r="AO113">
        <f>IF($A113="","",Allocation!CJ113)</f>
        <v>580167</v>
      </c>
      <c r="AP113">
        <f>IF($A113="","",IF(Allocation!$N$2="VOL_EFF",$Q113,IF(Allocation!$N$2="VOL_CLASS",$R113,$S113)))</f>
        <v>2537610</v>
      </c>
      <c r="AQ113">
        <f>IF($A113="","",IF(Allocation!$N$2="VOL_EFF",$T113,IF(Allocation!$N$2="VOL_CLASS",$U113,$V113)))</f>
        <v>21758770</v>
      </c>
      <c r="AR113">
        <f t="shared" si="37"/>
        <v>7573.8144072535688</v>
      </c>
      <c r="AS113" t="str">
        <f>IF($A113="","",$A113&amp;"|"&amp;Allocation!BG113)</f>
        <v>2025|ACT</v>
      </c>
    </row>
    <row r="114" spans="1:45" x14ac:dyDescent="0.45">
      <c r="A114" t="str">
        <f>IF(Allocation!BI114="","",Allocation!BI114)</f>
        <v>2025</v>
      </c>
      <c r="B114" t="str">
        <f>IF(Allocation!BJ114="","",Allocation!BJ114)</f>
        <v>PIGIER_LYO</v>
      </c>
      <c r="C114" t="str">
        <f>IF(Allocation!BK114="","",Allocation!BK114)</f>
        <v>PIGIER</v>
      </c>
      <c r="D114" t="str">
        <f>IF(Allocation!BL114="","",Allocation!BL114)</f>
        <v>BAC_RH</v>
      </c>
      <c r="E114" t="str">
        <f>IF(Allocation!BM114="","",Allocation!BM114)</f>
        <v>B1</v>
      </c>
      <c r="F114" t="str">
        <f>IF(Allocation!BN114="","",Allocation!BN114)</f>
        <v>ALT</v>
      </c>
      <c r="G114">
        <f>IF(Allocation!BO114="","",Allocation!BO114)</f>
        <v>43</v>
      </c>
      <c r="H114">
        <f>IF(Allocation!BP114="","",Allocation!BP114)</f>
        <v>2</v>
      </c>
      <c r="I114">
        <f>IF(Allocation!BQ114="","",Allocation!BQ114)</f>
        <v>319920</v>
      </c>
      <c r="J114">
        <f>IF(Allocation!CC114="","",Allocation!CC114)</f>
        <v>43</v>
      </c>
      <c r="K114">
        <f t="shared" si="19"/>
        <v>960</v>
      </c>
      <c r="L114">
        <f t="shared" si="20"/>
        <v>211</v>
      </c>
      <c r="M114">
        <f t="shared" si="21"/>
        <v>10</v>
      </c>
      <c r="N114">
        <f t="shared" si="22"/>
        <v>1469340</v>
      </c>
      <c r="O114">
        <f t="shared" si="23"/>
        <v>5680</v>
      </c>
      <c r="P114">
        <f t="shared" si="24"/>
        <v>86</v>
      </c>
      <c r="Q114">
        <f t="shared" si="25"/>
        <v>377</v>
      </c>
      <c r="R114">
        <f t="shared" si="26"/>
        <v>20</v>
      </c>
      <c r="S114">
        <f t="shared" si="27"/>
        <v>2537610</v>
      </c>
      <c r="T114">
        <f t="shared" si="28"/>
        <v>2933</v>
      </c>
      <c r="U114">
        <f t="shared" si="29"/>
        <v>135</v>
      </c>
      <c r="V114">
        <f t="shared" si="30"/>
        <v>21758770</v>
      </c>
      <c r="W114">
        <f>IF($A114="","",Allocation!CD114)</f>
        <v>92183</v>
      </c>
      <c r="X114">
        <f>IF($A114="","",Allocation!CE114)</f>
        <v>228262.14</v>
      </c>
      <c r="Y114">
        <f>IF($A114="","",Allocation!CF114)</f>
        <v>64636</v>
      </c>
      <c r="Z114">
        <f>IF($A114="","",Allocation!CG114)</f>
        <v>33284</v>
      </c>
      <c r="AA114">
        <f>IF($A114="","",Allocation!CH114)</f>
        <v>508107.42</v>
      </c>
      <c r="AB114">
        <f>IF($A114="","",Allocation!CI114)</f>
        <v>2760232</v>
      </c>
      <c r="AC114">
        <f>IF($A114="","",IF(Allocation!$N$4="VOL_EFF",$G114,IF(Allocation!$N$4="VOL_CLASS",$H114,$I114)))</f>
        <v>2</v>
      </c>
      <c r="AD114">
        <f>IF($A114="","",IF(Allocation!$N$4="VOL_EFF",$L114,IF(Allocation!$N$4="VOL_CLASS",$M114,$N114)))</f>
        <v>10</v>
      </c>
      <c r="AE114">
        <f>IF($A114="","",IF(Allocation!$N$3="VOL_EFF",$L114,IF(Allocation!$N$3="VOL_CLASS",$M114,$N114)))</f>
        <v>211</v>
      </c>
      <c r="AF114">
        <f>IF($A114="","",IF(Allocation!$N$3="VOL_EFF",$Q114,IF(Allocation!$N$3="VOL_CLASS",$R114,$S114)))</f>
        <v>377</v>
      </c>
      <c r="AG114">
        <f>IF($A114="","",IF(Allocation!$N$1="VOL_EFF",$Q114,IF(Allocation!$N$1="VOL_CLASS",$R114,$S114)))</f>
        <v>377</v>
      </c>
      <c r="AH114">
        <f>IF($A114="","",IF(Allocation!$N$1="VOL_EFF",$T114,IF(Allocation!$N$1="VOL_CLASS",$U114,$V114)))</f>
        <v>2933</v>
      </c>
      <c r="AI114">
        <f t="shared" si="31"/>
        <v>15580.225352112675</v>
      </c>
      <c r="AJ114">
        <f t="shared" si="32"/>
        <v>38579.516619718313</v>
      </c>
      <c r="AK114">
        <f t="shared" si="33"/>
        <v>29814.265402843601</v>
      </c>
      <c r="AL114">
        <f t="shared" si="34"/>
        <v>101621.484</v>
      </c>
      <c r="AM114">
        <f t="shared" si="35"/>
        <v>39714.214251619509</v>
      </c>
      <c r="AN114">
        <f t="shared" si="36"/>
        <v>87036.479966452316</v>
      </c>
      <c r="AO114">
        <f>IF($A114="","",Allocation!CJ114)</f>
        <v>580167</v>
      </c>
      <c r="AP114">
        <f>IF($A114="","",IF(Allocation!$N$2="VOL_EFF",$Q114,IF(Allocation!$N$2="VOL_CLASS",$R114,$S114)))</f>
        <v>2537610</v>
      </c>
      <c r="AQ114">
        <f>IF($A114="","",IF(Allocation!$N$2="VOL_EFF",$T114,IF(Allocation!$N$2="VOL_CLASS",$U114,$V114)))</f>
        <v>21758770</v>
      </c>
      <c r="AR114">
        <f t="shared" si="37"/>
        <v>7573.8144072535688</v>
      </c>
      <c r="AS114" t="str">
        <f>IF($A114="","",$A114&amp;"|"&amp;Allocation!BG114)</f>
        <v>2025|ACT</v>
      </c>
    </row>
    <row r="115" spans="1:45" x14ac:dyDescent="0.45">
      <c r="A115" t="str">
        <f>IF(Allocation!BI115="","",Allocation!BI115)</f>
        <v>2025</v>
      </c>
      <c r="B115" t="str">
        <f>IF(Allocation!BJ115="","",Allocation!BJ115)</f>
        <v>PIGIER_LYO</v>
      </c>
      <c r="C115" t="str">
        <f>IF(Allocation!BK115="","",Allocation!BK115)</f>
        <v>PIGIER</v>
      </c>
      <c r="D115" t="str">
        <f>IF(Allocation!BL115="","",Allocation!BL115)</f>
        <v>BAC_RH</v>
      </c>
      <c r="E115" t="str">
        <f>IF(Allocation!BM115="","",Allocation!BM115)</f>
        <v>B2</v>
      </c>
      <c r="F115" t="str">
        <f>IF(Allocation!BN115="","",Allocation!BN115)</f>
        <v>ALT</v>
      </c>
      <c r="G115">
        <f>IF(Allocation!BO115="","",Allocation!BO115)</f>
        <v>42</v>
      </c>
      <c r="H115">
        <f>IF(Allocation!BP115="","",Allocation!BP115)</f>
        <v>2</v>
      </c>
      <c r="I115">
        <f>IF(Allocation!BQ115="","",Allocation!BQ115)</f>
        <v>308700</v>
      </c>
      <c r="J115">
        <f>IF(Allocation!CC115="","",Allocation!CC115)</f>
        <v>0</v>
      </c>
      <c r="K115">
        <f t="shared" si="19"/>
        <v>960</v>
      </c>
      <c r="L115">
        <f t="shared" si="20"/>
        <v>211</v>
      </c>
      <c r="M115">
        <f t="shared" si="21"/>
        <v>10</v>
      </c>
      <c r="N115">
        <f t="shared" si="22"/>
        <v>1469340</v>
      </c>
      <c r="O115">
        <f t="shared" si="23"/>
        <v>5680</v>
      </c>
      <c r="P115">
        <f t="shared" si="24"/>
        <v>86</v>
      </c>
      <c r="Q115">
        <f t="shared" si="25"/>
        <v>377</v>
      </c>
      <c r="R115">
        <f t="shared" si="26"/>
        <v>20</v>
      </c>
      <c r="S115">
        <f t="shared" si="27"/>
        <v>2537610</v>
      </c>
      <c r="T115">
        <f t="shared" si="28"/>
        <v>2933</v>
      </c>
      <c r="U115">
        <f t="shared" si="29"/>
        <v>135</v>
      </c>
      <c r="V115">
        <f t="shared" si="30"/>
        <v>21758770</v>
      </c>
      <c r="W115">
        <f>IF($A115="","",Allocation!CD115)</f>
        <v>92183</v>
      </c>
      <c r="X115">
        <f>IF($A115="","",Allocation!CE115)</f>
        <v>228262.14</v>
      </c>
      <c r="Y115">
        <f>IF($A115="","",Allocation!CF115)</f>
        <v>64636</v>
      </c>
      <c r="Z115">
        <f>IF($A115="","",Allocation!CG115)</f>
        <v>33284</v>
      </c>
      <c r="AA115">
        <f>IF($A115="","",Allocation!CH115)</f>
        <v>508107.42</v>
      </c>
      <c r="AB115">
        <f>IF($A115="","",Allocation!CI115)</f>
        <v>2760232</v>
      </c>
      <c r="AC115">
        <f>IF($A115="","",IF(Allocation!$N$4="VOL_EFF",$G115,IF(Allocation!$N$4="VOL_CLASS",$H115,$I115)))</f>
        <v>2</v>
      </c>
      <c r="AD115">
        <f>IF($A115="","",IF(Allocation!$N$4="VOL_EFF",$L115,IF(Allocation!$N$4="VOL_CLASS",$M115,$N115)))</f>
        <v>10</v>
      </c>
      <c r="AE115">
        <f>IF($A115="","",IF(Allocation!$N$3="VOL_EFF",$L115,IF(Allocation!$N$3="VOL_CLASS",$M115,$N115)))</f>
        <v>211</v>
      </c>
      <c r="AF115">
        <f>IF($A115="","",IF(Allocation!$N$3="VOL_EFF",$Q115,IF(Allocation!$N$3="VOL_CLASS",$R115,$S115)))</f>
        <v>377</v>
      </c>
      <c r="AG115">
        <f>IF($A115="","",IF(Allocation!$N$1="VOL_EFF",$Q115,IF(Allocation!$N$1="VOL_CLASS",$R115,$S115)))</f>
        <v>377</v>
      </c>
      <c r="AH115">
        <f>IF($A115="","",IF(Allocation!$N$1="VOL_EFF",$T115,IF(Allocation!$N$1="VOL_CLASS",$U115,$V115)))</f>
        <v>2933</v>
      </c>
      <c r="AI115">
        <f t="shared" si="31"/>
        <v>15580.225352112675</v>
      </c>
      <c r="AJ115">
        <f t="shared" si="32"/>
        <v>38579.516619718313</v>
      </c>
      <c r="AK115">
        <f t="shared" si="33"/>
        <v>12865.9336492891</v>
      </c>
      <c r="AL115">
        <f t="shared" si="34"/>
        <v>101621.484</v>
      </c>
      <c r="AM115">
        <f t="shared" si="35"/>
        <v>39714.214251619509</v>
      </c>
      <c r="AN115">
        <f t="shared" si="36"/>
        <v>92764.811720006837</v>
      </c>
      <c r="AO115">
        <f>IF($A115="","",Allocation!CJ115)</f>
        <v>580167</v>
      </c>
      <c r="AP115">
        <f>IF($A115="","",IF(Allocation!$N$2="VOL_EFF",$Q115,IF(Allocation!$N$2="VOL_CLASS",$R115,$S115)))</f>
        <v>2537610</v>
      </c>
      <c r="AQ115">
        <f>IF($A115="","",IF(Allocation!$N$2="VOL_EFF",$T115,IF(Allocation!$N$2="VOL_CLASS",$U115,$V115)))</f>
        <v>21758770</v>
      </c>
      <c r="AR115">
        <f t="shared" si="37"/>
        <v>7573.8144072535688</v>
      </c>
      <c r="AS115" t="str">
        <f>IF($A115="","",$A115&amp;"|"&amp;Allocation!BG115)</f>
        <v>2025|ACT</v>
      </c>
    </row>
    <row r="116" spans="1:45" x14ac:dyDescent="0.45">
      <c r="A116" t="str">
        <f>IF(Allocation!BI116="","",Allocation!BI116)</f>
        <v>2025</v>
      </c>
      <c r="B116" t="str">
        <f>IF(Allocation!BJ116="","",Allocation!BJ116)</f>
        <v>TUNON_LYO</v>
      </c>
      <c r="C116" t="str">
        <f>IF(Allocation!BK116="","",Allocation!BK116)</f>
        <v>TUNON</v>
      </c>
      <c r="D116" t="str">
        <f>IF(Allocation!BL116="","",Allocation!BL116)</f>
        <v>BAC_TOU</v>
      </c>
      <c r="E116" t="str">
        <f>IF(Allocation!BM116="","",Allocation!BM116)</f>
        <v>B1</v>
      </c>
      <c r="F116" t="str">
        <f>IF(Allocation!BN116="","",Allocation!BN116)</f>
        <v>ALT</v>
      </c>
      <c r="G116">
        <f>IF(Allocation!BO116="","",Allocation!BO116)</f>
        <v>38</v>
      </c>
      <c r="H116">
        <f>IF(Allocation!BP116="","",Allocation!BP116)</f>
        <v>2</v>
      </c>
      <c r="I116">
        <f>IF(Allocation!BQ116="","",Allocation!BQ116)</f>
        <v>282720</v>
      </c>
      <c r="J116">
        <f>IF(Allocation!CC116="","",Allocation!CC116)</f>
        <v>38</v>
      </c>
      <c r="K116">
        <f t="shared" si="19"/>
        <v>960</v>
      </c>
      <c r="L116">
        <f t="shared" si="20"/>
        <v>111</v>
      </c>
      <c r="M116">
        <f t="shared" si="21"/>
        <v>6</v>
      </c>
      <c r="N116">
        <f t="shared" si="22"/>
        <v>819270</v>
      </c>
      <c r="O116">
        <f t="shared" si="23"/>
        <v>2880</v>
      </c>
      <c r="P116">
        <f t="shared" si="24"/>
        <v>38</v>
      </c>
      <c r="Q116">
        <f t="shared" si="25"/>
        <v>240</v>
      </c>
      <c r="R116">
        <f t="shared" si="26"/>
        <v>12</v>
      </c>
      <c r="S116">
        <f t="shared" si="27"/>
        <v>1834590</v>
      </c>
      <c r="T116">
        <f t="shared" si="28"/>
        <v>2933</v>
      </c>
      <c r="U116">
        <f t="shared" si="29"/>
        <v>135</v>
      </c>
      <c r="V116">
        <f t="shared" si="30"/>
        <v>21758770</v>
      </c>
      <c r="W116">
        <f>IF($A116="","",Allocation!CD116)</f>
        <v>69137</v>
      </c>
      <c r="X116">
        <f>IF($A116="","",Allocation!CE116)</f>
        <v>173666.48</v>
      </c>
      <c r="Y116">
        <f>IF($A116="","",Allocation!CF116)</f>
        <v>41552</v>
      </c>
      <c r="Z116">
        <f>IF($A116="","",Allocation!CG116)</f>
        <v>17136</v>
      </c>
      <c r="AA116">
        <f>IF($A116="","",Allocation!CH116)</f>
        <v>350322.7</v>
      </c>
      <c r="AB116">
        <f>IF($A116="","",Allocation!CI116)</f>
        <v>2760232</v>
      </c>
      <c r="AC116">
        <f>IF($A116="","",IF(Allocation!$N$4="VOL_EFF",$G116,IF(Allocation!$N$4="VOL_CLASS",$H116,$I116)))</f>
        <v>2</v>
      </c>
      <c r="AD116">
        <f>IF($A116="","",IF(Allocation!$N$4="VOL_EFF",$L116,IF(Allocation!$N$4="VOL_CLASS",$M116,$N116)))</f>
        <v>6</v>
      </c>
      <c r="AE116">
        <f>IF($A116="","",IF(Allocation!$N$3="VOL_EFF",$L116,IF(Allocation!$N$3="VOL_CLASS",$M116,$N116)))</f>
        <v>111</v>
      </c>
      <c r="AF116">
        <f>IF($A116="","",IF(Allocation!$N$3="VOL_EFF",$Q116,IF(Allocation!$N$3="VOL_CLASS",$R116,$S116)))</f>
        <v>240</v>
      </c>
      <c r="AG116">
        <f>IF($A116="","",IF(Allocation!$N$1="VOL_EFF",$Q116,IF(Allocation!$N$1="VOL_CLASS",$R116,$S116)))</f>
        <v>240</v>
      </c>
      <c r="AH116">
        <f>IF($A116="","",IF(Allocation!$N$1="VOL_EFF",$T116,IF(Allocation!$N$1="VOL_CLASS",$U116,$V116)))</f>
        <v>2933</v>
      </c>
      <c r="AI116">
        <f t="shared" si="31"/>
        <v>23045.666666666664</v>
      </c>
      <c r="AJ116">
        <f t="shared" si="32"/>
        <v>57888.826666666668</v>
      </c>
      <c r="AK116">
        <f t="shared" si="33"/>
        <v>31361.009009009009</v>
      </c>
      <c r="AL116">
        <f t="shared" si="34"/>
        <v>116774.23333333334</v>
      </c>
      <c r="AM116">
        <f t="shared" si="35"/>
        <v>34820.519604500514</v>
      </c>
      <c r="AN116">
        <f t="shared" si="36"/>
        <v>11288.41055670823</v>
      </c>
      <c r="AO116">
        <f>IF($A116="","",Allocation!CJ116)</f>
        <v>580167</v>
      </c>
      <c r="AP116">
        <f>IF($A116="","",IF(Allocation!$N$2="VOL_EFF",$Q116,IF(Allocation!$N$2="VOL_CLASS",$R116,$S116)))</f>
        <v>1834590</v>
      </c>
      <c r="AQ116">
        <f>IF($A116="","",IF(Allocation!$N$2="VOL_EFF",$T116,IF(Allocation!$N$2="VOL_CLASS",$U116,$V116)))</f>
        <v>21758770</v>
      </c>
      <c r="AR116">
        <f t="shared" si="37"/>
        <v>7541.334163115609</v>
      </c>
      <c r="AS116" t="str">
        <f>IF($A116="","",$A116&amp;"|"&amp;Allocation!BG116)</f>
        <v>2025|ACT</v>
      </c>
    </row>
    <row r="117" spans="1:45" x14ac:dyDescent="0.45">
      <c r="A117" t="str">
        <f>IF(Allocation!BI117="","",Allocation!BI117)</f>
        <v>2025</v>
      </c>
      <c r="B117" t="str">
        <f>IF(Allocation!BJ117="","",Allocation!BJ117)</f>
        <v>TUNON_LYO</v>
      </c>
      <c r="C117" t="str">
        <f>IF(Allocation!BK117="","",Allocation!BK117)</f>
        <v>TUNON</v>
      </c>
      <c r="D117" t="str">
        <f>IF(Allocation!BL117="","",Allocation!BL117)</f>
        <v>BAC_TOU</v>
      </c>
      <c r="E117" t="str">
        <f>IF(Allocation!BM117="","",Allocation!BM117)</f>
        <v>B2</v>
      </c>
      <c r="F117" t="str">
        <f>IF(Allocation!BN117="","",Allocation!BN117)</f>
        <v>ALT</v>
      </c>
      <c r="G117">
        <f>IF(Allocation!BO117="","",Allocation!BO117)</f>
        <v>37</v>
      </c>
      <c r="H117">
        <f>IF(Allocation!BP117="","",Allocation!BP117)</f>
        <v>2</v>
      </c>
      <c r="I117">
        <f>IF(Allocation!BQ117="","",Allocation!BQ117)</f>
        <v>271950</v>
      </c>
      <c r="J117">
        <f>IF(Allocation!CC117="","",Allocation!CC117)</f>
        <v>0</v>
      </c>
      <c r="K117">
        <f t="shared" si="19"/>
        <v>960</v>
      </c>
      <c r="L117">
        <f t="shared" si="20"/>
        <v>111</v>
      </c>
      <c r="M117">
        <f t="shared" si="21"/>
        <v>6</v>
      </c>
      <c r="N117">
        <f t="shared" si="22"/>
        <v>819270</v>
      </c>
      <c r="O117">
        <f t="shared" si="23"/>
        <v>2880</v>
      </c>
      <c r="P117">
        <f t="shared" si="24"/>
        <v>38</v>
      </c>
      <c r="Q117">
        <f t="shared" si="25"/>
        <v>240</v>
      </c>
      <c r="R117">
        <f t="shared" si="26"/>
        <v>12</v>
      </c>
      <c r="S117">
        <f t="shared" si="27"/>
        <v>1834590</v>
      </c>
      <c r="T117">
        <f t="shared" si="28"/>
        <v>2933</v>
      </c>
      <c r="U117">
        <f t="shared" si="29"/>
        <v>135</v>
      </c>
      <c r="V117">
        <f t="shared" si="30"/>
        <v>21758770</v>
      </c>
      <c r="W117">
        <f>IF($A117="","",Allocation!CD117)</f>
        <v>69137</v>
      </c>
      <c r="X117">
        <f>IF($A117="","",Allocation!CE117)</f>
        <v>173666.48</v>
      </c>
      <c r="Y117">
        <f>IF($A117="","",Allocation!CF117)</f>
        <v>41552</v>
      </c>
      <c r="Z117">
        <f>IF($A117="","",Allocation!CG117)</f>
        <v>17136</v>
      </c>
      <c r="AA117">
        <f>IF($A117="","",Allocation!CH117)</f>
        <v>350322.7</v>
      </c>
      <c r="AB117">
        <f>IF($A117="","",Allocation!CI117)</f>
        <v>2760232</v>
      </c>
      <c r="AC117">
        <f>IF($A117="","",IF(Allocation!$N$4="VOL_EFF",$G117,IF(Allocation!$N$4="VOL_CLASS",$H117,$I117)))</f>
        <v>2</v>
      </c>
      <c r="AD117">
        <f>IF($A117="","",IF(Allocation!$N$4="VOL_EFF",$L117,IF(Allocation!$N$4="VOL_CLASS",$M117,$N117)))</f>
        <v>6</v>
      </c>
      <c r="AE117">
        <f>IF($A117="","",IF(Allocation!$N$3="VOL_EFF",$L117,IF(Allocation!$N$3="VOL_CLASS",$M117,$N117)))</f>
        <v>111</v>
      </c>
      <c r="AF117">
        <f>IF($A117="","",IF(Allocation!$N$3="VOL_EFF",$Q117,IF(Allocation!$N$3="VOL_CLASS",$R117,$S117)))</f>
        <v>240</v>
      </c>
      <c r="AG117">
        <f>IF($A117="","",IF(Allocation!$N$1="VOL_EFF",$Q117,IF(Allocation!$N$1="VOL_CLASS",$R117,$S117)))</f>
        <v>240</v>
      </c>
      <c r="AH117">
        <f>IF($A117="","",IF(Allocation!$N$1="VOL_EFF",$T117,IF(Allocation!$N$1="VOL_CLASS",$U117,$V117)))</f>
        <v>2933</v>
      </c>
      <c r="AI117">
        <f t="shared" si="31"/>
        <v>23045.666666666664</v>
      </c>
      <c r="AJ117">
        <f t="shared" si="32"/>
        <v>57888.826666666668</v>
      </c>
      <c r="AK117">
        <f t="shared" si="33"/>
        <v>13850.666666666666</v>
      </c>
      <c r="AL117">
        <f t="shared" si="34"/>
        <v>116774.23333333334</v>
      </c>
      <c r="AM117">
        <f t="shared" si="35"/>
        <v>34820.519604500514</v>
      </c>
      <c r="AN117">
        <f t="shared" si="36"/>
        <v>18028.752899050509</v>
      </c>
      <c r="AO117">
        <f>IF($A117="","",Allocation!CJ117)</f>
        <v>580167</v>
      </c>
      <c r="AP117">
        <f>IF($A117="","",IF(Allocation!$N$2="VOL_EFF",$Q117,IF(Allocation!$N$2="VOL_CLASS",$R117,$S117)))</f>
        <v>1834590</v>
      </c>
      <c r="AQ117">
        <f>IF($A117="","",IF(Allocation!$N$2="VOL_EFF",$T117,IF(Allocation!$N$2="VOL_CLASS",$U117,$V117)))</f>
        <v>21758770</v>
      </c>
      <c r="AR117">
        <f t="shared" si="37"/>
        <v>7541.334163115609</v>
      </c>
      <c r="AS117" t="str">
        <f>IF($A117="","",$A117&amp;"|"&amp;Allocation!BG117)</f>
        <v>2025|ACT</v>
      </c>
    </row>
    <row r="118" spans="1:45" x14ac:dyDescent="0.45">
      <c r="A118" t="str">
        <f>IF(Allocation!BI118="","",Allocation!BI118)</f>
        <v>2025</v>
      </c>
      <c r="B118" t="str">
        <f>IF(Allocation!BJ118="","",Allocation!BJ118)</f>
        <v>TUNON_LYO</v>
      </c>
      <c r="C118" t="str">
        <f>IF(Allocation!BK118="","",Allocation!BK118)</f>
        <v>TUNON</v>
      </c>
      <c r="D118" t="str">
        <f>IF(Allocation!BL118="","",Allocation!BL118)</f>
        <v>BAC_TOU</v>
      </c>
      <c r="E118" t="str">
        <f>IF(Allocation!BM118="","",Allocation!BM118)</f>
        <v>B3</v>
      </c>
      <c r="F118" t="str">
        <f>IF(Allocation!BN118="","",Allocation!BN118)</f>
        <v>ALT</v>
      </c>
      <c r="G118">
        <f>IF(Allocation!BO118="","",Allocation!BO118)</f>
        <v>36</v>
      </c>
      <c r="H118">
        <f>IF(Allocation!BP118="","",Allocation!BP118)</f>
        <v>2</v>
      </c>
      <c r="I118">
        <f>IF(Allocation!BQ118="","",Allocation!BQ118)</f>
        <v>264600</v>
      </c>
      <c r="J118">
        <f>IF(Allocation!CC118="","",Allocation!CC118)</f>
        <v>0</v>
      </c>
      <c r="K118">
        <f t="shared" si="19"/>
        <v>960</v>
      </c>
      <c r="L118">
        <f t="shared" si="20"/>
        <v>111</v>
      </c>
      <c r="M118">
        <f t="shared" si="21"/>
        <v>6</v>
      </c>
      <c r="N118">
        <f t="shared" si="22"/>
        <v>819270</v>
      </c>
      <c r="O118">
        <f t="shared" si="23"/>
        <v>2880</v>
      </c>
      <c r="P118">
        <f t="shared" si="24"/>
        <v>38</v>
      </c>
      <c r="Q118">
        <f t="shared" si="25"/>
        <v>240</v>
      </c>
      <c r="R118">
        <f t="shared" si="26"/>
        <v>12</v>
      </c>
      <c r="S118">
        <f t="shared" si="27"/>
        <v>1834590</v>
      </c>
      <c r="T118">
        <f t="shared" si="28"/>
        <v>2933</v>
      </c>
      <c r="U118">
        <f t="shared" si="29"/>
        <v>135</v>
      </c>
      <c r="V118">
        <f t="shared" si="30"/>
        <v>21758770</v>
      </c>
      <c r="W118">
        <f>IF($A118="","",Allocation!CD118)</f>
        <v>69137</v>
      </c>
      <c r="X118">
        <f>IF($A118="","",Allocation!CE118)</f>
        <v>173666.48</v>
      </c>
      <c r="Y118">
        <f>IF($A118="","",Allocation!CF118)</f>
        <v>41552</v>
      </c>
      <c r="Z118">
        <f>IF($A118="","",Allocation!CG118)</f>
        <v>17136</v>
      </c>
      <c r="AA118">
        <f>IF($A118="","",Allocation!CH118)</f>
        <v>350322.7</v>
      </c>
      <c r="AB118">
        <f>IF($A118="","",Allocation!CI118)</f>
        <v>2760232</v>
      </c>
      <c r="AC118">
        <f>IF($A118="","",IF(Allocation!$N$4="VOL_EFF",$G118,IF(Allocation!$N$4="VOL_CLASS",$H118,$I118)))</f>
        <v>2</v>
      </c>
      <c r="AD118">
        <f>IF($A118="","",IF(Allocation!$N$4="VOL_EFF",$L118,IF(Allocation!$N$4="VOL_CLASS",$M118,$N118)))</f>
        <v>6</v>
      </c>
      <c r="AE118">
        <f>IF($A118="","",IF(Allocation!$N$3="VOL_EFF",$L118,IF(Allocation!$N$3="VOL_CLASS",$M118,$N118)))</f>
        <v>111</v>
      </c>
      <c r="AF118">
        <f>IF($A118="","",IF(Allocation!$N$3="VOL_EFF",$Q118,IF(Allocation!$N$3="VOL_CLASS",$R118,$S118)))</f>
        <v>240</v>
      </c>
      <c r="AG118">
        <f>IF($A118="","",IF(Allocation!$N$1="VOL_EFF",$Q118,IF(Allocation!$N$1="VOL_CLASS",$R118,$S118)))</f>
        <v>240</v>
      </c>
      <c r="AH118">
        <f>IF($A118="","",IF(Allocation!$N$1="VOL_EFF",$T118,IF(Allocation!$N$1="VOL_CLASS",$U118,$V118)))</f>
        <v>2933</v>
      </c>
      <c r="AI118">
        <f t="shared" si="31"/>
        <v>23045.666666666664</v>
      </c>
      <c r="AJ118">
        <f t="shared" si="32"/>
        <v>57888.826666666668</v>
      </c>
      <c r="AK118">
        <f t="shared" si="33"/>
        <v>13476.324324324325</v>
      </c>
      <c r="AL118">
        <f t="shared" si="34"/>
        <v>116774.23333333334</v>
      </c>
      <c r="AM118">
        <f t="shared" si="35"/>
        <v>34820.519604500514</v>
      </c>
      <c r="AN118">
        <f t="shared" si="36"/>
        <v>11053.095241392875</v>
      </c>
      <c r="AO118">
        <f>IF($A118="","",Allocation!CJ118)</f>
        <v>580167</v>
      </c>
      <c r="AP118">
        <f>IF($A118="","",IF(Allocation!$N$2="VOL_EFF",$Q118,IF(Allocation!$N$2="VOL_CLASS",$R118,$S118)))</f>
        <v>1834590</v>
      </c>
      <c r="AQ118">
        <f>IF($A118="","",IF(Allocation!$N$2="VOL_EFF",$T118,IF(Allocation!$N$2="VOL_CLASS",$U118,$V118)))</f>
        <v>21758770</v>
      </c>
      <c r="AR118">
        <f t="shared" si="37"/>
        <v>7541.334163115609</v>
      </c>
      <c r="AS118" t="str">
        <f>IF($A118="","",$A118&amp;"|"&amp;Allocation!BG118)</f>
        <v>2025|ACT</v>
      </c>
    </row>
    <row r="119" spans="1:45" x14ac:dyDescent="0.45">
      <c r="A119" t="str">
        <f>IF(Allocation!BI119="","",Allocation!BI119)</f>
        <v>2025</v>
      </c>
      <c r="B119" t="str">
        <f>IF(Allocation!BJ119="","",Allocation!BJ119)</f>
        <v>TUNON_PAR</v>
      </c>
      <c r="C119" t="str">
        <f>IF(Allocation!BK119="","",Allocation!BK119)</f>
        <v>TUNON</v>
      </c>
      <c r="D119" t="str">
        <f>IF(Allocation!BL119="","",Allocation!BL119)</f>
        <v>BAC_TOU</v>
      </c>
      <c r="E119" t="str">
        <f>IF(Allocation!BM119="","",Allocation!BM119)</f>
        <v>B1</v>
      </c>
      <c r="F119" t="str">
        <f>IF(Allocation!BN119="","",Allocation!BN119)</f>
        <v>ALT</v>
      </c>
      <c r="G119">
        <f>IF(Allocation!BO119="","",Allocation!BO119)</f>
        <v>44</v>
      </c>
      <c r="H119">
        <f>IF(Allocation!BP119="","",Allocation!BP119)</f>
        <v>2</v>
      </c>
      <c r="I119">
        <f>IF(Allocation!BQ119="","",Allocation!BQ119)</f>
        <v>348920</v>
      </c>
      <c r="J119">
        <f>IF(Allocation!CC119="","",Allocation!CC119)</f>
        <v>44</v>
      </c>
      <c r="K119">
        <f t="shared" si="19"/>
        <v>960</v>
      </c>
      <c r="L119">
        <f t="shared" si="20"/>
        <v>129</v>
      </c>
      <c r="M119">
        <f t="shared" si="21"/>
        <v>6</v>
      </c>
      <c r="N119">
        <f t="shared" si="22"/>
        <v>1015320</v>
      </c>
      <c r="O119">
        <f t="shared" si="23"/>
        <v>2880</v>
      </c>
      <c r="P119">
        <f t="shared" si="24"/>
        <v>44</v>
      </c>
      <c r="Q119">
        <f t="shared" si="25"/>
        <v>240</v>
      </c>
      <c r="R119">
        <f t="shared" si="26"/>
        <v>12</v>
      </c>
      <c r="S119">
        <f t="shared" si="27"/>
        <v>1834590</v>
      </c>
      <c r="T119">
        <f t="shared" si="28"/>
        <v>2933</v>
      </c>
      <c r="U119">
        <f t="shared" si="29"/>
        <v>135</v>
      </c>
      <c r="V119">
        <f t="shared" si="30"/>
        <v>21758770</v>
      </c>
      <c r="W119">
        <f>IF($A119="","",Allocation!CD119)</f>
        <v>69137</v>
      </c>
      <c r="X119">
        <f>IF($A119="","",Allocation!CE119)</f>
        <v>205065.3</v>
      </c>
      <c r="Y119">
        <f>IF($A119="","",Allocation!CF119)</f>
        <v>49010</v>
      </c>
      <c r="Z119">
        <f>IF($A119="","",Allocation!CG119)</f>
        <v>27491</v>
      </c>
      <c r="AA119">
        <f>IF($A119="","",Allocation!CH119)</f>
        <v>459763.86</v>
      </c>
      <c r="AB119">
        <f>IF($A119="","",Allocation!CI119)</f>
        <v>2760232</v>
      </c>
      <c r="AC119">
        <f>IF($A119="","",IF(Allocation!$N$4="VOL_EFF",$G119,IF(Allocation!$N$4="VOL_CLASS",$H119,$I119)))</f>
        <v>2</v>
      </c>
      <c r="AD119">
        <f>IF($A119="","",IF(Allocation!$N$4="VOL_EFF",$L119,IF(Allocation!$N$4="VOL_CLASS",$M119,$N119)))</f>
        <v>6</v>
      </c>
      <c r="AE119">
        <f>IF($A119="","",IF(Allocation!$N$3="VOL_EFF",$L119,IF(Allocation!$N$3="VOL_CLASS",$M119,$N119)))</f>
        <v>129</v>
      </c>
      <c r="AF119">
        <f>IF($A119="","",IF(Allocation!$N$3="VOL_EFF",$Q119,IF(Allocation!$N$3="VOL_CLASS",$R119,$S119)))</f>
        <v>240</v>
      </c>
      <c r="AG119">
        <f>IF($A119="","",IF(Allocation!$N$1="VOL_EFF",$Q119,IF(Allocation!$N$1="VOL_CLASS",$R119,$S119)))</f>
        <v>240</v>
      </c>
      <c r="AH119">
        <f>IF($A119="","",IF(Allocation!$N$1="VOL_EFF",$T119,IF(Allocation!$N$1="VOL_CLASS",$U119,$V119)))</f>
        <v>2933</v>
      </c>
      <c r="AI119">
        <f t="shared" si="31"/>
        <v>23045.666666666664</v>
      </c>
      <c r="AJ119">
        <f t="shared" si="32"/>
        <v>68355.099999999991</v>
      </c>
      <c r="AK119">
        <f t="shared" si="33"/>
        <v>44207.589147286824</v>
      </c>
      <c r="AL119">
        <f t="shared" si="34"/>
        <v>153254.62</v>
      </c>
      <c r="AM119">
        <f t="shared" si="35"/>
        <v>40467.090351176266</v>
      </c>
      <c r="AN119">
        <f t="shared" si="36"/>
        <v>10825.680618276412</v>
      </c>
      <c r="AO119">
        <f>IF($A119="","",Allocation!CJ119)</f>
        <v>580167</v>
      </c>
      <c r="AP119">
        <f>IF($A119="","",IF(Allocation!$N$2="VOL_EFF",$Q119,IF(Allocation!$N$2="VOL_CLASS",$R119,$S119)))</f>
        <v>1834590</v>
      </c>
      <c r="AQ119">
        <f>IF($A119="","",IF(Allocation!$N$2="VOL_EFF",$T119,IF(Allocation!$N$2="VOL_CLASS",$U119,$V119)))</f>
        <v>21758770</v>
      </c>
      <c r="AR119">
        <f t="shared" si="37"/>
        <v>8764.2532165938137</v>
      </c>
      <c r="AS119" t="str">
        <f>IF($A119="","",$A119&amp;"|"&amp;Allocation!BG119)</f>
        <v>2025|ACT</v>
      </c>
    </row>
    <row r="120" spans="1:45" x14ac:dyDescent="0.45">
      <c r="A120" t="str">
        <f>IF(Allocation!BI120="","",Allocation!BI120)</f>
        <v>2025</v>
      </c>
      <c r="B120" t="str">
        <f>IF(Allocation!BJ120="","",Allocation!BJ120)</f>
        <v>TUNON_PAR</v>
      </c>
      <c r="C120" t="str">
        <f>IF(Allocation!BK120="","",Allocation!BK120)</f>
        <v>TUNON</v>
      </c>
      <c r="D120" t="str">
        <f>IF(Allocation!BL120="","",Allocation!BL120)</f>
        <v>BAC_TOU</v>
      </c>
      <c r="E120" t="str">
        <f>IF(Allocation!BM120="","",Allocation!BM120)</f>
        <v>B2</v>
      </c>
      <c r="F120" t="str">
        <f>IF(Allocation!BN120="","",Allocation!BN120)</f>
        <v>ALT</v>
      </c>
      <c r="G120">
        <f>IF(Allocation!BO120="","",Allocation!BO120)</f>
        <v>43</v>
      </c>
      <c r="H120">
        <f>IF(Allocation!BP120="","",Allocation!BP120)</f>
        <v>2</v>
      </c>
      <c r="I120">
        <f>IF(Allocation!BQ120="","",Allocation!BQ120)</f>
        <v>337120</v>
      </c>
      <c r="J120">
        <f>IF(Allocation!CC120="","",Allocation!CC120)</f>
        <v>0</v>
      </c>
      <c r="K120">
        <f t="shared" si="19"/>
        <v>960</v>
      </c>
      <c r="L120">
        <f t="shared" si="20"/>
        <v>129</v>
      </c>
      <c r="M120">
        <f t="shared" si="21"/>
        <v>6</v>
      </c>
      <c r="N120">
        <f t="shared" si="22"/>
        <v>1015320</v>
      </c>
      <c r="O120">
        <f t="shared" si="23"/>
        <v>2880</v>
      </c>
      <c r="P120">
        <f t="shared" si="24"/>
        <v>44</v>
      </c>
      <c r="Q120">
        <f t="shared" si="25"/>
        <v>240</v>
      </c>
      <c r="R120">
        <f t="shared" si="26"/>
        <v>12</v>
      </c>
      <c r="S120">
        <f t="shared" si="27"/>
        <v>1834590</v>
      </c>
      <c r="T120">
        <f t="shared" si="28"/>
        <v>2933</v>
      </c>
      <c r="U120">
        <f t="shared" si="29"/>
        <v>135</v>
      </c>
      <c r="V120">
        <f t="shared" si="30"/>
        <v>21758770</v>
      </c>
      <c r="W120">
        <f>IF($A120="","",Allocation!CD120)</f>
        <v>69137</v>
      </c>
      <c r="X120">
        <f>IF($A120="","",Allocation!CE120)</f>
        <v>205065.3</v>
      </c>
      <c r="Y120">
        <f>IF($A120="","",Allocation!CF120)</f>
        <v>49010</v>
      </c>
      <c r="Z120">
        <f>IF($A120="","",Allocation!CG120)</f>
        <v>27491</v>
      </c>
      <c r="AA120">
        <f>IF($A120="","",Allocation!CH120)</f>
        <v>459763.86</v>
      </c>
      <c r="AB120">
        <f>IF($A120="","",Allocation!CI120)</f>
        <v>2760232</v>
      </c>
      <c r="AC120">
        <f>IF($A120="","",IF(Allocation!$N$4="VOL_EFF",$G120,IF(Allocation!$N$4="VOL_CLASS",$H120,$I120)))</f>
        <v>2</v>
      </c>
      <c r="AD120">
        <f>IF($A120="","",IF(Allocation!$N$4="VOL_EFF",$L120,IF(Allocation!$N$4="VOL_CLASS",$M120,$N120)))</f>
        <v>6</v>
      </c>
      <c r="AE120">
        <f>IF($A120="","",IF(Allocation!$N$3="VOL_EFF",$L120,IF(Allocation!$N$3="VOL_CLASS",$M120,$N120)))</f>
        <v>129</v>
      </c>
      <c r="AF120">
        <f>IF($A120="","",IF(Allocation!$N$3="VOL_EFF",$Q120,IF(Allocation!$N$3="VOL_CLASS",$R120,$S120)))</f>
        <v>240</v>
      </c>
      <c r="AG120">
        <f>IF($A120="","",IF(Allocation!$N$1="VOL_EFF",$Q120,IF(Allocation!$N$1="VOL_CLASS",$R120,$S120)))</f>
        <v>240</v>
      </c>
      <c r="AH120">
        <f>IF($A120="","",IF(Allocation!$N$1="VOL_EFF",$T120,IF(Allocation!$N$1="VOL_CLASS",$U120,$V120)))</f>
        <v>2933</v>
      </c>
      <c r="AI120">
        <f t="shared" si="31"/>
        <v>23045.666666666664</v>
      </c>
      <c r="AJ120">
        <f t="shared" si="32"/>
        <v>68355.099999999991</v>
      </c>
      <c r="AK120">
        <f t="shared" si="33"/>
        <v>16336.666666666666</v>
      </c>
      <c r="AL120">
        <f t="shared" si="34"/>
        <v>153254.62</v>
      </c>
      <c r="AM120">
        <f t="shared" si="35"/>
        <v>40467.090351176266</v>
      </c>
      <c r="AN120">
        <f t="shared" si="36"/>
        <v>26896.603098896565</v>
      </c>
      <c r="AO120">
        <f>IF($A120="","",Allocation!CJ120)</f>
        <v>580167</v>
      </c>
      <c r="AP120">
        <f>IF($A120="","",IF(Allocation!$N$2="VOL_EFF",$Q120,IF(Allocation!$N$2="VOL_CLASS",$R120,$S120)))</f>
        <v>1834590</v>
      </c>
      <c r="AQ120">
        <f>IF($A120="","",IF(Allocation!$N$2="VOL_EFF",$T120,IF(Allocation!$N$2="VOL_CLASS",$U120,$V120)))</f>
        <v>21758770</v>
      </c>
      <c r="AR120">
        <f t="shared" si="37"/>
        <v>8764.2532165938137</v>
      </c>
      <c r="AS120" t="str">
        <f>IF($A120="","",$A120&amp;"|"&amp;Allocation!BG120)</f>
        <v>2025|ACT</v>
      </c>
    </row>
    <row r="121" spans="1:45" x14ac:dyDescent="0.45">
      <c r="A121" t="str">
        <f>IF(Allocation!BI121="","",Allocation!BI121)</f>
        <v>2025</v>
      </c>
      <c r="B121" t="str">
        <f>IF(Allocation!BJ121="","",Allocation!BJ121)</f>
        <v>TUNON_PAR</v>
      </c>
      <c r="C121" t="str">
        <f>IF(Allocation!BK121="","",Allocation!BK121)</f>
        <v>TUNON</v>
      </c>
      <c r="D121" t="str">
        <f>IF(Allocation!BL121="","",Allocation!BL121)</f>
        <v>BAC_TOU</v>
      </c>
      <c r="E121" t="str">
        <f>IF(Allocation!BM121="","",Allocation!BM121)</f>
        <v>B3</v>
      </c>
      <c r="F121" t="str">
        <f>IF(Allocation!BN121="","",Allocation!BN121)</f>
        <v>ALT</v>
      </c>
      <c r="G121">
        <f>IF(Allocation!BO121="","",Allocation!BO121)</f>
        <v>42</v>
      </c>
      <c r="H121">
        <f>IF(Allocation!BP121="","",Allocation!BP121)</f>
        <v>2</v>
      </c>
      <c r="I121">
        <f>IF(Allocation!BQ121="","",Allocation!BQ121)</f>
        <v>329280</v>
      </c>
      <c r="J121">
        <f>IF(Allocation!CC121="","",Allocation!CC121)</f>
        <v>0</v>
      </c>
      <c r="K121">
        <f t="shared" si="19"/>
        <v>960</v>
      </c>
      <c r="L121">
        <f t="shared" si="20"/>
        <v>129</v>
      </c>
      <c r="M121">
        <f t="shared" si="21"/>
        <v>6</v>
      </c>
      <c r="N121">
        <f t="shared" si="22"/>
        <v>1015320</v>
      </c>
      <c r="O121">
        <f t="shared" si="23"/>
        <v>2880</v>
      </c>
      <c r="P121">
        <f t="shared" si="24"/>
        <v>44</v>
      </c>
      <c r="Q121">
        <f t="shared" si="25"/>
        <v>240</v>
      </c>
      <c r="R121">
        <f t="shared" si="26"/>
        <v>12</v>
      </c>
      <c r="S121">
        <f t="shared" si="27"/>
        <v>1834590</v>
      </c>
      <c r="T121">
        <f t="shared" si="28"/>
        <v>2933</v>
      </c>
      <c r="U121">
        <f t="shared" si="29"/>
        <v>135</v>
      </c>
      <c r="V121">
        <f t="shared" si="30"/>
        <v>21758770</v>
      </c>
      <c r="W121">
        <f>IF($A121="","",Allocation!CD121)</f>
        <v>69137</v>
      </c>
      <c r="X121">
        <f>IF($A121="","",Allocation!CE121)</f>
        <v>205065.3</v>
      </c>
      <c r="Y121">
        <f>IF($A121="","",Allocation!CF121)</f>
        <v>49010</v>
      </c>
      <c r="Z121">
        <f>IF($A121="","",Allocation!CG121)</f>
        <v>27491</v>
      </c>
      <c r="AA121">
        <f>IF($A121="","",Allocation!CH121)</f>
        <v>459763.86</v>
      </c>
      <c r="AB121">
        <f>IF($A121="","",Allocation!CI121)</f>
        <v>2760232</v>
      </c>
      <c r="AC121">
        <f>IF($A121="","",IF(Allocation!$N$4="VOL_EFF",$G121,IF(Allocation!$N$4="VOL_CLASS",$H121,$I121)))</f>
        <v>2</v>
      </c>
      <c r="AD121">
        <f>IF($A121="","",IF(Allocation!$N$4="VOL_EFF",$L121,IF(Allocation!$N$4="VOL_CLASS",$M121,$N121)))</f>
        <v>6</v>
      </c>
      <c r="AE121">
        <f>IF($A121="","",IF(Allocation!$N$3="VOL_EFF",$L121,IF(Allocation!$N$3="VOL_CLASS",$M121,$N121)))</f>
        <v>129</v>
      </c>
      <c r="AF121">
        <f>IF($A121="","",IF(Allocation!$N$3="VOL_EFF",$Q121,IF(Allocation!$N$3="VOL_CLASS",$R121,$S121)))</f>
        <v>240</v>
      </c>
      <c r="AG121">
        <f>IF($A121="","",IF(Allocation!$N$1="VOL_EFF",$Q121,IF(Allocation!$N$1="VOL_CLASS",$R121,$S121)))</f>
        <v>240</v>
      </c>
      <c r="AH121">
        <f>IF($A121="","",IF(Allocation!$N$1="VOL_EFF",$T121,IF(Allocation!$N$1="VOL_CLASS",$U121,$V121)))</f>
        <v>2933</v>
      </c>
      <c r="AI121">
        <f t="shared" si="31"/>
        <v>23045.666666666664</v>
      </c>
      <c r="AJ121">
        <f t="shared" si="32"/>
        <v>68355.099999999991</v>
      </c>
      <c r="AK121">
        <f t="shared" si="33"/>
        <v>15956.744186046513</v>
      </c>
      <c r="AL121">
        <f t="shared" si="34"/>
        <v>153254.62</v>
      </c>
      <c r="AM121">
        <f t="shared" si="35"/>
        <v>40467.090351176266</v>
      </c>
      <c r="AN121">
        <f t="shared" si="36"/>
        <v>19436.525579516718</v>
      </c>
      <c r="AO121">
        <f>IF($A121="","",Allocation!CJ121)</f>
        <v>580167</v>
      </c>
      <c r="AP121">
        <f>IF($A121="","",IF(Allocation!$N$2="VOL_EFF",$Q121,IF(Allocation!$N$2="VOL_CLASS",$R121,$S121)))</f>
        <v>1834590</v>
      </c>
      <c r="AQ121">
        <f>IF($A121="","",IF(Allocation!$N$2="VOL_EFF",$T121,IF(Allocation!$N$2="VOL_CLASS",$U121,$V121)))</f>
        <v>21758770</v>
      </c>
      <c r="AR121">
        <f t="shared" si="37"/>
        <v>8764.2532165938137</v>
      </c>
      <c r="AS121" t="str">
        <f>IF($A121="","",$A121&amp;"|"&amp;Allocation!BG121)</f>
        <v>2025|ACT</v>
      </c>
    </row>
    <row r="122" spans="1:45" x14ac:dyDescent="0.45">
      <c r="A122" t="str">
        <f>IF(Allocation!BI122="","",Allocation!BI122)</f>
        <v>2026</v>
      </c>
      <c r="B122" t="str">
        <f>IF(Allocation!BJ122="","",Allocation!BJ122)</f>
        <v>IPAC_MTP</v>
      </c>
      <c r="C122" t="str">
        <f>IF(Allocation!BK122="","",Allocation!BK122)</f>
        <v>IPAC</v>
      </c>
      <c r="D122" t="str">
        <f>IF(Allocation!BL122="","",Allocation!BL122)</f>
        <v>BAC_CCE</v>
      </c>
      <c r="E122" t="str">
        <f>IF(Allocation!BM122="","",Allocation!BM122)</f>
        <v>B1</v>
      </c>
      <c r="F122" t="str">
        <f>IF(Allocation!BN122="","",Allocation!BN122)</f>
        <v>ALT</v>
      </c>
      <c r="G122">
        <f>IF(Allocation!BO122="","",Allocation!BO122)</f>
        <v>40</v>
      </c>
      <c r="H122">
        <f>IF(Allocation!BP122="","",Allocation!BP122)</f>
        <v>2</v>
      </c>
      <c r="I122">
        <f>IF(Allocation!BQ122="","",Allocation!BQ122)</f>
        <v>269600</v>
      </c>
      <c r="J122">
        <f>IF(Allocation!CC122="","",Allocation!CC122)</f>
        <v>40</v>
      </c>
      <c r="K122">
        <f t="shared" si="19"/>
        <v>960</v>
      </c>
      <c r="L122">
        <f t="shared" si="20"/>
        <v>117</v>
      </c>
      <c r="M122">
        <f t="shared" si="21"/>
        <v>6</v>
      </c>
      <c r="N122">
        <f t="shared" si="22"/>
        <v>781650</v>
      </c>
      <c r="O122">
        <f t="shared" si="23"/>
        <v>2880</v>
      </c>
      <c r="P122">
        <f t="shared" si="24"/>
        <v>40</v>
      </c>
      <c r="Q122">
        <f t="shared" si="25"/>
        <v>379</v>
      </c>
      <c r="R122">
        <f t="shared" si="26"/>
        <v>18</v>
      </c>
      <c r="S122">
        <f t="shared" si="27"/>
        <v>2582800</v>
      </c>
      <c r="T122">
        <f t="shared" si="28"/>
        <v>3114</v>
      </c>
      <c r="U122">
        <f t="shared" si="29"/>
        <v>135</v>
      </c>
      <c r="V122">
        <f t="shared" si="30"/>
        <v>23098985</v>
      </c>
      <c r="W122">
        <f>IF($A122="","",Allocation!CD122)</f>
        <v>72438</v>
      </c>
      <c r="X122">
        <f>IF($A122="","",Allocation!CE122)</f>
        <v>136087.43</v>
      </c>
      <c r="Y122">
        <f>IF($A122="","",Allocation!CF122)</f>
        <v>43535</v>
      </c>
      <c r="Z122">
        <f>IF($A122="","",Allocation!CG122)</f>
        <v>15178</v>
      </c>
      <c r="AA122">
        <f>IF($A122="","",Allocation!CH122)</f>
        <v>274517.82</v>
      </c>
      <c r="AB122">
        <f>IF($A122="","",Allocation!CI122)</f>
        <v>2891983</v>
      </c>
      <c r="AC122">
        <f>IF($A122="","",IF(Allocation!$N$4="VOL_EFF",$G122,IF(Allocation!$N$4="VOL_CLASS",$H122,$I122)))</f>
        <v>2</v>
      </c>
      <c r="AD122">
        <f>IF($A122="","",IF(Allocation!$N$4="VOL_EFF",$L122,IF(Allocation!$N$4="VOL_CLASS",$M122,$N122)))</f>
        <v>6</v>
      </c>
      <c r="AE122">
        <f>IF($A122="","",IF(Allocation!$N$3="VOL_EFF",$L122,IF(Allocation!$N$3="VOL_CLASS",$M122,$N122)))</f>
        <v>117</v>
      </c>
      <c r="AF122">
        <f>IF($A122="","",IF(Allocation!$N$3="VOL_EFF",$Q122,IF(Allocation!$N$3="VOL_CLASS",$R122,$S122)))</f>
        <v>379</v>
      </c>
      <c r="AG122">
        <f>IF($A122="","",IF(Allocation!$N$1="VOL_EFF",$Q122,IF(Allocation!$N$1="VOL_CLASS",$R122,$S122)))</f>
        <v>379</v>
      </c>
      <c r="AH122">
        <f>IF($A122="","",IF(Allocation!$N$1="VOL_EFF",$T122,IF(Allocation!$N$1="VOL_CLASS",$U122,$V122)))</f>
        <v>3114</v>
      </c>
      <c r="AI122">
        <f t="shared" si="31"/>
        <v>24146</v>
      </c>
      <c r="AJ122">
        <f t="shared" si="32"/>
        <v>45362.476666666662</v>
      </c>
      <c r="AK122">
        <f t="shared" si="33"/>
        <v>30061.760683760684</v>
      </c>
      <c r="AL122">
        <f t="shared" si="34"/>
        <v>91505.94</v>
      </c>
      <c r="AM122">
        <f t="shared" si="35"/>
        <v>36219.44026974951</v>
      </c>
      <c r="AN122">
        <f t="shared" si="36"/>
        <v>34522.387878303416</v>
      </c>
      <c r="AO122">
        <f>IF($A122="","",Allocation!CJ122)</f>
        <v>676344</v>
      </c>
      <c r="AP122">
        <f>IF($A122="","",IF(Allocation!$N$2="VOL_EFF",$Q122,IF(Allocation!$N$2="VOL_CLASS",$R122,$S122)))</f>
        <v>2582800</v>
      </c>
      <c r="AQ122">
        <f>IF($A122="","",IF(Allocation!$N$2="VOL_EFF",$T122,IF(Allocation!$N$2="VOL_CLASS",$U122,$V122)))</f>
        <v>23098985</v>
      </c>
      <c r="AR122">
        <f t="shared" si="37"/>
        <v>7781.9945015197009</v>
      </c>
      <c r="AS122" t="str">
        <f>IF($A122="","",$A122&amp;"|"&amp;Allocation!BG122)</f>
        <v>2026|ACT</v>
      </c>
    </row>
    <row r="123" spans="1:45" x14ac:dyDescent="0.45">
      <c r="A123" t="str">
        <f>IF(Allocation!BI123="","",Allocation!BI123)</f>
        <v>2026</v>
      </c>
      <c r="B123" t="str">
        <f>IF(Allocation!BJ123="","",Allocation!BJ123)</f>
        <v>IPAC_MTP</v>
      </c>
      <c r="C123" t="str">
        <f>IF(Allocation!BK123="","",Allocation!BK123)</f>
        <v>IPAC</v>
      </c>
      <c r="D123" t="str">
        <f>IF(Allocation!BL123="","",Allocation!BL123)</f>
        <v>BAC_CCE</v>
      </c>
      <c r="E123" t="str">
        <f>IF(Allocation!BM123="","",Allocation!BM123)</f>
        <v>B2</v>
      </c>
      <c r="F123" t="str">
        <f>IF(Allocation!BN123="","",Allocation!BN123)</f>
        <v>ALT</v>
      </c>
      <c r="G123">
        <f>IF(Allocation!BO123="","",Allocation!BO123)</f>
        <v>39</v>
      </c>
      <c r="H123">
        <f>IF(Allocation!BP123="","",Allocation!BP123)</f>
        <v>2</v>
      </c>
      <c r="I123">
        <f>IF(Allocation!BQ123="","",Allocation!BQ123)</f>
        <v>259350</v>
      </c>
      <c r="J123">
        <f>IF(Allocation!CC123="","",Allocation!CC123)</f>
        <v>0</v>
      </c>
      <c r="K123">
        <f t="shared" si="19"/>
        <v>960</v>
      </c>
      <c r="L123">
        <f t="shared" si="20"/>
        <v>117</v>
      </c>
      <c r="M123">
        <f t="shared" si="21"/>
        <v>6</v>
      </c>
      <c r="N123">
        <f t="shared" si="22"/>
        <v>781650</v>
      </c>
      <c r="O123">
        <f t="shared" si="23"/>
        <v>2880</v>
      </c>
      <c r="P123">
        <f t="shared" si="24"/>
        <v>40</v>
      </c>
      <c r="Q123">
        <f t="shared" si="25"/>
        <v>379</v>
      </c>
      <c r="R123">
        <f t="shared" si="26"/>
        <v>18</v>
      </c>
      <c r="S123">
        <f t="shared" si="27"/>
        <v>2582800</v>
      </c>
      <c r="T123">
        <f t="shared" si="28"/>
        <v>3114</v>
      </c>
      <c r="U123">
        <f t="shared" si="29"/>
        <v>135</v>
      </c>
      <c r="V123">
        <f t="shared" si="30"/>
        <v>23098985</v>
      </c>
      <c r="W123">
        <f>IF($A123="","",Allocation!CD123)</f>
        <v>72438</v>
      </c>
      <c r="X123">
        <f>IF($A123="","",Allocation!CE123)</f>
        <v>136087.43</v>
      </c>
      <c r="Y123">
        <f>IF($A123="","",Allocation!CF123)</f>
        <v>43535</v>
      </c>
      <c r="Z123">
        <f>IF($A123="","",Allocation!CG123)</f>
        <v>15178</v>
      </c>
      <c r="AA123">
        <f>IF($A123="","",Allocation!CH123)</f>
        <v>274517.82</v>
      </c>
      <c r="AB123">
        <f>IF($A123="","",Allocation!CI123)</f>
        <v>2891983</v>
      </c>
      <c r="AC123">
        <f>IF($A123="","",IF(Allocation!$N$4="VOL_EFF",$G123,IF(Allocation!$N$4="VOL_CLASS",$H123,$I123)))</f>
        <v>2</v>
      </c>
      <c r="AD123">
        <f>IF($A123="","",IF(Allocation!$N$4="VOL_EFF",$L123,IF(Allocation!$N$4="VOL_CLASS",$M123,$N123)))</f>
        <v>6</v>
      </c>
      <c r="AE123">
        <f>IF($A123="","",IF(Allocation!$N$3="VOL_EFF",$L123,IF(Allocation!$N$3="VOL_CLASS",$M123,$N123)))</f>
        <v>117</v>
      </c>
      <c r="AF123">
        <f>IF($A123="","",IF(Allocation!$N$3="VOL_EFF",$Q123,IF(Allocation!$N$3="VOL_CLASS",$R123,$S123)))</f>
        <v>379</v>
      </c>
      <c r="AG123">
        <f>IF($A123="","",IF(Allocation!$N$1="VOL_EFF",$Q123,IF(Allocation!$N$1="VOL_CLASS",$R123,$S123)))</f>
        <v>379</v>
      </c>
      <c r="AH123">
        <f>IF($A123="","",IF(Allocation!$N$1="VOL_EFF",$T123,IF(Allocation!$N$1="VOL_CLASS",$U123,$V123)))</f>
        <v>3114</v>
      </c>
      <c r="AI123">
        <f t="shared" si="31"/>
        <v>24146</v>
      </c>
      <c r="AJ123">
        <f t="shared" si="32"/>
        <v>45362.476666666662</v>
      </c>
      <c r="AK123">
        <f t="shared" si="33"/>
        <v>14511.666666666666</v>
      </c>
      <c r="AL123">
        <f t="shared" si="34"/>
        <v>91505.94</v>
      </c>
      <c r="AM123">
        <f t="shared" si="35"/>
        <v>36219.44026974951</v>
      </c>
      <c r="AN123">
        <f t="shared" si="36"/>
        <v>39822.481895397475</v>
      </c>
      <c r="AO123">
        <f>IF($A123="","",Allocation!CJ123)</f>
        <v>676344</v>
      </c>
      <c r="AP123">
        <f>IF($A123="","",IF(Allocation!$N$2="VOL_EFF",$Q123,IF(Allocation!$N$2="VOL_CLASS",$R123,$S123)))</f>
        <v>2582800</v>
      </c>
      <c r="AQ123">
        <f>IF($A123="","",IF(Allocation!$N$2="VOL_EFF",$T123,IF(Allocation!$N$2="VOL_CLASS",$U123,$V123)))</f>
        <v>23098985</v>
      </c>
      <c r="AR123">
        <f t="shared" si="37"/>
        <v>7781.9945015197009</v>
      </c>
      <c r="AS123" t="str">
        <f>IF($A123="","",$A123&amp;"|"&amp;Allocation!BG123)</f>
        <v>2026|ACT</v>
      </c>
    </row>
    <row r="124" spans="1:45" x14ac:dyDescent="0.45">
      <c r="A124" t="str">
        <f>IF(Allocation!BI124="","",Allocation!BI124)</f>
        <v>2026</v>
      </c>
      <c r="B124" t="str">
        <f>IF(Allocation!BJ124="","",Allocation!BJ124)</f>
        <v>IPAC_MTP</v>
      </c>
      <c r="C124" t="str">
        <f>IF(Allocation!BK124="","",Allocation!BK124)</f>
        <v>IPAC</v>
      </c>
      <c r="D124" t="str">
        <f>IF(Allocation!BL124="","",Allocation!BL124)</f>
        <v>BAC_CCE</v>
      </c>
      <c r="E124" t="str">
        <f>IF(Allocation!BM124="","",Allocation!BM124)</f>
        <v>B3</v>
      </c>
      <c r="F124" t="str">
        <f>IF(Allocation!BN124="","",Allocation!BN124)</f>
        <v>ALT</v>
      </c>
      <c r="G124">
        <f>IF(Allocation!BO124="","",Allocation!BO124)</f>
        <v>38</v>
      </c>
      <c r="H124">
        <f>IF(Allocation!BP124="","",Allocation!BP124)</f>
        <v>2</v>
      </c>
      <c r="I124">
        <f>IF(Allocation!BQ124="","",Allocation!BQ124)</f>
        <v>252700</v>
      </c>
      <c r="J124">
        <f>IF(Allocation!CC124="","",Allocation!CC124)</f>
        <v>0</v>
      </c>
      <c r="K124">
        <f t="shared" si="19"/>
        <v>960</v>
      </c>
      <c r="L124">
        <f t="shared" si="20"/>
        <v>117</v>
      </c>
      <c r="M124">
        <f t="shared" si="21"/>
        <v>6</v>
      </c>
      <c r="N124">
        <f t="shared" si="22"/>
        <v>781650</v>
      </c>
      <c r="O124">
        <f t="shared" si="23"/>
        <v>2880</v>
      </c>
      <c r="P124">
        <f t="shared" si="24"/>
        <v>40</v>
      </c>
      <c r="Q124">
        <f t="shared" si="25"/>
        <v>379</v>
      </c>
      <c r="R124">
        <f t="shared" si="26"/>
        <v>18</v>
      </c>
      <c r="S124">
        <f t="shared" si="27"/>
        <v>2582800</v>
      </c>
      <c r="T124">
        <f t="shared" si="28"/>
        <v>3114</v>
      </c>
      <c r="U124">
        <f t="shared" si="29"/>
        <v>135</v>
      </c>
      <c r="V124">
        <f t="shared" si="30"/>
        <v>23098985</v>
      </c>
      <c r="W124">
        <f>IF($A124="","",Allocation!CD124)</f>
        <v>72438</v>
      </c>
      <c r="X124">
        <f>IF($A124="","",Allocation!CE124)</f>
        <v>136087.43</v>
      </c>
      <c r="Y124">
        <f>IF($A124="","",Allocation!CF124)</f>
        <v>43535</v>
      </c>
      <c r="Z124">
        <f>IF($A124="","",Allocation!CG124)</f>
        <v>15178</v>
      </c>
      <c r="AA124">
        <f>IF($A124="","",Allocation!CH124)</f>
        <v>274517.82</v>
      </c>
      <c r="AB124">
        <f>IF($A124="","",Allocation!CI124)</f>
        <v>2891983</v>
      </c>
      <c r="AC124">
        <f>IF($A124="","",IF(Allocation!$N$4="VOL_EFF",$G124,IF(Allocation!$N$4="VOL_CLASS",$H124,$I124)))</f>
        <v>2</v>
      </c>
      <c r="AD124">
        <f>IF($A124="","",IF(Allocation!$N$4="VOL_EFF",$L124,IF(Allocation!$N$4="VOL_CLASS",$M124,$N124)))</f>
        <v>6</v>
      </c>
      <c r="AE124">
        <f>IF($A124="","",IF(Allocation!$N$3="VOL_EFF",$L124,IF(Allocation!$N$3="VOL_CLASS",$M124,$N124)))</f>
        <v>117</v>
      </c>
      <c r="AF124">
        <f>IF($A124="","",IF(Allocation!$N$3="VOL_EFF",$Q124,IF(Allocation!$N$3="VOL_CLASS",$R124,$S124)))</f>
        <v>379</v>
      </c>
      <c r="AG124">
        <f>IF($A124="","",IF(Allocation!$N$1="VOL_EFF",$Q124,IF(Allocation!$N$1="VOL_CLASS",$R124,$S124)))</f>
        <v>379</v>
      </c>
      <c r="AH124">
        <f>IF($A124="","",IF(Allocation!$N$1="VOL_EFF",$T124,IF(Allocation!$N$1="VOL_CLASS",$U124,$V124)))</f>
        <v>3114</v>
      </c>
      <c r="AI124">
        <f t="shared" si="31"/>
        <v>24146</v>
      </c>
      <c r="AJ124">
        <f t="shared" si="32"/>
        <v>45362.476666666662</v>
      </c>
      <c r="AK124">
        <f t="shared" si="33"/>
        <v>14139.57264957265</v>
      </c>
      <c r="AL124">
        <f t="shared" si="34"/>
        <v>91505.94</v>
      </c>
      <c r="AM124">
        <f t="shared" si="35"/>
        <v>36219.44026974951</v>
      </c>
      <c r="AN124">
        <f t="shared" si="36"/>
        <v>33544.575912491477</v>
      </c>
      <c r="AO124">
        <f>IF($A124="","",Allocation!CJ124)</f>
        <v>676344</v>
      </c>
      <c r="AP124">
        <f>IF($A124="","",IF(Allocation!$N$2="VOL_EFF",$Q124,IF(Allocation!$N$2="VOL_CLASS",$R124,$S124)))</f>
        <v>2582800</v>
      </c>
      <c r="AQ124">
        <f>IF($A124="","",IF(Allocation!$N$2="VOL_EFF",$T124,IF(Allocation!$N$2="VOL_CLASS",$U124,$V124)))</f>
        <v>23098985</v>
      </c>
      <c r="AR124">
        <f t="shared" si="37"/>
        <v>7781.9945015197009</v>
      </c>
      <c r="AS124" t="str">
        <f>IF($A124="","",$A124&amp;"|"&amp;Allocation!BG124)</f>
        <v>2026|ACT</v>
      </c>
    </row>
    <row r="125" spans="1:45" x14ac:dyDescent="0.45">
      <c r="A125" t="str">
        <f>IF(Allocation!BI125="","",Allocation!BI125)</f>
        <v>2026</v>
      </c>
      <c r="B125" t="str">
        <f>IF(Allocation!BJ125="","",Allocation!BJ125)</f>
        <v>IPAC_NAN</v>
      </c>
      <c r="C125" t="str">
        <f>IF(Allocation!BK125="","",Allocation!BK125)</f>
        <v>IPAC</v>
      </c>
      <c r="D125" t="str">
        <f>IF(Allocation!BL125="","",Allocation!BL125)</f>
        <v>BAC_CCE</v>
      </c>
      <c r="E125" t="str">
        <f>IF(Allocation!BM125="","",Allocation!BM125)</f>
        <v>B1</v>
      </c>
      <c r="F125" t="str">
        <f>IF(Allocation!BN125="","",Allocation!BN125)</f>
        <v>ALT</v>
      </c>
      <c r="G125">
        <f>IF(Allocation!BO125="","",Allocation!BO125)</f>
        <v>50</v>
      </c>
      <c r="H125">
        <f>IF(Allocation!BP125="","",Allocation!BP125)</f>
        <v>2</v>
      </c>
      <c r="I125">
        <f>IF(Allocation!BQ125="","",Allocation!BQ125)</f>
        <v>354500</v>
      </c>
      <c r="J125">
        <f>IF(Allocation!CC125="","",Allocation!CC125)</f>
        <v>50</v>
      </c>
      <c r="K125">
        <f t="shared" si="19"/>
        <v>960</v>
      </c>
      <c r="L125">
        <f t="shared" si="20"/>
        <v>145</v>
      </c>
      <c r="M125">
        <f t="shared" si="21"/>
        <v>6</v>
      </c>
      <c r="N125">
        <f t="shared" si="22"/>
        <v>1019500</v>
      </c>
      <c r="O125">
        <f t="shared" si="23"/>
        <v>2880</v>
      </c>
      <c r="P125">
        <f t="shared" si="24"/>
        <v>50</v>
      </c>
      <c r="Q125">
        <f t="shared" si="25"/>
        <v>379</v>
      </c>
      <c r="R125">
        <f t="shared" si="26"/>
        <v>18</v>
      </c>
      <c r="S125">
        <f t="shared" si="27"/>
        <v>2582800</v>
      </c>
      <c r="T125">
        <f t="shared" si="28"/>
        <v>3114</v>
      </c>
      <c r="U125">
        <f t="shared" si="29"/>
        <v>135</v>
      </c>
      <c r="V125">
        <f t="shared" si="30"/>
        <v>23098985</v>
      </c>
      <c r="W125">
        <f>IF($A125="","",Allocation!CD125)</f>
        <v>72438</v>
      </c>
      <c r="X125">
        <f>IF($A125="","",Allocation!CE125)</f>
        <v>168182.73</v>
      </c>
      <c r="Y125">
        <f>IF($A125="","",Allocation!CF125)</f>
        <v>53954</v>
      </c>
      <c r="Z125">
        <f>IF($A125="","",Allocation!CG125)</f>
        <v>21760</v>
      </c>
      <c r="AA125">
        <f>IF($A125="","",Allocation!CH125)</f>
        <v>389673.47</v>
      </c>
      <c r="AB125">
        <f>IF($A125="","",Allocation!CI125)</f>
        <v>2891983</v>
      </c>
      <c r="AC125">
        <f>IF($A125="","",IF(Allocation!$N$4="VOL_EFF",$G125,IF(Allocation!$N$4="VOL_CLASS",$H125,$I125)))</f>
        <v>2</v>
      </c>
      <c r="AD125">
        <f>IF($A125="","",IF(Allocation!$N$4="VOL_EFF",$L125,IF(Allocation!$N$4="VOL_CLASS",$M125,$N125)))</f>
        <v>6</v>
      </c>
      <c r="AE125">
        <f>IF($A125="","",IF(Allocation!$N$3="VOL_EFF",$L125,IF(Allocation!$N$3="VOL_CLASS",$M125,$N125)))</f>
        <v>145</v>
      </c>
      <c r="AF125">
        <f>IF($A125="","",IF(Allocation!$N$3="VOL_EFF",$Q125,IF(Allocation!$N$3="VOL_CLASS",$R125,$S125)))</f>
        <v>379</v>
      </c>
      <c r="AG125">
        <f>IF($A125="","",IF(Allocation!$N$1="VOL_EFF",$Q125,IF(Allocation!$N$1="VOL_CLASS",$R125,$S125)))</f>
        <v>379</v>
      </c>
      <c r="AH125">
        <f>IF($A125="","",IF(Allocation!$N$1="VOL_EFF",$T125,IF(Allocation!$N$1="VOL_CLASS",$U125,$V125)))</f>
        <v>3114</v>
      </c>
      <c r="AI125">
        <f t="shared" si="31"/>
        <v>24146</v>
      </c>
      <c r="AJ125">
        <f t="shared" si="32"/>
        <v>56060.91</v>
      </c>
      <c r="AK125">
        <f t="shared" si="33"/>
        <v>40364.827586206899</v>
      </c>
      <c r="AL125">
        <f t="shared" si="34"/>
        <v>129891.15666666665</v>
      </c>
      <c r="AM125">
        <f t="shared" si="35"/>
        <v>44887.34050524512</v>
      </c>
      <c r="AN125">
        <f t="shared" si="36"/>
        <v>49505.413081878272</v>
      </c>
      <c r="AO125">
        <f>IF($A125="","",Allocation!CJ125)</f>
        <v>676344</v>
      </c>
      <c r="AP125">
        <f>IF($A125="","",IF(Allocation!$N$2="VOL_EFF",$Q125,IF(Allocation!$N$2="VOL_CLASS",$R125,$S125)))</f>
        <v>2582800</v>
      </c>
      <c r="AQ125">
        <f>IF($A125="","",IF(Allocation!$N$2="VOL_EFF",$T125,IF(Allocation!$N$2="VOL_CLASS",$U125,$V125)))</f>
        <v>23098985</v>
      </c>
      <c r="AR125">
        <f t="shared" si="37"/>
        <v>9644.3521600030472</v>
      </c>
      <c r="AS125" t="str">
        <f>IF($A125="","",$A125&amp;"|"&amp;Allocation!BG125)</f>
        <v>2026|ACT</v>
      </c>
    </row>
    <row r="126" spans="1:45" x14ac:dyDescent="0.45">
      <c r="A126" t="str">
        <f>IF(Allocation!BI126="","",Allocation!BI126)</f>
        <v>2026</v>
      </c>
      <c r="B126" t="str">
        <f>IF(Allocation!BJ126="","",Allocation!BJ126)</f>
        <v>IPAC_NAN</v>
      </c>
      <c r="C126" t="str">
        <f>IF(Allocation!BK126="","",Allocation!BK126)</f>
        <v>IPAC</v>
      </c>
      <c r="D126" t="str">
        <f>IF(Allocation!BL126="","",Allocation!BL126)</f>
        <v>BAC_CCE</v>
      </c>
      <c r="E126" t="str">
        <f>IF(Allocation!BM126="","",Allocation!BM126)</f>
        <v>B2</v>
      </c>
      <c r="F126" t="str">
        <f>IF(Allocation!BN126="","",Allocation!BN126)</f>
        <v>ALT</v>
      </c>
      <c r="G126">
        <f>IF(Allocation!BO126="","",Allocation!BO126)</f>
        <v>48</v>
      </c>
      <c r="H126">
        <f>IF(Allocation!BP126="","",Allocation!BP126)</f>
        <v>2</v>
      </c>
      <c r="I126">
        <f>IF(Allocation!BQ126="","",Allocation!BQ126)</f>
        <v>336000</v>
      </c>
      <c r="J126">
        <f>IF(Allocation!CC126="","",Allocation!CC126)</f>
        <v>0</v>
      </c>
      <c r="K126">
        <f t="shared" si="19"/>
        <v>960</v>
      </c>
      <c r="L126">
        <f t="shared" si="20"/>
        <v>145</v>
      </c>
      <c r="M126">
        <f t="shared" si="21"/>
        <v>6</v>
      </c>
      <c r="N126">
        <f t="shared" si="22"/>
        <v>1019500</v>
      </c>
      <c r="O126">
        <f t="shared" si="23"/>
        <v>2880</v>
      </c>
      <c r="P126">
        <f t="shared" si="24"/>
        <v>50</v>
      </c>
      <c r="Q126">
        <f t="shared" si="25"/>
        <v>379</v>
      </c>
      <c r="R126">
        <f t="shared" si="26"/>
        <v>18</v>
      </c>
      <c r="S126">
        <f t="shared" si="27"/>
        <v>2582800</v>
      </c>
      <c r="T126">
        <f t="shared" si="28"/>
        <v>3114</v>
      </c>
      <c r="U126">
        <f t="shared" si="29"/>
        <v>135</v>
      </c>
      <c r="V126">
        <f t="shared" si="30"/>
        <v>23098985</v>
      </c>
      <c r="W126">
        <f>IF($A126="","",Allocation!CD126)</f>
        <v>72438</v>
      </c>
      <c r="X126">
        <f>IF($A126="","",Allocation!CE126)</f>
        <v>168182.73</v>
      </c>
      <c r="Y126">
        <f>IF($A126="","",Allocation!CF126)</f>
        <v>53954</v>
      </c>
      <c r="Z126">
        <f>IF($A126="","",Allocation!CG126)</f>
        <v>21760</v>
      </c>
      <c r="AA126">
        <f>IF($A126="","",Allocation!CH126)</f>
        <v>389673.47</v>
      </c>
      <c r="AB126">
        <f>IF($A126="","",Allocation!CI126)</f>
        <v>2891983</v>
      </c>
      <c r="AC126">
        <f>IF($A126="","",IF(Allocation!$N$4="VOL_EFF",$G126,IF(Allocation!$N$4="VOL_CLASS",$H126,$I126)))</f>
        <v>2</v>
      </c>
      <c r="AD126">
        <f>IF($A126="","",IF(Allocation!$N$4="VOL_EFF",$L126,IF(Allocation!$N$4="VOL_CLASS",$M126,$N126)))</f>
        <v>6</v>
      </c>
      <c r="AE126">
        <f>IF($A126="","",IF(Allocation!$N$3="VOL_EFF",$L126,IF(Allocation!$N$3="VOL_CLASS",$M126,$N126)))</f>
        <v>145</v>
      </c>
      <c r="AF126">
        <f>IF($A126="","",IF(Allocation!$N$3="VOL_EFF",$Q126,IF(Allocation!$N$3="VOL_CLASS",$R126,$S126)))</f>
        <v>379</v>
      </c>
      <c r="AG126">
        <f>IF($A126="","",IF(Allocation!$N$1="VOL_EFF",$Q126,IF(Allocation!$N$1="VOL_CLASS",$R126,$S126)))</f>
        <v>379</v>
      </c>
      <c r="AH126">
        <f>IF($A126="","",IF(Allocation!$N$1="VOL_EFF",$T126,IF(Allocation!$N$1="VOL_CLASS",$U126,$V126)))</f>
        <v>3114</v>
      </c>
      <c r="AI126">
        <f t="shared" si="31"/>
        <v>24146</v>
      </c>
      <c r="AJ126">
        <f t="shared" si="32"/>
        <v>56060.91</v>
      </c>
      <c r="AK126">
        <f t="shared" si="33"/>
        <v>17860.634482758622</v>
      </c>
      <c r="AL126">
        <f t="shared" si="34"/>
        <v>129891.15666666665</v>
      </c>
      <c r="AM126">
        <f t="shared" si="35"/>
        <v>44887.34050524512</v>
      </c>
      <c r="AN126">
        <f t="shared" si="36"/>
        <v>53509.606185326586</v>
      </c>
      <c r="AO126">
        <f>IF($A126="","",Allocation!CJ126)</f>
        <v>676344</v>
      </c>
      <c r="AP126">
        <f>IF($A126="","",IF(Allocation!$N$2="VOL_EFF",$Q126,IF(Allocation!$N$2="VOL_CLASS",$R126,$S126)))</f>
        <v>2582800</v>
      </c>
      <c r="AQ126">
        <f>IF($A126="","",IF(Allocation!$N$2="VOL_EFF",$T126,IF(Allocation!$N$2="VOL_CLASS",$U126,$V126)))</f>
        <v>23098985</v>
      </c>
      <c r="AR126">
        <f t="shared" si="37"/>
        <v>9644.3521600030472</v>
      </c>
      <c r="AS126" t="str">
        <f>IF($A126="","",$A126&amp;"|"&amp;Allocation!BG126)</f>
        <v>2026|ACT</v>
      </c>
    </row>
    <row r="127" spans="1:45" x14ac:dyDescent="0.45">
      <c r="A127" t="str">
        <f>IF(Allocation!BI127="","",Allocation!BI127)</f>
        <v>2026</v>
      </c>
      <c r="B127" t="str">
        <f>IF(Allocation!BJ127="","",Allocation!BJ127)</f>
        <v>IPAC_NAN</v>
      </c>
      <c r="C127" t="str">
        <f>IF(Allocation!BK127="","",Allocation!BK127)</f>
        <v>IPAC</v>
      </c>
      <c r="D127" t="str">
        <f>IF(Allocation!BL127="","",Allocation!BL127)</f>
        <v>BAC_CCE</v>
      </c>
      <c r="E127" t="str">
        <f>IF(Allocation!BM127="","",Allocation!BM127)</f>
        <v>B3</v>
      </c>
      <c r="F127" t="str">
        <f>IF(Allocation!BN127="","",Allocation!BN127)</f>
        <v>ALT</v>
      </c>
      <c r="G127">
        <f>IF(Allocation!BO127="","",Allocation!BO127)</f>
        <v>47</v>
      </c>
      <c r="H127">
        <f>IF(Allocation!BP127="","",Allocation!BP127)</f>
        <v>2</v>
      </c>
      <c r="I127">
        <f>IF(Allocation!BQ127="","",Allocation!BQ127)</f>
        <v>329000</v>
      </c>
      <c r="J127">
        <f>IF(Allocation!CC127="","",Allocation!CC127)</f>
        <v>0</v>
      </c>
      <c r="K127">
        <f t="shared" si="19"/>
        <v>960</v>
      </c>
      <c r="L127">
        <f t="shared" si="20"/>
        <v>145</v>
      </c>
      <c r="M127">
        <f t="shared" si="21"/>
        <v>6</v>
      </c>
      <c r="N127">
        <f t="shared" si="22"/>
        <v>1019500</v>
      </c>
      <c r="O127">
        <f t="shared" si="23"/>
        <v>2880</v>
      </c>
      <c r="P127">
        <f t="shared" si="24"/>
        <v>50</v>
      </c>
      <c r="Q127">
        <f t="shared" si="25"/>
        <v>379</v>
      </c>
      <c r="R127">
        <f t="shared" si="26"/>
        <v>18</v>
      </c>
      <c r="S127">
        <f t="shared" si="27"/>
        <v>2582800</v>
      </c>
      <c r="T127">
        <f t="shared" si="28"/>
        <v>3114</v>
      </c>
      <c r="U127">
        <f t="shared" si="29"/>
        <v>135</v>
      </c>
      <c r="V127">
        <f t="shared" si="30"/>
        <v>23098985</v>
      </c>
      <c r="W127">
        <f>IF($A127="","",Allocation!CD127)</f>
        <v>72438</v>
      </c>
      <c r="X127">
        <f>IF($A127="","",Allocation!CE127)</f>
        <v>168182.73</v>
      </c>
      <c r="Y127">
        <f>IF($A127="","",Allocation!CF127)</f>
        <v>53954</v>
      </c>
      <c r="Z127">
        <f>IF($A127="","",Allocation!CG127)</f>
        <v>21760</v>
      </c>
      <c r="AA127">
        <f>IF($A127="","",Allocation!CH127)</f>
        <v>389673.47</v>
      </c>
      <c r="AB127">
        <f>IF($A127="","",Allocation!CI127)</f>
        <v>2891983</v>
      </c>
      <c r="AC127">
        <f>IF($A127="","",IF(Allocation!$N$4="VOL_EFF",$G127,IF(Allocation!$N$4="VOL_CLASS",$H127,$I127)))</f>
        <v>2</v>
      </c>
      <c r="AD127">
        <f>IF($A127="","",IF(Allocation!$N$4="VOL_EFF",$L127,IF(Allocation!$N$4="VOL_CLASS",$M127,$N127)))</f>
        <v>6</v>
      </c>
      <c r="AE127">
        <f>IF($A127="","",IF(Allocation!$N$3="VOL_EFF",$L127,IF(Allocation!$N$3="VOL_CLASS",$M127,$N127)))</f>
        <v>145</v>
      </c>
      <c r="AF127">
        <f>IF($A127="","",IF(Allocation!$N$3="VOL_EFF",$Q127,IF(Allocation!$N$3="VOL_CLASS",$R127,$S127)))</f>
        <v>379</v>
      </c>
      <c r="AG127">
        <f>IF($A127="","",IF(Allocation!$N$1="VOL_EFF",$Q127,IF(Allocation!$N$1="VOL_CLASS",$R127,$S127)))</f>
        <v>379</v>
      </c>
      <c r="AH127">
        <f>IF($A127="","",IF(Allocation!$N$1="VOL_EFF",$T127,IF(Allocation!$N$1="VOL_CLASS",$U127,$V127)))</f>
        <v>3114</v>
      </c>
      <c r="AI127">
        <f t="shared" si="31"/>
        <v>24146</v>
      </c>
      <c r="AJ127">
        <f t="shared" si="32"/>
        <v>56060.91</v>
      </c>
      <c r="AK127">
        <f t="shared" si="33"/>
        <v>17488.537931034483</v>
      </c>
      <c r="AL127">
        <f t="shared" si="34"/>
        <v>129891.15666666665</v>
      </c>
      <c r="AM127">
        <f t="shared" si="35"/>
        <v>44887.34050524512</v>
      </c>
      <c r="AN127">
        <f t="shared" si="36"/>
        <v>46881.702737050713</v>
      </c>
      <c r="AO127">
        <f>IF($A127="","",Allocation!CJ127)</f>
        <v>676344</v>
      </c>
      <c r="AP127">
        <f>IF($A127="","",IF(Allocation!$N$2="VOL_EFF",$Q127,IF(Allocation!$N$2="VOL_CLASS",$R127,$S127)))</f>
        <v>2582800</v>
      </c>
      <c r="AQ127">
        <f>IF($A127="","",IF(Allocation!$N$2="VOL_EFF",$T127,IF(Allocation!$N$2="VOL_CLASS",$U127,$V127)))</f>
        <v>23098985</v>
      </c>
      <c r="AR127">
        <f t="shared" si="37"/>
        <v>9644.3521600030472</v>
      </c>
      <c r="AS127" t="str">
        <f>IF($A127="","",$A127&amp;"|"&amp;Allocation!BG127)</f>
        <v>2026|ACT</v>
      </c>
    </row>
    <row r="128" spans="1:45" x14ac:dyDescent="0.45">
      <c r="A128" t="str">
        <f>IF(Allocation!BI128="","",Allocation!BI128)</f>
        <v>2026</v>
      </c>
      <c r="B128" t="str">
        <f>IF(Allocation!BJ128="","",Allocation!BJ128)</f>
        <v>IPAC_REN</v>
      </c>
      <c r="C128" t="str">
        <f>IF(Allocation!BK128="","",Allocation!BK128)</f>
        <v>IPAC</v>
      </c>
      <c r="D128" t="str">
        <f>IF(Allocation!BL128="","",Allocation!BL128)</f>
        <v>BAC_CCE</v>
      </c>
      <c r="E128" t="str">
        <f>IF(Allocation!BM128="","",Allocation!BM128)</f>
        <v>B1</v>
      </c>
      <c r="F128" t="str">
        <f>IF(Allocation!BN128="","",Allocation!BN128)</f>
        <v>ALT</v>
      </c>
      <c r="G128">
        <f>IF(Allocation!BO128="","",Allocation!BO128)</f>
        <v>40</v>
      </c>
      <c r="H128">
        <f>IF(Allocation!BP128="","",Allocation!BP128)</f>
        <v>2</v>
      </c>
      <c r="I128">
        <f>IF(Allocation!BQ128="","",Allocation!BQ128)</f>
        <v>269600</v>
      </c>
      <c r="J128">
        <f>IF(Allocation!CC128="","",Allocation!CC128)</f>
        <v>40</v>
      </c>
      <c r="K128">
        <f t="shared" si="19"/>
        <v>960</v>
      </c>
      <c r="L128">
        <f t="shared" si="20"/>
        <v>117</v>
      </c>
      <c r="M128">
        <f t="shared" si="21"/>
        <v>6</v>
      </c>
      <c r="N128">
        <f t="shared" si="22"/>
        <v>781650</v>
      </c>
      <c r="O128">
        <f t="shared" si="23"/>
        <v>2880</v>
      </c>
      <c r="P128">
        <f t="shared" si="24"/>
        <v>40</v>
      </c>
      <c r="Q128">
        <f t="shared" si="25"/>
        <v>379</v>
      </c>
      <c r="R128">
        <f t="shared" si="26"/>
        <v>18</v>
      </c>
      <c r="S128">
        <f t="shared" si="27"/>
        <v>2582800</v>
      </c>
      <c r="T128">
        <f t="shared" si="28"/>
        <v>3114</v>
      </c>
      <c r="U128">
        <f t="shared" si="29"/>
        <v>135</v>
      </c>
      <c r="V128">
        <f t="shared" si="30"/>
        <v>23098985</v>
      </c>
      <c r="W128">
        <f>IF($A128="","",Allocation!CD128)</f>
        <v>72438</v>
      </c>
      <c r="X128">
        <f>IF($A128="","",Allocation!CE128)</f>
        <v>136168.63</v>
      </c>
      <c r="Y128">
        <f>IF($A128="","",Allocation!CF128)</f>
        <v>43535</v>
      </c>
      <c r="Z128">
        <f>IF($A128="","",Allocation!CG128)</f>
        <v>14933</v>
      </c>
      <c r="AA128">
        <f>IF($A128="","",Allocation!CH128)</f>
        <v>274681.62</v>
      </c>
      <c r="AB128">
        <f>IF($A128="","",Allocation!CI128)</f>
        <v>2891983</v>
      </c>
      <c r="AC128">
        <f>IF($A128="","",IF(Allocation!$N$4="VOL_EFF",$G128,IF(Allocation!$N$4="VOL_CLASS",$H128,$I128)))</f>
        <v>2</v>
      </c>
      <c r="AD128">
        <f>IF($A128="","",IF(Allocation!$N$4="VOL_EFF",$L128,IF(Allocation!$N$4="VOL_CLASS",$M128,$N128)))</f>
        <v>6</v>
      </c>
      <c r="AE128">
        <f>IF($A128="","",IF(Allocation!$N$3="VOL_EFF",$L128,IF(Allocation!$N$3="VOL_CLASS",$M128,$N128)))</f>
        <v>117</v>
      </c>
      <c r="AF128">
        <f>IF($A128="","",IF(Allocation!$N$3="VOL_EFF",$Q128,IF(Allocation!$N$3="VOL_CLASS",$R128,$S128)))</f>
        <v>379</v>
      </c>
      <c r="AG128">
        <f>IF($A128="","",IF(Allocation!$N$1="VOL_EFF",$Q128,IF(Allocation!$N$1="VOL_CLASS",$R128,$S128)))</f>
        <v>379</v>
      </c>
      <c r="AH128">
        <f>IF($A128="","",IF(Allocation!$N$1="VOL_EFF",$T128,IF(Allocation!$N$1="VOL_CLASS",$U128,$V128)))</f>
        <v>3114</v>
      </c>
      <c r="AI128">
        <f t="shared" si="31"/>
        <v>24146</v>
      </c>
      <c r="AJ128">
        <f t="shared" si="32"/>
        <v>45389.543333333335</v>
      </c>
      <c r="AK128">
        <f t="shared" si="33"/>
        <v>29816.760683760684</v>
      </c>
      <c r="AL128">
        <f t="shared" si="34"/>
        <v>91560.54</v>
      </c>
      <c r="AM128">
        <f t="shared" si="35"/>
        <v>36219.44026974951</v>
      </c>
      <c r="AN128">
        <f t="shared" si="36"/>
        <v>34685.721211636788</v>
      </c>
      <c r="AO128">
        <f>IF($A128="","",Allocation!CJ128)</f>
        <v>676344</v>
      </c>
      <c r="AP128">
        <f>IF($A128="","",IF(Allocation!$N$2="VOL_EFF",$Q128,IF(Allocation!$N$2="VOL_CLASS",$R128,$S128)))</f>
        <v>2582800</v>
      </c>
      <c r="AQ128">
        <f>IF($A128="","",IF(Allocation!$N$2="VOL_EFF",$T128,IF(Allocation!$N$2="VOL_CLASS",$U128,$V128)))</f>
        <v>23098985</v>
      </c>
      <c r="AR128">
        <f t="shared" si="37"/>
        <v>7781.9945015197009</v>
      </c>
      <c r="AS128" t="str">
        <f>IF($A128="","",$A128&amp;"|"&amp;Allocation!BG128)</f>
        <v>2026|ACT</v>
      </c>
    </row>
    <row r="129" spans="1:45" x14ac:dyDescent="0.45">
      <c r="A129" t="str">
        <f>IF(Allocation!BI129="","",Allocation!BI129)</f>
        <v>2026</v>
      </c>
      <c r="B129" t="str">
        <f>IF(Allocation!BJ129="","",Allocation!BJ129)</f>
        <v>IPAC_REN</v>
      </c>
      <c r="C129" t="str">
        <f>IF(Allocation!BK129="","",Allocation!BK129)</f>
        <v>IPAC</v>
      </c>
      <c r="D129" t="str">
        <f>IF(Allocation!BL129="","",Allocation!BL129)</f>
        <v>BAC_CCE</v>
      </c>
      <c r="E129" t="str">
        <f>IF(Allocation!BM129="","",Allocation!BM129)</f>
        <v>B2</v>
      </c>
      <c r="F129" t="str">
        <f>IF(Allocation!BN129="","",Allocation!BN129)</f>
        <v>ALT</v>
      </c>
      <c r="G129">
        <f>IF(Allocation!BO129="","",Allocation!BO129)</f>
        <v>39</v>
      </c>
      <c r="H129">
        <f>IF(Allocation!BP129="","",Allocation!BP129)</f>
        <v>2</v>
      </c>
      <c r="I129">
        <f>IF(Allocation!BQ129="","",Allocation!BQ129)</f>
        <v>259350</v>
      </c>
      <c r="J129">
        <f>IF(Allocation!CC129="","",Allocation!CC129)</f>
        <v>0</v>
      </c>
      <c r="K129">
        <f t="shared" si="19"/>
        <v>960</v>
      </c>
      <c r="L129">
        <f t="shared" si="20"/>
        <v>117</v>
      </c>
      <c r="M129">
        <f t="shared" si="21"/>
        <v>6</v>
      </c>
      <c r="N129">
        <f t="shared" si="22"/>
        <v>781650</v>
      </c>
      <c r="O129">
        <f t="shared" si="23"/>
        <v>2880</v>
      </c>
      <c r="P129">
        <f t="shared" si="24"/>
        <v>40</v>
      </c>
      <c r="Q129">
        <f t="shared" si="25"/>
        <v>379</v>
      </c>
      <c r="R129">
        <f t="shared" si="26"/>
        <v>18</v>
      </c>
      <c r="S129">
        <f t="shared" si="27"/>
        <v>2582800</v>
      </c>
      <c r="T129">
        <f t="shared" si="28"/>
        <v>3114</v>
      </c>
      <c r="U129">
        <f t="shared" si="29"/>
        <v>135</v>
      </c>
      <c r="V129">
        <f t="shared" si="30"/>
        <v>23098985</v>
      </c>
      <c r="W129">
        <f>IF($A129="","",Allocation!CD129)</f>
        <v>72438</v>
      </c>
      <c r="X129">
        <f>IF($A129="","",Allocation!CE129)</f>
        <v>136168.63</v>
      </c>
      <c r="Y129">
        <f>IF($A129="","",Allocation!CF129)</f>
        <v>43535</v>
      </c>
      <c r="Z129">
        <f>IF($A129="","",Allocation!CG129)</f>
        <v>14933</v>
      </c>
      <c r="AA129">
        <f>IF($A129="","",Allocation!CH129)</f>
        <v>274681.62</v>
      </c>
      <c r="AB129">
        <f>IF($A129="","",Allocation!CI129)</f>
        <v>2891983</v>
      </c>
      <c r="AC129">
        <f>IF($A129="","",IF(Allocation!$N$4="VOL_EFF",$G129,IF(Allocation!$N$4="VOL_CLASS",$H129,$I129)))</f>
        <v>2</v>
      </c>
      <c r="AD129">
        <f>IF($A129="","",IF(Allocation!$N$4="VOL_EFF",$L129,IF(Allocation!$N$4="VOL_CLASS",$M129,$N129)))</f>
        <v>6</v>
      </c>
      <c r="AE129">
        <f>IF($A129="","",IF(Allocation!$N$3="VOL_EFF",$L129,IF(Allocation!$N$3="VOL_CLASS",$M129,$N129)))</f>
        <v>117</v>
      </c>
      <c r="AF129">
        <f>IF($A129="","",IF(Allocation!$N$3="VOL_EFF",$Q129,IF(Allocation!$N$3="VOL_CLASS",$R129,$S129)))</f>
        <v>379</v>
      </c>
      <c r="AG129">
        <f>IF($A129="","",IF(Allocation!$N$1="VOL_EFF",$Q129,IF(Allocation!$N$1="VOL_CLASS",$R129,$S129)))</f>
        <v>379</v>
      </c>
      <c r="AH129">
        <f>IF($A129="","",IF(Allocation!$N$1="VOL_EFF",$T129,IF(Allocation!$N$1="VOL_CLASS",$U129,$V129)))</f>
        <v>3114</v>
      </c>
      <c r="AI129">
        <f t="shared" si="31"/>
        <v>24146</v>
      </c>
      <c r="AJ129">
        <f t="shared" si="32"/>
        <v>45389.543333333335</v>
      </c>
      <c r="AK129">
        <f t="shared" si="33"/>
        <v>14511.666666666666</v>
      </c>
      <c r="AL129">
        <f t="shared" si="34"/>
        <v>91560.54</v>
      </c>
      <c r="AM129">
        <f t="shared" si="35"/>
        <v>36219.44026974951</v>
      </c>
      <c r="AN129">
        <f t="shared" si="36"/>
        <v>39740.815228730789</v>
      </c>
      <c r="AO129">
        <f>IF($A129="","",Allocation!CJ129)</f>
        <v>676344</v>
      </c>
      <c r="AP129">
        <f>IF($A129="","",IF(Allocation!$N$2="VOL_EFF",$Q129,IF(Allocation!$N$2="VOL_CLASS",$R129,$S129)))</f>
        <v>2582800</v>
      </c>
      <c r="AQ129">
        <f>IF($A129="","",IF(Allocation!$N$2="VOL_EFF",$T129,IF(Allocation!$N$2="VOL_CLASS",$U129,$V129)))</f>
        <v>23098985</v>
      </c>
      <c r="AR129">
        <f t="shared" si="37"/>
        <v>7781.9945015197009</v>
      </c>
      <c r="AS129" t="str">
        <f>IF($A129="","",$A129&amp;"|"&amp;Allocation!BG129)</f>
        <v>2026|ACT</v>
      </c>
    </row>
    <row r="130" spans="1:45" x14ac:dyDescent="0.45">
      <c r="A130" t="str">
        <f>IF(Allocation!BI130="","",Allocation!BI130)</f>
        <v>2026</v>
      </c>
      <c r="B130" t="str">
        <f>IF(Allocation!BJ130="","",Allocation!BJ130)</f>
        <v>IPAC_REN</v>
      </c>
      <c r="C130" t="str">
        <f>IF(Allocation!BK130="","",Allocation!BK130)</f>
        <v>IPAC</v>
      </c>
      <c r="D130" t="str">
        <f>IF(Allocation!BL130="","",Allocation!BL130)</f>
        <v>BAC_CCE</v>
      </c>
      <c r="E130" t="str">
        <f>IF(Allocation!BM130="","",Allocation!BM130)</f>
        <v>B3</v>
      </c>
      <c r="F130" t="str">
        <f>IF(Allocation!BN130="","",Allocation!BN130)</f>
        <v>ALT</v>
      </c>
      <c r="G130">
        <f>IF(Allocation!BO130="","",Allocation!BO130)</f>
        <v>38</v>
      </c>
      <c r="H130">
        <f>IF(Allocation!BP130="","",Allocation!BP130)</f>
        <v>2</v>
      </c>
      <c r="I130">
        <f>IF(Allocation!BQ130="","",Allocation!BQ130)</f>
        <v>252700</v>
      </c>
      <c r="J130">
        <f>IF(Allocation!CC130="","",Allocation!CC130)</f>
        <v>0</v>
      </c>
      <c r="K130">
        <f t="shared" ref="K130:K193" si="38">IF($A130="","",$H130*IF(AND(LEFT($D130,3)="BAC",$F130="INIT"),600,IF(LEFT($D130,3)="BAC",480,IF(AND(LEFT($D130,3)="MAS",$F130="INIT"),520,IF(LEFT($D130,3)="MAS",420,IF($F130="INIT",1000,700))))))</f>
        <v>960</v>
      </c>
      <c r="L130">
        <f t="shared" ref="L130:L193" si="39">IF($A130="","",SUMIFS($G$1:$G$349,$AS$1:$AS$349,$AS130,$B$1:$B$349,$B130))</f>
        <v>117</v>
      </c>
      <c r="M130">
        <f t="shared" ref="M130:M193" si="40">IF($A130="","",SUMIFS($H$1:$H$349,$AS$1:$AS$349,$AS130,$B$1:$B$349,$B130))</f>
        <v>6</v>
      </c>
      <c r="N130">
        <f t="shared" ref="N130:N193" si="41">IF($A130="","",SUMIFS($I$1:$I$349,$AS$1:$AS$349,$AS130,$B$1:$B$349,$B130))</f>
        <v>781650</v>
      </c>
      <c r="O130">
        <f t="shared" ref="O130:O193" si="42">IF($A130="","",SUMIFS($K$1:$K$349,$AS$1:$AS$349,$AS130,$B$1:$B$349,$B130))</f>
        <v>2880</v>
      </c>
      <c r="P130">
        <f t="shared" ref="P130:P193" si="43">IF($A130="","",SUMIFS($J$1:$J$349,$AS$1:$AS$349,$AS130,$B$1:$B$349,$B130))</f>
        <v>40</v>
      </c>
      <c r="Q130">
        <f t="shared" ref="Q130:Q193" si="44">IF($A130="","",SUMIFS($G$1:$G$349,$AS$1:$AS$349,$AS130,$C$1:$C$349,$C130))</f>
        <v>379</v>
      </c>
      <c r="R130">
        <f t="shared" ref="R130:R193" si="45">IF($A130="","",SUMIFS($H$1:$H$349,$AS$1:$AS$349,$AS130,$C$1:$C$349,$C130))</f>
        <v>18</v>
      </c>
      <c r="S130">
        <f t="shared" ref="S130:S193" si="46">IF($A130="","",SUMIFS($I$1:$I$349,$AS$1:$AS$349,$AS130,$C$1:$C$349,$C130))</f>
        <v>2582800</v>
      </c>
      <c r="T130">
        <f t="shared" ref="T130:T193" si="47">IF($A130="","",SUMIFS($G$1:$G$349,$AS$1:$AS$349,$AS130))</f>
        <v>3114</v>
      </c>
      <c r="U130">
        <f t="shared" ref="U130:U193" si="48">IF($A130="","",SUMIFS($H$1:$H$349,$AS$1:$AS$349,$AS130))</f>
        <v>135</v>
      </c>
      <c r="V130">
        <f t="shared" ref="V130:V193" si="49">IF($A130="","",SUMIFS($I$1:$I$349,$AS$1:$AS$349,$AS130))</f>
        <v>23098985</v>
      </c>
      <c r="W130">
        <f>IF($A130="","",Allocation!CD130)</f>
        <v>72438</v>
      </c>
      <c r="X130">
        <f>IF($A130="","",Allocation!CE130)</f>
        <v>136168.63</v>
      </c>
      <c r="Y130">
        <f>IF($A130="","",Allocation!CF130)</f>
        <v>43535</v>
      </c>
      <c r="Z130">
        <f>IF($A130="","",Allocation!CG130)</f>
        <v>14933</v>
      </c>
      <c r="AA130">
        <f>IF($A130="","",Allocation!CH130)</f>
        <v>274681.62</v>
      </c>
      <c r="AB130">
        <f>IF($A130="","",Allocation!CI130)</f>
        <v>2891983</v>
      </c>
      <c r="AC130">
        <f>IF($A130="","",IF(Allocation!$N$4="VOL_EFF",$G130,IF(Allocation!$N$4="VOL_CLASS",$H130,$I130)))</f>
        <v>2</v>
      </c>
      <c r="AD130">
        <f>IF($A130="","",IF(Allocation!$N$4="VOL_EFF",$L130,IF(Allocation!$N$4="VOL_CLASS",$M130,$N130)))</f>
        <v>6</v>
      </c>
      <c r="AE130">
        <f>IF($A130="","",IF(Allocation!$N$3="VOL_EFF",$L130,IF(Allocation!$N$3="VOL_CLASS",$M130,$N130)))</f>
        <v>117</v>
      </c>
      <c r="AF130">
        <f>IF($A130="","",IF(Allocation!$N$3="VOL_EFF",$Q130,IF(Allocation!$N$3="VOL_CLASS",$R130,$S130)))</f>
        <v>379</v>
      </c>
      <c r="AG130">
        <f>IF($A130="","",IF(Allocation!$N$1="VOL_EFF",$Q130,IF(Allocation!$N$1="VOL_CLASS",$R130,$S130)))</f>
        <v>379</v>
      </c>
      <c r="AH130">
        <f>IF($A130="","",IF(Allocation!$N$1="VOL_EFF",$T130,IF(Allocation!$N$1="VOL_CLASS",$U130,$V130)))</f>
        <v>3114</v>
      </c>
      <c r="AI130">
        <f t="shared" ref="AI130:AI193" si="50">IF($A130="","",$W130*IFERROR($K130/$O130,0))</f>
        <v>24146</v>
      </c>
      <c r="AJ130">
        <f t="shared" ref="AJ130:AJ193" si="51">IF($A130="","",$X130*IFERROR($K130/$O130,0))</f>
        <v>45389.543333333335</v>
      </c>
      <c r="AK130">
        <f t="shared" ref="AK130:AK193" si="52">IF($A130="","",$Y130*IFERROR($G130/$L130,0)+$Z130*IFERROR($J130/$P130,0))</f>
        <v>14139.57264957265</v>
      </c>
      <c r="AL130">
        <f t="shared" ref="AL130:AL193" si="53">IF($A130="","",$AA130*IFERROR($AC130/$AD130,0))</f>
        <v>91560.54</v>
      </c>
      <c r="AM130">
        <f t="shared" ref="AM130:AM193" si="54">IF($A130="","",$AB130*IFERROR($AG130/$AH130,0)*IFERROR($AE130/$AF130,0)*IFERROR($AC130/$AD130,0))</f>
        <v>36219.44026974951</v>
      </c>
      <c r="AN130">
        <f t="shared" ref="AN130:AN193" si="55">IF($A130="","",$I130-($AI130+$AJ130+$AK130+$AL130+$AM130+$AR130))</f>
        <v>33462.909245824791</v>
      </c>
      <c r="AO130">
        <f>IF($A130="","",Allocation!CJ130)</f>
        <v>676344</v>
      </c>
      <c r="AP130">
        <f>IF($A130="","",IF(Allocation!$N$2="VOL_EFF",$Q130,IF(Allocation!$N$2="VOL_CLASS",$R130,$S130)))</f>
        <v>2582800</v>
      </c>
      <c r="AQ130">
        <f>IF($A130="","",IF(Allocation!$N$2="VOL_EFF",$T130,IF(Allocation!$N$2="VOL_CLASS",$U130,$V130)))</f>
        <v>23098985</v>
      </c>
      <c r="AR130">
        <f t="shared" ref="AR130:AR193" si="56">IF($A130="","",$AO130*IFERROR($AP130/$AQ130,0)*IFERROR($AE130/$AF130,0)*IFERROR($AC130/$AD130,0))</f>
        <v>7781.9945015197009</v>
      </c>
      <c r="AS130" t="str">
        <f>IF($A130="","",$A130&amp;"|"&amp;Allocation!BG130)</f>
        <v>2026|ACT</v>
      </c>
    </row>
    <row r="131" spans="1:45" x14ac:dyDescent="0.45">
      <c r="A131" t="str">
        <f>IF(Allocation!BI131="","",Allocation!BI131)</f>
        <v>2026</v>
      </c>
      <c r="B131" t="str">
        <f>IF(Allocation!BJ131="","",Allocation!BJ131)</f>
        <v>ISCOM_LIL</v>
      </c>
      <c r="C131" t="str">
        <f>IF(Allocation!BK131="","",Allocation!BK131)</f>
        <v>ISCOM</v>
      </c>
      <c r="D131" t="str">
        <f>IF(Allocation!BL131="","",Allocation!BL131)</f>
        <v>BAC_COM</v>
      </c>
      <c r="E131" t="str">
        <f>IF(Allocation!BM131="","",Allocation!BM131)</f>
        <v>B1</v>
      </c>
      <c r="F131" t="str">
        <f>IF(Allocation!BN131="","",Allocation!BN131)</f>
        <v>INIT</v>
      </c>
      <c r="G131">
        <f>IF(Allocation!BO131="","",Allocation!BO131)</f>
        <v>50</v>
      </c>
      <c r="H131">
        <f>IF(Allocation!BP131="","",Allocation!BP131)</f>
        <v>2</v>
      </c>
      <c r="I131">
        <f>IF(Allocation!BQ131="","",Allocation!BQ131)</f>
        <v>372000</v>
      </c>
      <c r="J131">
        <f>IF(Allocation!CC131="","",Allocation!CC131)</f>
        <v>50</v>
      </c>
      <c r="K131">
        <f t="shared" si="38"/>
        <v>1200</v>
      </c>
      <c r="L131">
        <f t="shared" si="39"/>
        <v>244</v>
      </c>
      <c r="M131">
        <f t="shared" si="40"/>
        <v>10</v>
      </c>
      <c r="N131">
        <f t="shared" si="41"/>
        <v>1755850</v>
      </c>
      <c r="O131">
        <f t="shared" si="42"/>
        <v>4800</v>
      </c>
      <c r="P131">
        <f t="shared" si="43"/>
        <v>100</v>
      </c>
      <c r="Q131">
        <f t="shared" si="44"/>
        <v>829</v>
      </c>
      <c r="R131">
        <f t="shared" si="45"/>
        <v>35</v>
      </c>
      <c r="S131">
        <f t="shared" si="46"/>
        <v>6292550</v>
      </c>
      <c r="T131">
        <f t="shared" si="47"/>
        <v>3114</v>
      </c>
      <c r="U131">
        <f t="shared" si="48"/>
        <v>135</v>
      </c>
      <c r="V131">
        <f t="shared" si="49"/>
        <v>23098985</v>
      </c>
      <c r="W131">
        <f>IF($A131="","",Allocation!CD131)</f>
        <v>120729</v>
      </c>
      <c r="X131">
        <f>IF($A131="","",Allocation!CE131)</f>
        <v>284669.17</v>
      </c>
      <c r="Y131">
        <f>IF($A131="","",Allocation!CF131)</f>
        <v>90791</v>
      </c>
      <c r="Z131">
        <f>IF($A131="","",Allocation!CG131)</f>
        <v>25220</v>
      </c>
      <c r="AA131">
        <f>IF($A131="","",Allocation!CH131)</f>
        <v>663837.12</v>
      </c>
      <c r="AB131">
        <f>IF($A131="","",Allocation!CI131)</f>
        <v>2891983</v>
      </c>
      <c r="AC131">
        <f>IF($A131="","",IF(Allocation!$N$4="VOL_EFF",$G131,IF(Allocation!$N$4="VOL_CLASS",$H131,$I131)))</f>
        <v>2</v>
      </c>
      <c r="AD131">
        <f>IF($A131="","",IF(Allocation!$N$4="VOL_EFF",$L131,IF(Allocation!$N$4="VOL_CLASS",$M131,$N131)))</f>
        <v>10</v>
      </c>
      <c r="AE131">
        <f>IF($A131="","",IF(Allocation!$N$3="VOL_EFF",$L131,IF(Allocation!$N$3="VOL_CLASS",$M131,$N131)))</f>
        <v>244</v>
      </c>
      <c r="AF131">
        <f>IF($A131="","",IF(Allocation!$N$3="VOL_EFF",$Q131,IF(Allocation!$N$3="VOL_CLASS",$R131,$S131)))</f>
        <v>829</v>
      </c>
      <c r="AG131">
        <f>IF($A131="","",IF(Allocation!$N$1="VOL_EFF",$Q131,IF(Allocation!$N$1="VOL_CLASS",$R131,$S131)))</f>
        <v>829</v>
      </c>
      <c r="AH131">
        <f>IF($A131="","",IF(Allocation!$N$1="VOL_EFF",$T131,IF(Allocation!$N$1="VOL_CLASS",$U131,$V131)))</f>
        <v>3114</v>
      </c>
      <c r="AI131">
        <f t="shared" si="50"/>
        <v>30182.25</v>
      </c>
      <c r="AJ131">
        <f t="shared" si="51"/>
        <v>71167.292499999996</v>
      </c>
      <c r="AK131">
        <f t="shared" si="52"/>
        <v>31214.7131147541</v>
      </c>
      <c r="AL131">
        <f t="shared" si="53"/>
        <v>132767.424</v>
      </c>
      <c r="AM131">
        <f t="shared" si="54"/>
        <v>45320.735517019923</v>
      </c>
      <c r="AN131">
        <f t="shared" si="55"/>
        <v>50501.657010708877</v>
      </c>
      <c r="AO131">
        <f>IF($A131="","",Allocation!CJ131)</f>
        <v>676344</v>
      </c>
      <c r="AP131">
        <f>IF($A131="","",IF(Allocation!$N$2="VOL_EFF",$Q131,IF(Allocation!$N$2="VOL_CLASS",$R131,$S131)))</f>
        <v>6292550</v>
      </c>
      <c r="AQ131">
        <f>IF($A131="","",IF(Allocation!$N$2="VOL_EFF",$T131,IF(Allocation!$N$2="VOL_CLASS",$U131,$V131)))</f>
        <v>23098985</v>
      </c>
      <c r="AR131">
        <f t="shared" si="56"/>
        <v>10845.927857517105</v>
      </c>
      <c r="AS131" t="str">
        <f>IF($A131="","",$A131&amp;"|"&amp;Allocation!BG131)</f>
        <v>2026|ACT</v>
      </c>
    </row>
    <row r="132" spans="1:45" x14ac:dyDescent="0.45">
      <c r="A132" t="str">
        <f>IF(Allocation!BI132="","",Allocation!BI132)</f>
        <v>2026</v>
      </c>
      <c r="B132" t="str">
        <f>IF(Allocation!BJ132="","",Allocation!BJ132)</f>
        <v>ISCOM_LIL</v>
      </c>
      <c r="C132" t="str">
        <f>IF(Allocation!BK132="","",Allocation!BK132)</f>
        <v>ISCOM</v>
      </c>
      <c r="D132" t="str">
        <f>IF(Allocation!BL132="","",Allocation!BL132)</f>
        <v>BAC_COM</v>
      </c>
      <c r="E132" t="str">
        <f>IF(Allocation!BM132="","",Allocation!BM132)</f>
        <v>B2</v>
      </c>
      <c r="F132" t="str">
        <f>IF(Allocation!BN132="","",Allocation!BN132)</f>
        <v>ALT</v>
      </c>
      <c r="G132">
        <f>IF(Allocation!BO132="","",Allocation!BO132)</f>
        <v>48</v>
      </c>
      <c r="H132">
        <f>IF(Allocation!BP132="","",Allocation!BP132)</f>
        <v>2</v>
      </c>
      <c r="I132">
        <f>IF(Allocation!BQ132="","",Allocation!BQ132)</f>
        <v>329280</v>
      </c>
      <c r="J132">
        <f>IF(Allocation!CC132="","",Allocation!CC132)</f>
        <v>0</v>
      </c>
      <c r="K132">
        <f t="shared" si="38"/>
        <v>960</v>
      </c>
      <c r="L132">
        <f t="shared" si="39"/>
        <v>244</v>
      </c>
      <c r="M132">
        <f t="shared" si="40"/>
        <v>10</v>
      </c>
      <c r="N132">
        <f t="shared" si="41"/>
        <v>1755850</v>
      </c>
      <c r="O132">
        <f t="shared" si="42"/>
        <v>4800</v>
      </c>
      <c r="P132">
        <f t="shared" si="43"/>
        <v>100</v>
      </c>
      <c r="Q132">
        <f t="shared" si="44"/>
        <v>829</v>
      </c>
      <c r="R132">
        <f t="shared" si="45"/>
        <v>35</v>
      </c>
      <c r="S132">
        <f t="shared" si="46"/>
        <v>6292550</v>
      </c>
      <c r="T132">
        <f t="shared" si="47"/>
        <v>3114</v>
      </c>
      <c r="U132">
        <f t="shared" si="48"/>
        <v>135</v>
      </c>
      <c r="V132">
        <f t="shared" si="49"/>
        <v>23098985</v>
      </c>
      <c r="W132">
        <f>IF($A132="","",Allocation!CD132)</f>
        <v>120729</v>
      </c>
      <c r="X132">
        <f>IF($A132="","",Allocation!CE132)</f>
        <v>284669.17</v>
      </c>
      <c r="Y132">
        <f>IF($A132="","",Allocation!CF132)</f>
        <v>90791</v>
      </c>
      <c r="Z132">
        <f>IF($A132="","",Allocation!CG132)</f>
        <v>25220</v>
      </c>
      <c r="AA132">
        <f>IF($A132="","",Allocation!CH132)</f>
        <v>663837.12</v>
      </c>
      <c r="AB132">
        <f>IF($A132="","",Allocation!CI132)</f>
        <v>2891983</v>
      </c>
      <c r="AC132">
        <f>IF($A132="","",IF(Allocation!$N$4="VOL_EFF",$G132,IF(Allocation!$N$4="VOL_CLASS",$H132,$I132)))</f>
        <v>2</v>
      </c>
      <c r="AD132">
        <f>IF($A132="","",IF(Allocation!$N$4="VOL_EFF",$L132,IF(Allocation!$N$4="VOL_CLASS",$M132,$N132)))</f>
        <v>10</v>
      </c>
      <c r="AE132">
        <f>IF($A132="","",IF(Allocation!$N$3="VOL_EFF",$L132,IF(Allocation!$N$3="VOL_CLASS",$M132,$N132)))</f>
        <v>244</v>
      </c>
      <c r="AF132">
        <f>IF($A132="","",IF(Allocation!$N$3="VOL_EFF",$Q132,IF(Allocation!$N$3="VOL_CLASS",$R132,$S132)))</f>
        <v>829</v>
      </c>
      <c r="AG132">
        <f>IF($A132="","",IF(Allocation!$N$1="VOL_EFF",$Q132,IF(Allocation!$N$1="VOL_CLASS",$R132,$S132)))</f>
        <v>829</v>
      </c>
      <c r="AH132">
        <f>IF($A132="","",IF(Allocation!$N$1="VOL_EFF",$T132,IF(Allocation!$N$1="VOL_CLASS",$U132,$V132)))</f>
        <v>3114</v>
      </c>
      <c r="AI132">
        <f t="shared" si="50"/>
        <v>24145.800000000003</v>
      </c>
      <c r="AJ132">
        <f t="shared" si="51"/>
        <v>56933.834000000003</v>
      </c>
      <c r="AK132">
        <f t="shared" si="52"/>
        <v>17860.524590163935</v>
      </c>
      <c r="AL132">
        <f t="shared" si="53"/>
        <v>132767.424</v>
      </c>
      <c r="AM132">
        <f t="shared" si="54"/>
        <v>45320.735517019923</v>
      </c>
      <c r="AN132">
        <f t="shared" si="55"/>
        <v>41405.754035299062</v>
      </c>
      <c r="AO132">
        <f>IF($A132="","",Allocation!CJ132)</f>
        <v>676344</v>
      </c>
      <c r="AP132">
        <f>IF($A132="","",IF(Allocation!$N$2="VOL_EFF",$Q132,IF(Allocation!$N$2="VOL_CLASS",$R132,$S132)))</f>
        <v>6292550</v>
      </c>
      <c r="AQ132">
        <f>IF($A132="","",IF(Allocation!$N$2="VOL_EFF",$T132,IF(Allocation!$N$2="VOL_CLASS",$U132,$V132)))</f>
        <v>23098985</v>
      </c>
      <c r="AR132">
        <f t="shared" si="56"/>
        <v>10845.927857517105</v>
      </c>
      <c r="AS132" t="str">
        <f>IF($A132="","",$A132&amp;"|"&amp;Allocation!BG132)</f>
        <v>2026|ACT</v>
      </c>
    </row>
    <row r="133" spans="1:45" x14ac:dyDescent="0.45">
      <c r="A133" t="str">
        <f>IF(Allocation!BI133="","",Allocation!BI133)</f>
        <v>2026</v>
      </c>
      <c r="B133" t="str">
        <f>IF(Allocation!BJ133="","",Allocation!BJ133)</f>
        <v>ISCOM_LIL</v>
      </c>
      <c r="C133" t="str">
        <f>IF(Allocation!BK133="","",Allocation!BK133)</f>
        <v>ISCOM</v>
      </c>
      <c r="D133" t="str">
        <f>IF(Allocation!BL133="","",Allocation!BL133)</f>
        <v>BAC_COM</v>
      </c>
      <c r="E133" t="str">
        <f>IF(Allocation!BM133="","",Allocation!BM133)</f>
        <v>B3</v>
      </c>
      <c r="F133" t="str">
        <f>IF(Allocation!BN133="","",Allocation!BN133)</f>
        <v>ALT</v>
      </c>
      <c r="G133">
        <f>IF(Allocation!BO133="","",Allocation!BO133)</f>
        <v>47</v>
      </c>
      <c r="H133">
        <f>IF(Allocation!BP133="","",Allocation!BP133)</f>
        <v>2</v>
      </c>
      <c r="I133">
        <f>IF(Allocation!BQ133="","",Allocation!BQ133)</f>
        <v>322420</v>
      </c>
      <c r="J133">
        <f>IF(Allocation!CC133="","",Allocation!CC133)</f>
        <v>0</v>
      </c>
      <c r="K133">
        <f t="shared" si="38"/>
        <v>960</v>
      </c>
      <c r="L133">
        <f t="shared" si="39"/>
        <v>244</v>
      </c>
      <c r="M133">
        <f t="shared" si="40"/>
        <v>10</v>
      </c>
      <c r="N133">
        <f t="shared" si="41"/>
        <v>1755850</v>
      </c>
      <c r="O133">
        <f t="shared" si="42"/>
        <v>4800</v>
      </c>
      <c r="P133">
        <f t="shared" si="43"/>
        <v>100</v>
      </c>
      <c r="Q133">
        <f t="shared" si="44"/>
        <v>829</v>
      </c>
      <c r="R133">
        <f t="shared" si="45"/>
        <v>35</v>
      </c>
      <c r="S133">
        <f t="shared" si="46"/>
        <v>6292550</v>
      </c>
      <c r="T133">
        <f t="shared" si="47"/>
        <v>3114</v>
      </c>
      <c r="U133">
        <f t="shared" si="48"/>
        <v>135</v>
      </c>
      <c r="V133">
        <f t="shared" si="49"/>
        <v>23098985</v>
      </c>
      <c r="W133">
        <f>IF($A133="","",Allocation!CD133)</f>
        <v>120729</v>
      </c>
      <c r="X133">
        <f>IF($A133="","",Allocation!CE133)</f>
        <v>284669.17</v>
      </c>
      <c r="Y133">
        <f>IF($A133="","",Allocation!CF133)</f>
        <v>90791</v>
      </c>
      <c r="Z133">
        <f>IF($A133="","",Allocation!CG133)</f>
        <v>25220</v>
      </c>
      <c r="AA133">
        <f>IF($A133="","",Allocation!CH133)</f>
        <v>663837.12</v>
      </c>
      <c r="AB133">
        <f>IF($A133="","",Allocation!CI133)</f>
        <v>2891983</v>
      </c>
      <c r="AC133">
        <f>IF($A133="","",IF(Allocation!$N$4="VOL_EFF",$G133,IF(Allocation!$N$4="VOL_CLASS",$H133,$I133)))</f>
        <v>2</v>
      </c>
      <c r="AD133">
        <f>IF($A133="","",IF(Allocation!$N$4="VOL_EFF",$L133,IF(Allocation!$N$4="VOL_CLASS",$M133,$N133)))</f>
        <v>10</v>
      </c>
      <c r="AE133">
        <f>IF($A133="","",IF(Allocation!$N$3="VOL_EFF",$L133,IF(Allocation!$N$3="VOL_CLASS",$M133,$N133)))</f>
        <v>244</v>
      </c>
      <c r="AF133">
        <f>IF($A133="","",IF(Allocation!$N$3="VOL_EFF",$Q133,IF(Allocation!$N$3="VOL_CLASS",$R133,$S133)))</f>
        <v>829</v>
      </c>
      <c r="AG133">
        <f>IF($A133="","",IF(Allocation!$N$1="VOL_EFF",$Q133,IF(Allocation!$N$1="VOL_CLASS",$R133,$S133)))</f>
        <v>829</v>
      </c>
      <c r="AH133">
        <f>IF($A133="","",IF(Allocation!$N$1="VOL_EFF",$T133,IF(Allocation!$N$1="VOL_CLASS",$U133,$V133)))</f>
        <v>3114</v>
      </c>
      <c r="AI133">
        <f t="shared" si="50"/>
        <v>24145.800000000003</v>
      </c>
      <c r="AJ133">
        <f t="shared" si="51"/>
        <v>56933.834000000003</v>
      </c>
      <c r="AK133">
        <f t="shared" si="52"/>
        <v>17488.430327868853</v>
      </c>
      <c r="AL133">
        <f t="shared" si="53"/>
        <v>132767.424</v>
      </c>
      <c r="AM133">
        <f t="shared" si="54"/>
        <v>45320.735517019923</v>
      </c>
      <c r="AN133">
        <f t="shared" si="55"/>
        <v>34917.848297594115</v>
      </c>
      <c r="AO133">
        <f>IF($A133="","",Allocation!CJ133)</f>
        <v>676344</v>
      </c>
      <c r="AP133">
        <f>IF($A133="","",IF(Allocation!$N$2="VOL_EFF",$Q133,IF(Allocation!$N$2="VOL_CLASS",$R133,$S133)))</f>
        <v>6292550</v>
      </c>
      <c r="AQ133">
        <f>IF($A133="","",IF(Allocation!$N$2="VOL_EFF",$T133,IF(Allocation!$N$2="VOL_CLASS",$U133,$V133)))</f>
        <v>23098985</v>
      </c>
      <c r="AR133">
        <f t="shared" si="56"/>
        <v>10845.927857517105</v>
      </c>
      <c r="AS133" t="str">
        <f>IF($A133="","",$A133&amp;"|"&amp;Allocation!BG133)</f>
        <v>2026|ACT</v>
      </c>
    </row>
    <row r="134" spans="1:45" x14ac:dyDescent="0.45">
      <c r="A134" t="str">
        <f>IF(Allocation!BI134="","",Allocation!BI134)</f>
        <v>2026</v>
      </c>
      <c r="B134" t="str">
        <f>IF(Allocation!BJ134="","",Allocation!BJ134)</f>
        <v>ISCOM_LIL</v>
      </c>
      <c r="C134" t="str">
        <f>IF(Allocation!BK134="","",Allocation!BK134)</f>
        <v>ISCOM</v>
      </c>
      <c r="D134" t="str">
        <f>IF(Allocation!BL134="","",Allocation!BL134)</f>
        <v>MAS_COM</v>
      </c>
      <c r="E134" t="str">
        <f>IF(Allocation!BM134="","",Allocation!BM134)</f>
        <v>M1</v>
      </c>
      <c r="F134" t="str">
        <f>IF(Allocation!BN134="","",Allocation!BN134)</f>
        <v>ALT</v>
      </c>
      <c r="G134">
        <f>IF(Allocation!BO134="","",Allocation!BO134)</f>
        <v>50</v>
      </c>
      <c r="H134">
        <f>IF(Allocation!BP134="","",Allocation!BP134)</f>
        <v>2</v>
      </c>
      <c r="I134">
        <f>IF(Allocation!BQ134="","",Allocation!BQ134)</f>
        <v>372000</v>
      </c>
      <c r="J134">
        <f>IF(Allocation!CC134="","",Allocation!CC134)</f>
        <v>50</v>
      </c>
      <c r="K134">
        <f t="shared" si="38"/>
        <v>840</v>
      </c>
      <c r="L134">
        <f t="shared" si="39"/>
        <v>244</v>
      </c>
      <c r="M134">
        <f t="shared" si="40"/>
        <v>10</v>
      </c>
      <c r="N134">
        <f t="shared" si="41"/>
        <v>1755850</v>
      </c>
      <c r="O134">
        <f t="shared" si="42"/>
        <v>4800</v>
      </c>
      <c r="P134">
        <f t="shared" si="43"/>
        <v>100</v>
      </c>
      <c r="Q134">
        <f t="shared" si="44"/>
        <v>829</v>
      </c>
      <c r="R134">
        <f t="shared" si="45"/>
        <v>35</v>
      </c>
      <c r="S134">
        <f t="shared" si="46"/>
        <v>6292550</v>
      </c>
      <c r="T134">
        <f t="shared" si="47"/>
        <v>3114</v>
      </c>
      <c r="U134">
        <f t="shared" si="48"/>
        <v>135</v>
      </c>
      <c r="V134">
        <f t="shared" si="49"/>
        <v>23098985</v>
      </c>
      <c r="W134">
        <f>IF($A134="","",Allocation!CD134)</f>
        <v>120729</v>
      </c>
      <c r="X134">
        <f>IF($A134="","",Allocation!CE134)</f>
        <v>284669.17</v>
      </c>
      <c r="Y134">
        <f>IF($A134="","",Allocation!CF134)</f>
        <v>90791</v>
      </c>
      <c r="Z134">
        <f>IF($A134="","",Allocation!CG134)</f>
        <v>25220</v>
      </c>
      <c r="AA134">
        <f>IF($A134="","",Allocation!CH134)</f>
        <v>663837.12</v>
      </c>
      <c r="AB134">
        <f>IF($A134="","",Allocation!CI134)</f>
        <v>2891983</v>
      </c>
      <c r="AC134">
        <f>IF($A134="","",IF(Allocation!$N$4="VOL_EFF",$G134,IF(Allocation!$N$4="VOL_CLASS",$H134,$I134)))</f>
        <v>2</v>
      </c>
      <c r="AD134">
        <f>IF($A134="","",IF(Allocation!$N$4="VOL_EFF",$L134,IF(Allocation!$N$4="VOL_CLASS",$M134,$N134)))</f>
        <v>10</v>
      </c>
      <c r="AE134">
        <f>IF($A134="","",IF(Allocation!$N$3="VOL_EFF",$L134,IF(Allocation!$N$3="VOL_CLASS",$M134,$N134)))</f>
        <v>244</v>
      </c>
      <c r="AF134">
        <f>IF($A134="","",IF(Allocation!$N$3="VOL_EFF",$Q134,IF(Allocation!$N$3="VOL_CLASS",$R134,$S134)))</f>
        <v>829</v>
      </c>
      <c r="AG134">
        <f>IF($A134="","",IF(Allocation!$N$1="VOL_EFF",$Q134,IF(Allocation!$N$1="VOL_CLASS",$R134,$S134)))</f>
        <v>829</v>
      </c>
      <c r="AH134">
        <f>IF($A134="","",IF(Allocation!$N$1="VOL_EFF",$T134,IF(Allocation!$N$1="VOL_CLASS",$U134,$V134)))</f>
        <v>3114</v>
      </c>
      <c r="AI134">
        <f t="shared" si="50"/>
        <v>21127.574999999997</v>
      </c>
      <c r="AJ134">
        <f t="shared" si="51"/>
        <v>49817.104749999991</v>
      </c>
      <c r="AK134">
        <f t="shared" si="52"/>
        <v>31214.7131147541</v>
      </c>
      <c r="AL134">
        <f t="shared" si="53"/>
        <v>132767.424</v>
      </c>
      <c r="AM134">
        <f t="shared" si="54"/>
        <v>45320.735517019923</v>
      </c>
      <c r="AN134">
        <f t="shared" si="55"/>
        <v>80906.519760708907</v>
      </c>
      <c r="AO134">
        <f>IF($A134="","",Allocation!CJ134)</f>
        <v>676344</v>
      </c>
      <c r="AP134">
        <f>IF($A134="","",IF(Allocation!$N$2="VOL_EFF",$Q134,IF(Allocation!$N$2="VOL_CLASS",$R134,$S134)))</f>
        <v>6292550</v>
      </c>
      <c r="AQ134">
        <f>IF($A134="","",IF(Allocation!$N$2="VOL_EFF",$T134,IF(Allocation!$N$2="VOL_CLASS",$U134,$V134)))</f>
        <v>23098985</v>
      </c>
      <c r="AR134">
        <f t="shared" si="56"/>
        <v>10845.927857517105</v>
      </c>
      <c r="AS134" t="str">
        <f>IF($A134="","",$A134&amp;"|"&amp;Allocation!BG134)</f>
        <v>2026|ACT</v>
      </c>
    </row>
    <row r="135" spans="1:45" x14ac:dyDescent="0.45">
      <c r="A135" t="str">
        <f>IF(Allocation!BI135="","",Allocation!BI135)</f>
        <v>2026</v>
      </c>
      <c r="B135" t="str">
        <f>IF(Allocation!BJ135="","",Allocation!BJ135)</f>
        <v>ISCOM_LIL</v>
      </c>
      <c r="C135" t="str">
        <f>IF(Allocation!BK135="","",Allocation!BK135)</f>
        <v>ISCOM</v>
      </c>
      <c r="D135" t="str">
        <f>IF(Allocation!BL135="","",Allocation!BL135)</f>
        <v>MAS_COM</v>
      </c>
      <c r="E135" t="str">
        <f>IF(Allocation!BM135="","",Allocation!BM135)</f>
        <v>M2</v>
      </c>
      <c r="F135" t="str">
        <f>IF(Allocation!BN135="","",Allocation!BN135)</f>
        <v>ALT</v>
      </c>
      <c r="G135">
        <f>IF(Allocation!BO135="","",Allocation!BO135)</f>
        <v>49</v>
      </c>
      <c r="H135">
        <f>IF(Allocation!BP135="","",Allocation!BP135)</f>
        <v>2</v>
      </c>
      <c r="I135">
        <f>IF(Allocation!BQ135="","",Allocation!BQ135)</f>
        <v>360150</v>
      </c>
      <c r="J135">
        <f>IF(Allocation!CC135="","",Allocation!CC135)</f>
        <v>0</v>
      </c>
      <c r="K135">
        <f t="shared" si="38"/>
        <v>840</v>
      </c>
      <c r="L135">
        <f t="shared" si="39"/>
        <v>244</v>
      </c>
      <c r="M135">
        <f t="shared" si="40"/>
        <v>10</v>
      </c>
      <c r="N135">
        <f t="shared" si="41"/>
        <v>1755850</v>
      </c>
      <c r="O135">
        <f t="shared" si="42"/>
        <v>4800</v>
      </c>
      <c r="P135">
        <f t="shared" si="43"/>
        <v>100</v>
      </c>
      <c r="Q135">
        <f t="shared" si="44"/>
        <v>829</v>
      </c>
      <c r="R135">
        <f t="shared" si="45"/>
        <v>35</v>
      </c>
      <c r="S135">
        <f t="shared" si="46"/>
        <v>6292550</v>
      </c>
      <c r="T135">
        <f t="shared" si="47"/>
        <v>3114</v>
      </c>
      <c r="U135">
        <f t="shared" si="48"/>
        <v>135</v>
      </c>
      <c r="V135">
        <f t="shared" si="49"/>
        <v>23098985</v>
      </c>
      <c r="W135">
        <f>IF($A135="","",Allocation!CD135)</f>
        <v>120729</v>
      </c>
      <c r="X135">
        <f>IF($A135="","",Allocation!CE135)</f>
        <v>284669.17</v>
      </c>
      <c r="Y135">
        <f>IF($A135="","",Allocation!CF135)</f>
        <v>90791</v>
      </c>
      <c r="Z135">
        <f>IF($A135="","",Allocation!CG135)</f>
        <v>25220</v>
      </c>
      <c r="AA135">
        <f>IF($A135="","",Allocation!CH135)</f>
        <v>663837.12</v>
      </c>
      <c r="AB135">
        <f>IF($A135="","",Allocation!CI135)</f>
        <v>2891983</v>
      </c>
      <c r="AC135">
        <f>IF($A135="","",IF(Allocation!$N$4="VOL_EFF",$G135,IF(Allocation!$N$4="VOL_CLASS",$H135,$I135)))</f>
        <v>2</v>
      </c>
      <c r="AD135">
        <f>IF($A135="","",IF(Allocation!$N$4="VOL_EFF",$L135,IF(Allocation!$N$4="VOL_CLASS",$M135,$N135)))</f>
        <v>10</v>
      </c>
      <c r="AE135">
        <f>IF($A135="","",IF(Allocation!$N$3="VOL_EFF",$L135,IF(Allocation!$N$3="VOL_CLASS",$M135,$N135)))</f>
        <v>244</v>
      </c>
      <c r="AF135">
        <f>IF($A135="","",IF(Allocation!$N$3="VOL_EFF",$Q135,IF(Allocation!$N$3="VOL_CLASS",$R135,$S135)))</f>
        <v>829</v>
      </c>
      <c r="AG135">
        <f>IF($A135="","",IF(Allocation!$N$1="VOL_EFF",$Q135,IF(Allocation!$N$1="VOL_CLASS",$R135,$S135)))</f>
        <v>829</v>
      </c>
      <c r="AH135">
        <f>IF($A135="","",IF(Allocation!$N$1="VOL_EFF",$T135,IF(Allocation!$N$1="VOL_CLASS",$U135,$V135)))</f>
        <v>3114</v>
      </c>
      <c r="AI135">
        <f t="shared" si="50"/>
        <v>21127.574999999997</v>
      </c>
      <c r="AJ135">
        <f t="shared" si="51"/>
        <v>49817.104749999991</v>
      </c>
      <c r="AK135">
        <f t="shared" si="52"/>
        <v>18232.618852459018</v>
      </c>
      <c r="AL135">
        <f t="shared" si="53"/>
        <v>132767.424</v>
      </c>
      <c r="AM135">
        <f t="shared" si="54"/>
        <v>45320.735517019923</v>
      </c>
      <c r="AN135">
        <f t="shared" si="55"/>
        <v>82038.614023004018</v>
      </c>
      <c r="AO135">
        <f>IF($A135="","",Allocation!CJ135)</f>
        <v>676344</v>
      </c>
      <c r="AP135">
        <f>IF($A135="","",IF(Allocation!$N$2="VOL_EFF",$Q135,IF(Allocation!$N$2="VOL_CLASS",$R135,$S135)))</f>
        <v>6292550</v>
      </c>
      <c r="AQ135">
        <f>IF($A135="","",IF(Allocation!$N$2="VOL_EFF",$T135,IF(Allocation!$N$2="VOL_CLASS",$U135,$V135)))</f>
        <v>23098985</v>
      </c>
      <c r="AR135">
        <f t="shared" si="56"/>
        <v>10845.927857517105</v>
      </c>
      <c r="AS135" t="str">
        <f>IF($A135="","",$A135&amp;"|"&amp;Allocation!BG135)</f>
        <v>2026|ACT</v>
      </c>
    </row>
    <row r="136" spans="1:45" x14ac:dyDescent="0.45">
      <c r="A136" t="str">
        <f>IF(Allocation!BI136="","",Allocation!BI136)</f>
        <v>2026</v>
      </c>
      <c r="B136" t="str">
        <f>IF(Allocation!BJ136="","",Allocation!BJ136)</f>
        <v>ISCOM_PAR</v>
      </c>
      <c r="C136" t="str">
        <f>IF(Allocation!BK136="","",Allocation!BK136)</f>
        <v>ISCOM</v>
      </c>
      <c r="D136" t="str">
        <f>IF(Allocation!BL136="","",Allocation!BL136)</f>
        <v>BAC_COM</v>
      </c>
      <c r="E136" t="str">
        <f>IF(Allocation!BM136="","",Allocation!BM136)</f>
        <v>B1</v>
      </c>
      <c r="F136" t="str">
        <f>IF(Allocation!BN136="","",Allocation!BN136)</f>
        <v>INIT</v>
      </c>
      <c r="G136">
        <f>IF(Allocation!BO136="","",Allocation!BO136)</f>
        <v>72</v>
      </c>
      <c r="H136">
        <f>IF(Allocation!BP136="","",Allocation!BP136)</f>
        <v>3</v>
      </c>
      <c r="I136">
        <f>IF(Allocation!BQ136="","",Allocation!BQ136)</f>
        <v>611280</v>
      </c>
      <c r="J136">
        <f>IF(Allocation!CC136="","",Allocation!CC136)</f>
        <v>72</v>
      </c>
      <c r="K136">
        <f t="shared" si="38"/>
        <v>1800</v>
      </c>
      <c r="L136">
        <f t="shared" si="39"/>
        <v>354</v>
      </c>
      <c r="M136">
        <f t="shared" si="40"/>
        <v>15</v>
      </c>
      <c r="N136">
        <f t="shared" si="41"/>
        <v>2908720</v>
      </c>
      <c r="O136">
        <f t="shared" si="42"/>
        <v>7200</v>
      </c>
      <c r="P136">
        <f t="shared" si="43"/>
        <v>144</v>
      </c>
      <c r="Q136">
        <f t="shared" si="44"/>
        <v>829</v>
      </c>
      <c r="R136">
        <f t="shared" si="45"/>
        <v>35</v>
      </c>
      <c r="S136">
        <f t="shared" si="46"/>
        <v>6292550</v>
      </c>
      <c r="T136">
        <f t="shared" si="47"/>
        <v>3114</v>
      </c>
      <c r="U136">
        <f t="shared" si="48"/>
        <v>135</v>
      </c>
      <c r="V136">
        <f t="shared" si="49"/>
        <v>23098985</v>
      </c>
      <c r="W136">
        <f>IF($A136="","",Allocation!CD136)</f>
        <v>181094</v>
      </c>
      <c r="X136">
        <f>IF($A136="","",Allocation!CE136)</f>
        <v>488050.48</v>
      </c>
      <c r="Y136">
        <f>IF($A136="","",Allocation!CF136)</f>
        <v>131722</v>
      </c>
      <c r="Z136">
        <f>IF($A136="","",Allocation!CG136)</f>
        <v>60800</v>
      </c>
      <c r="AA136">
        <f>IF($A136="","",Allocation!CH136)</f>
        <v>1113035.3</v>
      </c>
      <c r="AB136">
        <f>IF($A136="","",Allocation!CI136)</f>
        <v>2891983</v>
      </c>
      <c r="AC136">
        <f>IF($A136="","",IF(Allocation!$N$4="VOL_EFF",$G136,IF(Allocation!$N$4="VOL_CLASS",$H136,$I136)))</f>
        <v>3</v>
      </c>
      <c r="AD136">
        <f>IF($A136="","",IF(Allocation!$N$4="VOL_EFF",$L136,IF(Allocation!$N$4="VOL_CLASS",$M136,$N136)))</f>
        <v>15</v>
      </c>
      <c r="AE136">
        <f>IF($A136="","",IF(Allocation!$N$3="VOL_EFF",$L136,IF(Allocation!$N$3="VOL_CLASS",$M136,$N136)))</f>
        <v>354</v>
      </c>
      <c r="AF136">
        <f>IF($A136="","",IF(Allocation!$N$3="VOL_EFF",$Q136,IF(Allocation!$N$3="VOL_CLASS",$R136,$S136)))</f>
        <v>829</v>
      </c>
      <c r="AG136">
        <f>IF($A136="","",IF(Allocation!$N$1="VOL_EFF",$Q136,IF(Allocation!$N$1="VOL_CLASS",$R136,$S136)))</f>
        <v>829</v>
      </c>
      <c r="AH136">
        <f>IF($A136="","",IF(Allocation!$N$1="VOL_EFF",$T136,IF(Allocation!$N$1="VOL_CLASS",$U136,$V136)))</f>
        <v>3114</v>
      </c>
      <c r="AI136">
        <f t="shared" si="50"/>
        <v>45273.5</v>
      </c>
      <c r="AJ136">
        <f t="shared" si="51"/>
        <v>122012.62</v>
      </c>
      <c r="AK136">
        <f t="shared" si="52"/>
        <v>57190.91525423729</v>
      </c>
      <c r="AL136">
        <f t="shared" si="53"/>
        <v>222607.06000000003</v>
      </c>
      <c r="AM136">
        <f t="shared" si="54"/>
        <v>65752.214643545289</v>
      </c>
      <c r="AN136">
        <f t="shared" si="55"/>
        <v>82708.204604016384</v>
      </c>
      <c r="AO136">
        <f>IF($A136="","",Allocation!CJ136)</f>
        <v>676344</v>
      </c>
      <c r="AP136">
        <f>IF($A136="","",IF(Allocation!$N$2="VOL_EFF",$Q136,IF(Allocation!$N$2="VOL_CLASS",$R136,$S136)))</f>
        <v>6292550</v>
      </c>
      <c r="AQ136">
        <f>IF($A136="","",IF(Allocation!$N$2="VOL_EFF",$T136,IF(Allocation!$N$2="VOL_CLASS",$U136,$V136)))</f>
        <v>23098985</v>
      </c>
      <c r="AR136">
        <f t="shared" si="56"/>
        <v>15735.485498201047</v>
      </c>
      <c r="AS136" t="str">
        <f>IF($A136="","",$A136&amp;"|"&amp;Allocation!BG136)</f>
        <v>2026|ACT</v>
      </c>
    </row>
    <row r="137" spans="1:45" x14ac:dyDescent="0.45">
      <c r="A137" t="str">
        <f>IF(Allocation!BI137="","",Allocation!BI137)</f>
        <v>2026</v>
      </c>
      <c r="B137" t="str">
        <f>IF(Allocation!BJ137="","",Allocation!BJ137)</f>
        <v>ISCOM_PAR</v>
      </c>
      <c r="C137" t="str">
        <f>IF(Allocation!BK137="","",Allocation!BK137)</f>
        <v>ISCOM</v>
      </c>
      <c r="D137" t="str">
        <f>IF(Allocation!BL137="","",Allocation!BL137)</f>
        <v>BAC_COM</v>
      </c>
      <c r="E137" t="str">
        <f>IF(Allocation!BM137="","",Allocation!BM137)</f>
        <v>B2</v>
      </c>
      <c r="F137" t="str">
        <f>IF(Allocation!BN137="","",Allocation!BN137)</f>
        <v>ALT</v>
      </c>
      <c r="G137">
        <f>IF(Allocation!BO137="","",Allocation!BO137)</f>
        <v>70</v>
      </c>
      <c r="H137">
        <f>IF(Allocation!BP137="","",Allocation!BP137)</f>
        <v>3</v>
      </c>
      <c r="I137">
        <f>IF(Allocation!BQ137="","",Allocation!BQ137)</f>
        <v>548800</v>
      </c>
      <c r="J137">
        <f>IF(Allocation!CC137="","",Allocation!CC137)</f>
        <v>0</v>
      </c>
      <c r="K137">
        <f t="shared" si="38"/>
        <v>1440</v>
      </c>
      <c r="L137">
        <f t="shared" si="39"/>
        <v>354</v>
      </c>
      <c r="M137">
        <f t="shared" si="40"/>
        <v>15</v>
      </c>
      <c r="N137">
        <f t="shared" si="41"/>
        <v>2908720</v>
      </c>
      <c r="O137">
        <f t="shared" si="42"/>
        <v>7200</v>
      </c>
      <c r="P137">
        <f t="shared" si="43"/>
        <v>144</v>
      </c>
      <c r="Q137">
        <f t="shared" si="44"/>
        <v>829</v>
      </c>
      <c r="R137">
        <f t="shared" si="45"/>
        <v>35</v>
      </c>
      <c r="S137">
        <f t="shared" si="46"/>
        <v>6292550</v>
      </c>
      <c r="T137">
        <f t="shared" si="47"/>
        <v>3114</v>
      </c>
      <c r="U137">
        <f t="shared" si="48"/>
        <v>135</v>
      </c>
      <c r="V137">
        <f t="shared" si="49"/>
        <v>23098985</v>
      </c>
      <c r="W137">
        <f>IF($A137="","",Allocation!CD137)</f>
        <v>181094</v>
      </c>
      <c r="X137">
        <f>IF($A137="","",Allocation!CE137)</f>
        <v>488050.48</v>
      </c>
      <c r="Y137">
        <f>IF($A137="","",Allocation!CF137)</f>
        <v>131722</v>
      </c>
      <c r="Z137">
        <f>IF($A137="","",Allocation!CG137)</f>
        <v>60800</v>
      </c>
      <c r="AA137">
        <f>IF($A137="","",Allocation!CH137)</f>
        <v>1113035.3</v>
      </c>
      <c r="AB137">
        <f>IF($A137="","",Allocation!CI137)</f>
        <v>2891983</v>
      </c>
      <c r="AC137">
        <f>IF($A137="","",IF(Allocation!$N$4="VOL_EFF",$G137,IF(Allocation!$N$4="VOL_CLASS",$H137,$I137)))</f>
        <v>3</v>
      </c>
      <c r="AD137">
        <f>IF($A137="","",IF(Allocation!$N$4="VOL_EFF",$L137,IF(Allocation!$N$4="VOL_CLASS",$M137,$N137)))</f>
        <v>15</v>
      </c>
      <c r="AE137">
        <f>IF($A137="","",IF(Allocation!$N$3="VOL_EFF",$L137,IF(Allocation!$N$3="VOL_CLASS",$M137,$N137)))</f>
        <v>354</v>
      </c>
      <c r="AF137">
        <f>IF($A137="","",IF(Allocation!$N$3="VOL_EFF",$Q137,IF(Allocation!$N$3="VOL_CLASS",$R137,$S137)))</f>
        <v>829</v>
      </c>
      <c r="AG137">
        <f>IF($A137="","",IF(Allocation!$N$1="VOL_EFF",$Q137,IF(Allocation!$N$1="VOL_CLASS",$R137,$S137)))</f>
        <v>829</v>
      </c>
      <c r="AH137">
        <f>IF($A137="","",IF(Allocation!$N$1="VOL_EFF",$T137,IF(Allocation!$N$1="VOL_CLASS",$U137,$V137)))</f>
        <v>3114</v>
      </c>
      <c r="AI137">
        <f t="shared" si="50"/>
        <v>36218.800000000003</v>
      </c>
      <c r="AJ137">
        <f t="shared" si="51"/>
        <v>97610.096000000005</v>
      </c>
      <c r="AK137">
        <f t="shared" si="52"/>
        <v>26046.723163841809</v>
      </c>
      <c r="AL137">
        <f t="shared" si="53"/>
        <v>222607.06000000003</v>
      </c>
      <c r="AM137">
        <f t="shared" si="54"/>
        <v>65752.214643545289</v>
      </c>
      <c r="AN137">
        <f t="shared" si="55"/>
        <v>84829.620694411802</v>
      </c>
      <c r="AO137">
        <f>IF($A137="","",Allocation!CJ137)</f>
        <v>676344</v>
      </c>
      <c r="AP137">
        <f>IF($A137="","",IF(Allocation!$N$2="VOL_EFF",$Q137,IF(Allocation!$N$2="VOL_CLASS",$R137,$S137)))</f>
        <v>6292550</v>
      </c>
      <c r="AQ137">
        <f>IF($A137="","",IF(Allocation!$N$2="VOL_EFF",$T137,IF(Allocation!$N$2="VOL_CLASS",$U137,$V137)))</f>
        <v>23098985</v>
      </c>
      <c r="AR137">
        <f t="shared" si="56"/>
        <v>15735.485498201047</v>
      </c>
      <c r="AS137" t="str">
        <f>IF($A137="","",$A137&amp;"|"&amp;Allocation!BG137)</f>
        <v>2026|ACT</v>
      </c>
    </row>
    <row r="138" spans="1:45" x14ac:dyDescent="0.45">
      <c r="A138" t="str">
        <f>IF(Allocation!BI138="","",Allocation!BI138)</f>
        <v>2026</v>
      </c>
      <c r="B138" t="str">
        <f>IF(Allocation!BJ138="","",Allocation!BJ138)</f>
        <v>ISCOM_PAR</v>
      </c>
      <c r="C138" t="str">
        <f>IF(Allocation!BK138="","",Allocation!BK138)</f>
        <v>ISCOM</v>
      </c>
      <c r="D138" t="str">
        <f>IF(Allocation!BL138="","",Allocation!BL138)</f>
        <v>BAC_COM</v>
      </c>
      <c r="E138" t="str">
        <f>IF(Allocation!BM138="","",Allocation!BM138)</f>
        <v>B3</v>
      </c>
      <c r="F138" t="str">
        <f>IF(Allocation!BN138="","",Allocation!BN138)</f>
        <v>ALT</v>
      </c>
      <c r="G138">
        <f>IF(Allocation!BO138="","",Allocation!BO138)</f>
        <v>69</v>
      </c>
      <c r="H138">
        <f>IF(Allocation!BP138="","",Allocation!BP138)</f>
        <v>3</v>
      </c>
      <c r="I138">
        <f>IF(Allocation!BQ138="","",Allocation!BQ138)</f>
        <v>540960</v>
      </c>
      <c r="J138">
        <f>IF(Allocation!CC138="","",Allocation!CC138)</f>
        <v>0</v>
      </c>
      <c r="K138">
        <f t="shared" si="38"/>
        <v>1440</v>
      </c>
      <c r="L138">
        <f t="shared" si="39"/>
        <v>354</v>
      </c>
      <c r="M138">
        <f t="shared" si="40"/>
        <v>15</v>
      </c>
      <c r="N138">
        <f t="shared" si="41"/>
        <v>2908720</v>
      </c>
      <c r="O138">
        <f t="shared" si="42"/>
        <v>7200</v>
      </c>
      <c r="P138">
        <f t="shared" si="43"/>
        <v>144</v>
      </c>
      <c r="Q138">
        <f t="shared" si="44"/>
        <v>829</v>
      </c>
      <c r="R138">
        <f t="shared" si="45"/>
        <v>35</v>
      </c>
      <c r="S138">
        <f t="shared" si="46"/>
        <v>6292550</v>
      </c>
      <c r="T138">
        <f t="shared" si="47"/>
        <v>3114</v>
      </c>
      <c r="U138">
        <f t="shared" si="48"/>
        <v>135</v>
      </c>
      <c r="V138">
        <f t="shared" si="49"/>
        <v>23098985</v>
      </c>
      <c r="W138">
        <f>IF($A138="","",Allocation!CD138)</f>
        <v>181094</v>
      </c>
      <c r="X138">
        <f>IF($A138="","",Allocation!CE138)</f>
        <v>488050.48</v>
      </c>
      <c r="Y138">
        <f>IF($A138="","",Allocation!CF138)</f>
        <v>131722</v>
      </c>
      <c r="Z138">
        <f>IF($A138="","",Allocation!CG138)</f>
        <v>60800</v>
      </c>
      <c r="AA138">
        <f>IF($A138="","",Allocation!CH138)</f>
        <v>1113035.3</v>
      </c>
      <c r="AB138">
        <f>IF($A138="","",Allocation!CI138)</f>
        <v>2891983</v>
      </c>
      <c r="AC138">
        <f>IF($A138="","",IF(Allocation!$N$4="VOL_EFF",$G138,IF(Allocation!$N$4="VOL_CLASS",$H138,$I138)))</f>
        <v>3</v>
      </c>
      <c r="AD138">
        <f>IF($A138="","",IF(Allocation!$N$4="VOL_EFF",$L138,IF(Allocation!$N$4="VOL_CLASS",$M138,$N138)))</f>
        <v>15</v>
      </c>
      <c r="AE138">
        <f>IF($A138="","",IF(Allocation!$N$3="VOL_EFF",$L138,IF(Allocation!$N$3="VOL_CLASS",$M138,$N138)))</f>
        <v>354</v>
      </c>
      <c r="AF138">
        <f>IF($A138="","",IF(Allocation!$N$3="VOL_EFF",$Q138,IF(Allocation!$N$3="VOL_CLASS",$R138,$S138)))</f>
        <v>829</v>
      </c>
      <c r="AG138">
        <f>IF($A138="","",IF(Allocation!$N$1="VOL_EFF",$Q138,IF(Allocation!$N$1="VOL_CLASS",$R138,$S138)))</f>
        <v>829</v>
      </c>
      <c r="AH138">
        <f>IF($A138="","",IF(Allocation!$N$1="VOL_EFF",$T138,IF(Allocation!$N$1="VOL_CLASS",$U138,$V138)))</f>
        <v>3114</v>
      </c>
      <c r="AI138">
        <f t="shared" si="50"/>
        <v>36218.800000000003</v>
      </c>
      <c r="AJ138">
        <f t="shared" si="51"/>
        <v>97610.096000000005</v>
      </c>
      <c r="AK138">
        <f t="shared" si="52"/>
        <v>25674.627118644068</v>
      </c>
      <c r="AL138">
        <f t="shared" si="53"/>
        <v>222607.06000000003</v>
      </c>
      <c r="AM138">
        <f t="shared" si="54"/>
        <v>65752.214643545289</v>
      </c>
      <c r="AN138">
        <f t="shared" si="55"/>
        <v>77361.716739609605</v>
      </c>
      <c r="AO138">
        <f>IF($A138="","",Allocation!CJ138)</f>
        <v>676344</v>
      </c>
      <c r="AP138">
        <f>IF($A138="","",IF(Allocation!$N$2="VOL_EFF",$Q138,IF(Allocation!$N$2="VOL_CLASS",$R138,$S138)))</f>
        <v>6292550</v>
      </c>
      <c r="AQ138">
        <f>IF($A138="","",IF(Allocation!$N$2="VOL_EFF",$T138,IF(Allocation!$N$2="VOL_CLASS",$U138,$V138)))</f>
        <v>23098985</v>
      </c>
      <c r="AR138">
        <f t="shared" si="56"/>
        <v>15735.485498201047</v>
      </c>
      <c r="AS138" t="str">
        <f>IF($A138="","",$A138&amp;"|"&amp;Allocation!BG138)</f>
        <v>2026|ACT</v>
      </c>
    </row>
    <row r="139" spans="1:45" x14ac:dyDescent="0.45">
      <c r="A139" t="str">
        <f>IF(Allocation!BI139="","",Allocation!BI139)</f>
        <v>2026</v>
      </c>
      <c r="B139" t="str">
        <f>IF(Allocation!BJ139="","",Allocation!BJ139)</f>
        <v>ISCOM_PAR</v>
      </c>
      <c r="C139" t="str">
        <f>IF(Allocation!BK139="","",Allocation!BK139)</f>
        <v>ISCOM</v>
      </c>
      <c r="D139" t="str">
        <f>IF(Allocation!BL139="","",Allocation!BL139)</f>
        <v>MAS_COM</v>
      </c>
      <c r="E139" t="str">
        <f>IF(Allocation!BM139="","",Allocation!BM139)</f>
        <v>M1</v>
      </c>
      <c r="F139" t="str">
        <f>IF(Allocation!BN139="","",Allocation!BN139)</f>
        <v>ALT</v>
      </c>
      <c r="G139">
        <f>IF(Allocation!BO139="","",Allocation!BO139)</f>
        <v>72</v>
      </c>
      <c r="H139">
        <f>IF(Allocation!BP139="","",Allocation!BP139)</f>
        <v>3</v>
      </c>
      <c r="I139">
        <f>IF(Allocation!BQ139="","",Allocation!BQ139)</f>
        <v>611280</v>
      </c>
      <c r="J139">
        <f>IF(Allocation!CC139="","",Allocation!CC139)</f>
        <v>72</v>
      </c>
      <c r="K139">
        <f t="shared" si="38"/>
        <v>1260</v>
      </c>
      <c r="L139">
        <f t="shared" si="39"/>
        <v>354</v>
      </c>
      <c r="M139">
        <f t="shared" si="40"/>
        <v>15</v>
      </c>
      <c r="N139">
        <f t="shared" si="41"/>
        <v>2908720</v>
      </c>
      <c r="O139">
        <f t="shared" si="42"/>
        <v>7200</v>
      </c>
      <c r="P139">
        <f t="shared" si="43"/>
        <v>144</v>
      </c>
      <c r="Q139">
        <f t="shared" si="44"/>
        <v>829</v>
      </c>
      <c r="R139">
        <f t="shared" si="45"/>
        <v>35</v>
      </c>
      <c r="S139">
        <f t="shared" si="46"/>
        <v>6292550</v>
      </c>
      <c r="T139">
        <f t="shared" si="47"/>
        <v>3114</v>
      </c>
      <c r="U139">
        <f t="shared" si="48"/>
        <v>135</v>
      </c>
      <c r="V139">
        <f t="shared" si="49"/>
        <v>23098985</v>
      </c>
      <c r="W139">
        <f>IF($A139="","",Allocation!CD139)</f>
        <v>181094</v>
      </c>
      <c r="X139">
        <f>IF($A139="","",Allocation!CE139)</f>
        <v>488050.48</v>
      </c>
      <c r="Y139">
        <f>IF($A139="","",Allocation!CF139)</f>
        <v>131722</v>
      </c>
      <c r="Z139">
        <f>IF($A139="","",Allocation!CG139)</f>
        <v>60800</v>
      </c>
      <c r="AA139">
        <f>IF($A139="","",Allocation!CH139)</f>
        <v>1113035.3</v>
      </c>
      <c r="AB139">
        <f>IF($A139="","",Allocation!CI139)</f>
        <v>2891983</v>
      </c>
      <c r="AC139">
        <f>IF($A139="","",IF(Allocation!$N$4="VOL_EFF",$G139,IF(Allocation!$N$4="VOL_CLASS",$H139,$I139)))</f>
        <v>3</v>
      </c>
      <c r="AD139">
        <f>IF($A139="","",IF(Allocation!$N$4="VOL_EFF",$L139,IF(Allocation!$N$4="VOL_CLASS",$M139,$N139)))</f>
        <v>15</v>
      </c>
      <c r="AE139">
        <f>IF($A139="","",IF(Allocation!$N$3="VOL_EFF",$L139,IF(Allocation!$N$3="VOL_CLASS",$M139,$N139)))</f>
        <v>354</v>
      </c>
      <c r="AF139">
        <f>IF($A139="","",IF(Allocation!$N$3="VOL_EFF",$Q139,IF(Allocation!$N$3="VOL_CLASS",$R139,$S139)))</f>
        <v>829</v>
      </c>
      <c r="AG139">
        <f>IF($A139="","",IF(Allocation!$N$1="VOL_EFF",$Q139,IF(Allocation!$N$1="VOL_CLASS",$R139,$S139)))</f>
        <v>829</v>
      </c>
      <c r="AH139">
        <f>IF($A139="","",IF(Allocation!$N$1="VOL_EFF",$T139,IF(Allocation!$N$1="VOL_CLASS",$U139,$V139)))</f>
        <v>3114</v>
      </c>
      <c r="AI139">
        <f t="shared" si="50"/>
        <v>31691.449999999997</v>
      </c>
      <c r="AJ139">
        <f t="shared" si="51"/>
        <v>85408.833999999988</v>
      </c>
      <c r="AK139">
        <f t="shared" si="52"/>
        <v>57190.91525423729</v>
      </c>
      <c r="AL139">
        <f t="shared" si="53"/>
        <v>222607.06000000003</v>
      </c>
      <c r="AM139">
        <f t="shared" si="54"/>
        <v>65752.214643545289</v>
      </c>
      <c r="AN139">
        <f t="shared" si="55"/>
        <v>132894.04060401639</v>
      </c>
      <c r="AO139">
        <f>IF($A139="","",Allocation!CJ139)</f>
        <v>676344</v>
      </c>
      <c r="AP139">
        <f>IF($A139="","",IF(Allocation!$N$2="VOL_EFF",$Q139,IF(Allocation!$N$2="VOL_CLASS",$R139,$S139)))</f>
        <v>6292550</v>
      </c>
      <c r="AQ139">
        <f>IF($A139="","",IF(Allocation!$N$2="VOL_EFF",$T139,IF(Allocation!$N$2="VOL_CLASS",$U139,$V139)))</f>
        <v>23098985</v>
      </c>
      <c r="AR139">
        <f t="shared" si="56"/>
        <v>15735.485498201047</v>
      </c>
      <c r="AS139" t="str">
        <f>IF($A139="","",$A139&amp;"|"&amp;Allocation!BG139)</f>
        <v>2026|ACT</v>
      </c>
    </row>
    <row r="140" spans="1:45" x14ac:dyDescent="0.45">
      <c r="A140" t="str">
        <f>IF(Allocation!BI140="","",Allocation!BI140)</f>
        <v>2026</v>
      </c>
      <c r="B140" t="str">
        <f>IF(Allocation!BJ140="","",Allocation!BJ140)</f>
        <v>ISCOM_PAR</v>
      </c>
      <c r="C140" t="str">
        <f>IF(Allocation!BK140="","",Allocation!BK140)</f>
        <v>ISCOM</v>
      </c>
      <c r="D140" t="str">
        <f>IF(Allocation!BL140="","",Allocation!BL140)</f>
        <v>MAS_COM</v>
      </c>
      <c r="E140" t="str">
        <f>IF(Allocation!BM140="","",Allocation!BM140)</f>
        <v>M2</v>
      </c>
      <c r="F140" t="str">
        <f>IF(Allocation!BN140="","",Allocation!BN140)</f>
        <v>ALT</v>
      </c>
      <c r="G140">
        <f>IF(Allocation!BO140="","",Allocation!BO140)</f>
        <v>71</v>
      </c>
      <c r="H140">
        <f>IF(Allocation!BP140="","",Allocation!BP140)</f>
        <v>3</v>
      </c>
      <c r="I140">
        <f>IF(Allocation!BQ140="","",Allocation!BQ140)</f>
        <v>596400</v>
      </c>
      <c r="J140">
        <f>IF(Allocation!CC140="","",Allocation!CC140)</f>
        <v>0</v>
      </c>
      <c r="K140">
        <f t="shared" si="38"/>
        <v>1260</v>
      </c>
      <c r="L140">
        <f t="shared" si="39"/>
        <v>354</v>
      </c>
      <c r="M140">
        <f t="shared" si="40"/>
        <v>15</v>
      </c>
      <c r="N140">
        <f t="shared" si="41"/>
        <v>2908720</v>
      </c>
      <c r="O140">
        <f t="shared" si="42"/>
        <v>7200</v>
      </c>
      <c r="P140">
        <f t="shared" si="43"/>
        <v>144</v>
      </c>
      <c r="Q140">
        <f t="shared" si="44"/>
        <v>829</v>
      </c>
      <c r="R140">
        <f t="shared" si="45"/>
        <v>35</v>
      </c>
      <c r="S140">
        <f t="shared" si="46"/>
        <v>6292550</v>
      </c>
      <c r="T140">
        <f t="shared" si="47"/>
        <v>3114</v>
      </c>
      <c r="U140">
        <f t="shared" si="48"/>
        <v>135</v>
      </c>
      <c r="V140">
        <f t="shared" si="49"/>
        <v>23098985</v>
      </c>
      <c r="W140">
        <f>IF($A140="","",Allocation!CD140)</f>
        <v>181094</v>
      </c>
      <c r="X140">
        <f>IF($A140="","",Allocation!CE140)</f>
        <v>488050.48</v>
      </c>
      <c r="Y140">
        <f>IF($A140="","",Allocation!CF140)</f>
        <v>131722</v>
      </c>
      <c r="Z140">
        <f>IF($A140="","",Allocation!CG140)</f>
        <v>60800</v>
      </c>
      <c r="AA140">
        <f>IF($A140="","",Allocation!CH140)</f>
        <v>1113035.3</v>
      </c>
      <c r="AB140">
        <f>IF($A140="","",Allocation!CI140)</f>
        <v>2891983</v>
      </c>
      <c r="AC140">
        <f>IF($A140="","",IF(Allocation!$N$4="VOL_EFF",$G140,IF(Allocation!$N$4="VOL_CLASS",$H140,$I140)))</f>
        <v>3</v>
      </c>
      <c r="AD140">
        <f>IF($A140="","",IF(Allocation!$N$4="VOL_EFF",$L140,IF(Allocation!$N$4="VOL_CLASS",$M140,$N140)))</f>
        <v>15</v>
      </c>
      <c r="AE140">
        <f>IF($A140="","",IF(Allocation!$N$3="VOL_EFF",$L140,IF(Allocation!$N$3="VOL_CLASS",$M140,$N140)))</f>
        <v>354</v>
      </c>
      <c r="AF140">
        <f>IF($A140="","",IF(Allocation!$N$3="VOL_EFF",$Q140,IF(Allocation!$N$3="VOL_CLASS",$R140,$S140)))</f>
        <v>829</v>
      </c>
      <c r="AG140">
        <f>IF($A140="","",IF(Allocation!$N$1="VOL_EFF",$Q140,IF(Allocation!$N$1="VOL_CLASS",$R140,$S140)))</f>
        <v>829</v>
      </c>
      <c r="AH140">
        <f>IF($A140="","",IF(Allocation!$N$1="VOL_EFF",$T140,IF(Allocation!$N$1="VOL_CLASS",$U140,$V140)))</f>
        <v>3114</v>
      </c>
      <c r="AI140">
        <f t="shared" si="50"/>
        <v>31691.449999999997</v>
      </c>
      <c r="AJ140">
        <f t="shared" si="51"/>
        <v>85408.833999999988</v>
      </c>
      <c r="AK140">
        <f t="shared" si="52"/>
        <v>26418.81920903955</v>
      </c>
      <c r="AL140">
        <f t="shared" si="53"/>
        <v>222607.06000000003</v>
      </c>
      <c r="AM140">
        <f t="shared" si="54"/>
        <v>65752.214643545289</v>
      </c>
      <c r="AN140">
        <f t="shared" si="55"/>
        <v>148786.13664921408</v>
      </c>
      <c r="AO140">
        <f>IF($A140="","",Allocation!CJ140)</f>
        <v>676344</v>
      </c>
      <c r="AP140">
        <f>IF($A140="","",IF(Allocation!$N$2="VOL_EFF",$Q140,IF(Allocation!$N$2="VOL_CLASS",$R140,$S140)))</f>
        <v>6292550</v>
      </c>
      <c r="AQ140">
        <f>IF($A140="","",IF(Allocation!$N$2="VOL_EFF",$T140,IF(Allocation!$N$2="VOL_CLASS",$U140,$V140)))</f>
        <v>23098985</v>
      </c>
      <c r="AR140">
        <f t="shared" si="56"/>
        <v>15735.485498201047</v>
      </c>
      <c r="AS140" t="str">
        <f>IF($A140="","",$A140&amp;"|"&amp;Allocation!BG140)</f>
        <v>2026|ACT</v>
      </c>
    </row>
    <row r="141" spans="1:45" x14ac:dyDescent="0.45">
      <c r="A141" t="str">
        <f>IF(Allocation!BI141="","",Allocation!BI141)</f>
        <v>2026</v>
      </c>
      <c r="B141" t="str">
        <f>IF(Allocation!BJ141="","",Allocation!BJ141)</f>
        <v>ISCOM_TLS</v>
      </c>
      <c r="C141" t="str">
        <f>IF(Allocation!BK141="","",Allocation!BK141)</f>
        <v>ISCOM</v>
      </c>
      <c r="D141" t="str">
        <f>IF(Allocation!BL141="","",Allocation!BL141)</f>
        <v>BAC_COM</v>
      </c>
      <c r="E141" t="str">
        <f>IF(Allocation!BM141="","",Allocation!BM141)</f>
        <v>B1</v>
      </c>
      <c r="F141" t="str">
        <f>IF(Allocation!BN141="","",Allocation!BN141)</f>
        <v>INIT</v>
      </c>
      <c r="G141">
        <f>IF(Allocation!BO141="","",Allocation!BO141)</f>
        <v>47</v>
      </c>
      <c r="H141">
        <f>IF(Allocation!BP141="","",Allocation!BP141)</f>
        <v>2</v>
      </c>
      <c r="I141">
        <f>IF(Allocation!BQ141="","",Allocation!BQ141)</f>
        <v>342630</v>
      </c>
      <c r="J141">
        <f>IF(Allocation!CC141="","",Allocation!CC141)</f>
        <v>47</v>
      </c>
      <c r="K141">
        <f t="shared" si="38"/>
        <v>1200</v>
      </c>
      <c r="L141">
        <f t="shared" si="39"/>
        <v>231</v>
      </c>
      <c r="M141">
        <f t="shared" si="40"/>
        <v>10</v>
      </c>
      <c r="N141">
        <f t="shared" si="41"/>
        <v>1627980</v>
      </c>
      <c r="O141">
        <f t="shared" si="42"/>
        <v>4800</v>
      </c>
      <c r="P141">
        <f t="shared" si="43"/>
        <v>94</v>
      </c>
      <c r="Q141">
        <f t="shared" si="44"/>
        <v>829</v>
      </c>
      <c r="R141">
        <f t="shared" si="45"/>
        <v>35</v>
      </c>
      <c r="S141">
        <f t="shared" si="46"/>
        <v>6292550</v>
      </c>
      <c r="T141">
        <f t="shared" si="47"/>
        <v>3114</v>
      </c>
      <c r="U141">
        <f t="shared" si="48"/>
        <v>135</v>
      </c>
      <c r="V141">
        <f t="shared" si="49"/>
        <v>23098985</v>
      </c>
      <c r="W141">
        <f>IF($A141="","",Allocation!CD141)</f>
        <v>120729</v>
      </c>
      <c r="X141">
        <f>IF($A141="","",Allocation!CE141)</f>
        <v>267683.87</v>
      </c>
      <c r="Y141">
        <f>IF($A141="","",Allocation!CF141)</f>
        <v>85954</v>
      </c>
      <c r="Z141">
        <f>IF($A141="","",Allocation!CG141)</f>
        <v>22083</v>
      </c>
      <c r="AA141">
        <f>IF($A141="","",Allocation!CH141)</f>
        <v>601876.41</v>
      </c>
      <c r="AB141">
        <f>IF($A141="","",Allocation!CI141)</f>
        <v>2891983</v>
      </c>
      <c r="AC141">
        <f>IF($A141="","",IF(Allocation!$N$4="VOL_EFF",$G141,IF(Allocation!$N$4="VOL_CLASS",$H141,$I141)))</f>
        <v>2</v>
      </c>
      <c r="AD141">
        <f>IF($A141="","",IF(Allocation!$N$4="VOL_EFF",$L141,IF(Allocation!$N$4="VOL_CLASS",$M141,$N141)))</f>
        <v>10</v>
      </c>
      <c r="AE141">
        <f>IF($A141="","",IF(Allocation!$N$3="VOL_EFF",$L141,IF(Allocation!$N$3="VOL_CLASS",$M141,$N141)))</f>
        <v>231</v>
      </c>
      <c r="AF141">
        <f>IF($A141="","",IF(Allocation!$N$3="VOL_EFF",$Q141,IF(Allocation!$N$3="VOL_CLASS",$R141,$S141)))</f>
        <v>829</v>
      </c>
      <c r="AG141">
        <f>IF($A141="","",IF(Allocation!$N$1="VOL_EFF",$Q141,IF(Allocation!$N$1="VOL_CLASS",$R141,$S141)))</f>
        <v>829</v>
      </c>
      <c r="AH141">
        <f>IF($A141="","",IF(Allocation!$N$1="VOL_EFF",$T141,IF(Allocation!$N$1="VOL_CLASS",$U141,$V141)))</f>
        <v>3114</v>
      </c>
      <c r="AI141">
        <f t="shared" si="50"/>
        <v>30182.25</v>
      </c>
      <c r="AJ141">
        <f t="shared" si="51"/>
        <v>66920.967499999999</v>
      </c>
      <c r="AK141">
        <f t="shared" si="52"/>
        <v>28529.976190476191</v>
      </c>
      <c r="AL141">
        <f t="shared" si="53"/>
        <v>120375.28200000001</v>
      </c>
      <c r="AM141">
        <f t="shared" si="54"/>
        <v>42906.106165703284</v>
      </c>
      <c r="AN141">
        <f t="shared" si="55"/>
        <v>43447.347098384285</v>
      </c>
      <c r="AO141">
        <f>IF($A141="","",Allocation!CJ141)</f>
        <v>676344</v>
      </c>
      <c r="AP141">
        <f>IF($A141="","",IF(Allocation!$N$2="VOL_EFF",$Q141,IF(Allocation!$N$2="VOL_CLASS",$R141,$S141)))</f>
        <v>6292550</v>
      </c>
      <c r="AQ141">
        <f>IF($A141="","",IF(Allocation!$N$2="VOL_EFF",$T141,IF(Allocation!$N$2="VOL_CLASS",$U141,$V141)))</f>
        <v>23098985</v>
      </c>
      <c r="AR141">
        <f t="shared" si="56"/>
        <v>10268.071045436276</v>
      </c>
      <c r="AS141" t="str">
        <f>IF($A141="","",$A141&amp;"|"&amp;Allocation!BG141)</f>
        <v>2026|ACT</v>
      </c>
    </row>
    <row r="142" spans="1:45" x14ac:dyDescent="0.45">
      <c r="A142" t="str">
        <f>IF(Allocation!BI142="","",Allocation!BI142)</f>
        <v>2026</v>
      </c>
      <c r="B142" t="str">
        <f>IF(Allocation!BJ142="","",Allocation!BJ142)</f>
        <v>ISCOM_TLS</v>
      </c>
      <c r="C142" t="str">
        <f>IF(Allocation!BK142="","",Allocation!BK142)</f>
        <v>ISCOM</v>
      </c>
      <c r="D142" t="str">
        <f>IF(Allocation!BL142="","",Allocation!BL142)</f>
        <v>BAC_COM</v>
      </c>
      <c r="E142" t="str">
        <f>IF(Allocation!BM142="","",Allocation!BM142)</f>
        <v>B2</v>
      </c>
      <c r="F142" t="str">
        <f>IF(Allocation!BN142="","",Allocation!BN142)</f>
        <v>ALT</v>
      </c>
      <c r="G142">
        <f>IF(Allocation!BO142="","",Allocation!BO142)</f>
        <v>46</v>
      </c>
      <c r="H142">
        <f>IF(Allocation!BP142="","",Allocation!BP142)</f>
        <v>2</v>
      </c>
      <c r="I142">
        <f>IF(Allocation!BQ142="","",Allocation!BQ142)</f>
        <v>309120</v>
      </c>
      <c r="J142">
        <f>IF(Allocation!CC142="","",Allocation!CC142)</f>
        <v>0</v>
      </c>
      <c r="K142">
        <f t="shared" si="38"/>
        <v>960</v>
      </c>
      <c r="L142">
        <f t="shared" si="39"/>
        <v>231</v>
      </c>
      <c r="M142">
        <f t="shared" si="40"/>
        <v>10</v>
      </c>
      <c r="N142">
        <f t="shared" si="41"/>
        <v>1627980</v>
      </c>
      <c r="O142">
        <f t="shared" si="42"/>
        <v>4800</v>
      </c>
      <c r="P142">
        <f t="shared" si="43"/>
        <v>94</v>
      </c>
      <c r="Q142">
        <f t="shared" si="44"/>
        <v>829</v>
      </c>
      <c r="R142">
        <f t="shared" si="45"/>
        <v>35</v>
      </c>
      <c r="S142">
        <f t="shared" si="46"/>
        <v>6292550</v>
      </c>
      <c r="T142">
        <f t="shared" si="47"/>
        <v>3114</v>
      </c>
      <c r="U142">
        <f t="shared" si="48"/>
        <v>135</v>
      </c>
      <c r="V142">
        <f t="shared" si="49"/>
        <v>23098985</v>
      </c>
      <c r="W142">
        <f>IF($A142="","",Allocation!CD142)</f>
        <v>120729</v>
      </c>
      <c r="X142">
        <f>IF($A142="","",Allocation!CE142)</f>
        <v>267683.87</v>
      </c>
      <c r="Y142">
        <f>IF($A142="","",Allocation!CF142)</f>
        <v>85954</v>
      </c>
      <c r="Z142">
        <f>IF($A142="","",Allocation!CG142)</f>
        <v>22083</v>
      </c>
      <c r="AA142">
        <f>IF($A142="","",Allocation!CH142)</f>
        <v>601876.41</v>
      </c>
      <c r="AB142">
        <f>IF($A142="","",Allocation!CI142)</f>
        <v>2891983</v>
      </c>
      <c r="AC142">
        <f>IF($A142="","",IF(Allocation!$N$4="VOL_EFF",$G142,IF(Allocation!$N$4="VOL_CLASS",$H142,$I142)))</f>
        <v>2</v>
      </c>
      <c r="AD142">
        <f>IF($A142="","",IF(Allocation!$N$4="VOL_EFF",$L142,IF(Allocation!$N$4="VOL_CLASS",$M142,$N142)))</f>
        <v>10</v>
      </c>
      <c r="AE142">
        <f>IF($A142="","",IF(Allocation!$N$3="VOL_EFF",$L142,IF(Allocation!$N$3="VOL_CLASS",$M142,$N142)))</f>
        <v>231</v>
      </c>
      <c r="AF142">
        <f>IF($A142="","",IF(Allocation!$N$3="VOL_EFF",$Q142,IF(Allocation!$N$3="VOL_CLASS",$R142,$S142)))</f>
        <v>829</v>
      </c>
      <c r="AG142">
        <f>IF($A142="","",IF(Allocation!$N$1="VOL_EFF",$Q142,IF(Allocation!$N$1="VOL_CLASS",$R142,$S142)))</f>
        <v>829</v>
      </c>
      <c r="AH142">
        <f>IF($A142="","",IF(Allocation!$N$1="VOL_EFF",$T142,IF(Allocation!$N$1="VOL_CLASS",$U142,$V142)))</f>
        <v>3114</v>
      </c>
      <c r="AI142">
        <f t="shared" si="50"/>
        <v>24145.800000000003</v>
      </c>
      <c r="AJ142">
        <f t="shared" si="51"/>
        <v>53536.774000000005</v>
      </c>
      <c r="AK142">
        <f t="shared" si="52"/>
        <v>17116.380952380954</v>
      </c>
      <c r="AL142">
        <f t="shared" si="53"/>
        <v>120375.28200000001</v>
      </c>
      <c r="AM142">
        <f t="shared" si="54"/>
        <v>42906.106165703284</v>
      </c>
      <c r="AN142">
        <f t="shared" si="55"/>
        <v>40771.585836479499</v>
      </c>
      <c r="AO142">
        <f>IF($A142="","",Allocation!CJ142)</f>
        <v>676344</v>
      </c>
      <c r="AP142">
        <f>IF($A142="","",IF(Allocation!$N$2="VOL_EFF",$Q142,IF(Allocation!$N$2="VOL_CLASS",$R142,$S142)))</f>
        <v>6292550</v>
      </c>
      <c r="AQ142">
        <f>IF($A142="","",IF(Allocation!$N$2="VOL_EFF",$T142,IF(Allocation!$N$2="VOL_CLASS",$U142,$V142)))</f>
        <v>23098985</v>
      </c>
      <c r="AR142">
        <f t="shared" si="56"/>
        <v>10268.071045436276</v>
      </c>
      <c r="AS142" t="str">
        <f>IF($A142="","",$A142&amp;"|"&amp;Allocation!BG142)</f>
        <v>2026|ACT</v>
      </c>
    </row>
    <row r="143" spans="1:45" x14ac:dyDescent="0.45">
      <c r="A143" t="str">
        <f>IF(Allocation!BI143="","",Allocation!BI143)</f>
        <v>2026</v>
      </c>
      <c r="B143" t="str">
        <f>IF(Allocation!BJ143="","",Allocation!BJ143)</f>
        <v>ISCOM_TLS</v>
      </c>
      <c r="C143" t="str">
        <f>IF(Allocation!BK143="","",Allocation!BK143)</f>
        <v>ISCOM</v>
      </c>
      <c r="D143" t="str">
        <f>IF(Allocation!BL143="","",Allocation!BL143)</f>
        <v>BAC_COM</v>
      </c>
      <c r="E143" t="str">
        <f>IF(Allocation!BM143="","",Allocation!BM143)</f>
        <v>B3</v>
      </c>
      <c r="F143" t="str">
        <f>IF(Allocation!BN143="","",Allocation!BN143)</f>
        <v>ALT</v>
      </c>
      <c r="G143">
        <f>IF(Allocation!BO143="","",Allocation!BO143)</f>
        <v>45</v>
      </c>
      <c r="H143">
        <f>IF(Allocation!BP143="","",Allocation!BP143)</f>
        <v>2</v>
      </c>
      <c r="I143">
        <f>IF(Allocation!BQ143="","",Allocation!BQ143)</f>
        <v>302400</v>
      </c>
      <c r="J143">
        <f>IF(Allocation!CC143="","",Allocation!CC143)</f>
        <v>0</v>
      </c>
      <c r="K143">
        <f t="shared" si="38"/>
        <v>960</v>
      </c>
      <c r="L143">
        <f t="shared" si="39"/>
        <v>231</v>
      </c>
      <c r="M143">
        <f t="shared" si="40"/>
        <v>10</v>
      </c>
      <c r="N143">
        <f t="shared" si="41"/>
        <v>1627980</v>
      </c>
      <c r="O143">
        <f t="shared" si="42"/>
        <v>4800</v>
      </c>
      <c r="P143">
        <f t="shared" si="43"/>
        <v>94</v>
      </c>
      <c r="Q143">
        <f t="shared" si="44"/>
        <v>829</v>
      </c>
      <c r="R143">
        <f t="shared" si="45"/>
        <v>35</v>
      </c>
      <c r="S143">
        <f t="shared" si="46"/>
        <v>6292550</v>
      </c>
      <c r="T143">
        <f t="shared" si="47"/>
        <v>3114</v>
      </c>
      <c r="U143">
        <f t="shared" si="48"/>
        <v>135</v>
      </c>
      <c r="V143">
        <f t="shared" si="49"/>
        <v>23098985</v>
      </c>
      <c r="W143">
        <f>IF($A143="","",Allocation!CD143)</f>
        <v>120729</v>
      </c>
      <c r="X143">
        <f>IF($A143="","",Allocation!CE143)</f>
        <v>267683.87</v>
      </c>
      <c r="Y143">
        <f>IF($A143="","",Allocation!CF143)</f>
        <v>85954</v>
      </c>
      <c r="Z143">
        <f>IF($A143="","",Allocation!CG143)</f>
        <v>22083</v>
      </c>
      <c r="AA143">
        <f>IF($A143="","",Allocation!CH143)</f>
        <v>601876.41</v>
      </c>
      <c r="AB143">
        <f>IF($A143="","",Allocation!CI143)</f>
        <v>2891983</v>
      </c>
      <c r="AC143">
        <f>IF($A143="","",IF(Allocation!$N$4="VOL_EFF",$G143,IF(Allocation!$N$4="VOL_CLASS",$H143,$I143)))</f>
        <v>2</v>
      </c>
      <c r="AD143">
        <f>IF($A143="","",IF(Allocation!$N$4="VOL_EFF",$L143,IF(Allocation!$N$4="VOL_CLASS",$M143,$N143)))</f>
        <v>10</v>
      </c>
      <c r="AE143">
        <f>IF($A143="","",IF(Allocation!$N$3="VOL_EFF",$L143,IF(Allocation!$N$3="VOL_CLASS",$M143,$N143)))</f>
        <v>231</v>
      </c>
      <c r="AF143">
        <f>IF($A143="","",IF(Allocation!$N$3="VOL_EFF",$Q143,IF(Allocation!$N$3="VOL_CLASS",$R143,$S143)))</f>
        <v>829</v>
      </c>
      <c r="AG143">
        <f>IF($A143="","",IF(Allocation!$N$1="VOL_EFF",$Q143,IF(Allocation!$N$1="VOL_CLASS",$R143,$S143)))</f>
        <v>829</v>
      </c>
      <c r="AH143">
        <f>IF($A143="","",IF(Allocation!$N$1="VOL_EFF",$T143,IF(Allocation!$N$1="VOL_CLASS",$U143,$V143)))</f>
        <v>3114</v>
      </c>
      <c r="AI143">
        <f t="shared" si="50"/>
        <v>24145.800000000003</v>
      </c>
      <c r="AJ143">
        <f t="shared" si="51"/>
        <v>53536.774000000005</v>
      </c>
      <c r="AK143">
        <f t="shared" si="52"/>
        <v>16744.285714285714</v>
      </c>
      <c r="AL143">
        <f t="shared" si="53"/>
        <v>120375.28200000001</v>
      </c>
      <c r="AM143">
        <f t="shared" si="54"/>
        <v>42906.106165703284</v>
      </c>
      <c r="AN143">
        <f t="shared" si="55"/>
        <v>34423.681074574764</v>
      </c>
      <c r="AO143">
        <f>IF($A143="","",Allocation!CJ143)</f>
        <v>676344</v>
      </c>
      <c r="AP143">
        <f>IF($A143="","",IF(Allocation!$N$2="VOL_EFF",$Q143,IF(Allocation!$N$2="VOL_CLASS",$R143,$S143)))</f>
        <v>6292550</v>
      </c>
      <c r="AQ143">
        <f>IF($A143="","",IF(Allocation!$N$2="VOL_EFF",$T143,IF(Allocation!$N$2="VOL_CLASS",$U143,$V143)))</f>
        <v>23098985</v>
      </c>
      <c r="AR143">
        <f t="shared" si="56"/>
        <v>10268.071045436276</v>
      </c>
      <c r="AS143" t="str">
        <f>IF($A143="","",$A143&amp;"|"&amp;Allocation!BG143)</f>
        <v>2026|ACT</v>
      </c>
    </row>
    <row r="144" spans="1:45" x14ac:dyDescent="0.45">
      <c r="A144" t="str">
        <f>IF(Allocation!BI144="","",Allocation!BI144)</f>
        <v>2026</v>
      </c>
      <c r="B144" t="str">
        <f>IF(Allocation!BJ144="","",Allocation!BJ144)</f>
        <v>ISCOM_TLS</v>
      </c>
      <c r="C144" t="str">
        <f>IF(Allocation!BK144="","",Allocation!BK144)</f>
        <v>ISCOM</v>
      </c>
      <c r="D144" t="str">
        <f>IF(Allocation!BL144="","",Allocation!BL144)</f>
        <v>MAS_COM</v>
      </c>
      <c r="E144" t="str">
        <f>IF(Allocation!BM144="","",Allocation!BM144)</f>
        <v>M1</v>
      </c>
      <c r="F144" t="str">
        <f>IF(Allocation!BN144="","",Allocation!BN144)</f>
        <v>ALT</v>
      </c>
      <c r="G144">
        <f>IF(Allocation!BO144="","",Allocation!BO144)</f>
        <v>47</v>
      </c>
      <c r="H144">
        <f>IF(Allocation!BP144="","",Allocation!BP144)</f>
        <v>2</v>
      </c>
      <c r="I144">
        <f>IF(Allocation!BQ144="","",Allocation!BQ144)</f>
        <v>342630</v>
      </c>
      <c r="J144">
        <f>IF(Allocation!CC144="","",Allocation!CC144)</f>
        <v>47</v>
      </c>
      <c r="K144">
        <f t="shared" si="38"/>
        <v>840</v>
      </c>
      <c r="L144">
        <f t="shared" si="39"/>
        <v>231</v>
      </c>
      <c r="M144">
        <f t="shared" si="40"/>
        <v>10</v>
      </c>
      <c r="N144">
        <f t="shared" si="41"/>
        <v>1627980</v>
      </c>
      <c r="O144">
        <f t="shared" si="42"/>
        <v>4800</v>
      </c>
      <c r="P144">
        <f t="shared" si="43"/>
        <v>94</v>
      </c>
      <c r="Q144">
        <f t="shared" si="44"/>
        <v>829</v>
      </c>
      <c r="R144">
        <f t="shared" si="45"/>
        <v>35</v>
      </c>
      <c r="S144">
        <f t="shared" si="46"/>
        <v>6292550</v>
      </c>
      <c r="T144">
        <f t="shared" si="47"/>
        <v>3114</v>
      </c>
      <c r="U144">
        <f t="shared" si="48"/>
        <v>135</v>
      </c>
      <c r="V144">
        <f t="shared" si="49"/>
        <v>23098985</v>
      </c>
      <c r="W144">
        <f>IF($A144="","",Allocation!CD144)</f>
        <v>120729</v>
      </c>
      <c r="X144">
        <f>IF($A144="","",Allocation!CE144)</f>
        <v>267683.87</v>
      </c>
      <c r="Y144">
        <f>IF($A144="","",Allocation!CF144)</f>
        <v>85954</v>
      </c>
      <c r="Z144">
        <f>IF($A144="","",Allocation!CG144)</f>
        <v>22083</v>
      </c>
      <c r="AA144">
        <f>IF($A144="","",Allocation!CH144)</f>
        <v>601876.41</v>
      </c>
      <c r="AB144">
        <f>IF($A144="","",Allocation!CI144)</f>
        <v>2891983</v>
      </c>
      <c r="AC144">
        <f>IF($A144="","",IF(Allocation!$N$4="VOL_EFF",$G144,IF(Allocation!$N$4="VOL_CLASS",$H144,$I144)))</f>
        <v>2</v>
      </c>
      <c r="AD144">
        <f>IF($A144="","",IF(Allocation!$N$4="VOL_EFF",$L144,IF(Allocation!$N$4="VOL_CLASS",$M144,$N144)))</f>
        <v>10</v>
      </c>
      <c r="AE144">
        <f>IF($A144="","",IF(Allocation!$N$3="VOL_EFF",$L144,IF(Allocation!$N$3="VOL_CLASS",$M144,$N144)))</f>
        <v>231</v>
      </c>
      <c r="AF144">
        <f>IF($A144="","",IF(Allocation!$N$3="VOL_EFF",$Q144,IF(Allocation!$N$3="VOL_CLASS",$R144,$S144)))</f>
        <v>829</v>
      </c>
      <c r="AG144">
        <f>IF($A144="","",IF(Allocation!$N$1="VOL_EFF",$Q144,IF(Allocation!$N$1="VOL_CLASS",$R144,$S144)))</f>
        <v>829</v>
      </c>
      <c r="AH144">
        <f>IF($A144="","",IF(Allocation!$N$1="VOL_EFF",$T144,IF(Allocation!$N$1="VOL_CLASS",$U144,$V144)))</f>
        <v>3114</v>
      </c>
      <c r="AI144">
        <f t="shared" si="50"/>
        <v>21127.574999999997</v>
      </c>
      <c r="AJ144">
        <f t="shared" si="51"/>
        <v>46844.677249999993</v>
      </c>
      <c r="AK144">
        <f t="shared" si="52"/>
        <v>28529.976190476191</v>
      </c>
      <c r="AL144">
        <f t="shared" si="53"/>
        <v>120375.28200000001</v>
      </c>
      <c r="AM144">
        <f t="shared" si="54"/>
        <v>42906.106165703284</v>
      </c>
      <c r="AN144">
        <f t="shared" si="55"/>
        <v>72578.312348384294</v>
      </c>
      <c r="AO144">
        <f>IF($A144="","",Allocation!CJ144)</f>
        <v>676344</v>
      </c>
      <c r="AP144">
        <f>IF($A144="","",IF(Allocation!$N$2="VOL_EFF",$Q144,IF(Allocation!$N$2="VOL_CLASS",$R144,$S144)))</f>
        <v>6292550</v>
      </c>
      <c r="AQ144">
        <f>IF($A144="","",IF(Allocation!$N$2="VOL_EFF",$T144,IF(Allocation!$N$2="VOL_CLASS",$U144,$V144)))</f>
        <v>23098985</v>
      </c>
      <c r="AR144">
        <f t="shared" si="56"/>
        <v>10268.071045436276</v>
      </c>
      <c r="AS144" t="str">
        <f>IF($A144="","",$A144&amp;"|"&amp;Allocation!BG144)</f>
        <v>2026|ACT</v>
      </c>
    </row>
    <row r="145" spans="1:45" x14ac:dyDescent="0.45">
      <c r="A145" t="str">
        <f>IF(Allocation!BI145="","",Allocation!BI145)</f>
        <v>2026</v>
      </c>
      <c r="B145" t="str">
        <f>IF(Allocation!BJ145="","",Allocation!BJ145)</f>
        <v>ISCOM_TLS</v>
      </c>
      <c r="C145" t="str">
        <f>IF(Allocation!BK145="","",Allocation!BK145)</f>
        <v>ISCOM</v>
      </c>
      <c r="D145" t="str">
        <f>IF(Allocation!BL145="","",Allocation!BL145)</f>
        <v>MAS_COM</v>
      </c>
      <c r="E145" t="str">
        <f>IF(Allocation!BM145="","",Allocation!BM145)</f>
        <v>M2</v>
      </c>
      <c r="F145" t="str">
        <f>IF(Allocation!BN145="","",Allocation!BN145)</f>
        <v>ALT</v>
      </c>
      <c r="G145">
        <f>IF(Allocation!BO145="","",Allocation!BO145)</f>
        <v>46</v>
      </c>
      <c r="H145">
        <f>IF(Allocation!BP145="","",Allocation!BP145)</f>
        <v>2</v>
      </c>
      <c r="I145">
        <f>IF(Allocation!BQ145="","",Allocation!BQ145)</f>
        <v>331200</v>
      </c>
      <c r="J145">
        <f>IF(Allocation!CC145="","",Allocation!CC145)</f>
        <v>0</v>
      </c>
      <c r="K145">
        <f t="shared" si="38"/>
        <v>840</v>
      </c>
      <c r="L145">
        <f t="shared" si="39"/>
        <v>231</v>
      </c>
      <c r="M145">
        <f t="shared" si="40"/>
        <v>10</v>
      </c>
      <c r="N145">
        <f t="shared" si="41"/>
        <v>1627980</v>
      </c>
      <c r="O145">
        <f t="shared" si="42"/>
        <v>4800</v>
      </c>
      <c r="P145">
        <f t="shared" si="43"/>
        <v>94</v>
      </c>
      <c r="Q145">
        <f t="shared" si="44"/>
        <v>829</v>
      </c>
      <c r="R145">
        <f t="shared" si="45"/>
        <v>35</v>
      </c>
      <c r="S145">
        <f t="shared" si="46"/>
        <v>6292550</v>
      </c>
      <c r="T145">
        <f t="shared" si="47"/>
        <v>3114</v>
      </c>
      <c r="U145">
        <f t="shared" si="48"/>
        <v>135</v>
      </c>
      <c r="V145">
        <f t="shared" si="49"/>
        <v>23098985</v>
      </c>
      <c r="W145">
        <f>IF($A145="","",Allocation!CD145)</f>
        <v>120729</v>
      </c>
      <c r="X145">
        <f>IF($A145="","",Allocation!CE145)</f>
        <v>267683.87</v>
      </c>
      <c r="Y145">
        <f>IF($A145="","",Allocation!CF145)</f>
        <v>85954</v>
      </c>
      <c r="Z145">
        <f>IF($A145="","",Allocation!CG145)</f>
        <v>22083</v>
      </c>
      <c r="AA145">
        <f>IF($A145="","",Allocation!CH145)</f>
        <v>601876.41</v>
      </c>
      <c r="AB145">
        <f>IF($A145="","",Allocation!CI145)</f>
        <v>2891983</v>
      </c>
      <c r="AC145">
        <f>IF($A145="","",IF(Allocation!$N$4="VOL_EFF",$G145,IF(Allocation!$N$4="VOL_CLASS",$H145,$I145)))</f>
        <v>2</v>
      </c>
      <c r="AD145">
        <f>IF($A145="","",IF(Allocation!$N$4="VOL_EFF",$L145,IF(Allocation!$N$4="VOL_CLASS",$M145,$N145)))</f>
        <v>10</v>
      </c>
      <c r="AE145">
        <f>IF($A145="","",IF(Allocation!$N$3="VOL_EFF",$L145,IF(Allocation!$N$3="VOL_CLASS",$M145,$N145)))</f>
        <v>231</v>
      </c>
      <c r="AF145">
        <f>IF($A145="","",IF(Allocation!$N$3="VOL_EFF",$Q145,IF(Allocation!$N$3="VOL_CLASS",$R145,$S145)))</f>
        <v>829</v>
      </c>
      <c r="AG145">
        <f>IF($A145="","",IF(Allocation!$N$1="VOL_EFF",$Q145,IF(Allocation!$N$1="VOL_CLASS",$R145,$S145)))</f>
        <v>829</v>
      </c>
      <c r="AH145">
        <f>IF($A145="","",IF(Allocation!$N$1="VOL_EFF",$T145,IF(Allocation!$N$1="VOL_CLASS",$U145,$V145)))</f>
        <v>3114</v>
      </c>
      <c r="AI145">
        <f t="shared" si="50"/>
        <v>21127.574999999997</v>
      </c>
      <c r="AJ145">
        <f t="shared" si="51"/>
        <v>46844.677249999993</v>
      </c>
      <c r="AK145">
        <f t="shared" si="52"/>
        <v>17116.380952380954</v>
      </c>
      <c r="AL145">
        <f t="shared" si="53"/>
        <v>120375.28200000001</v>
      </c>
      <c r="AM145">
        <f t="shared" si="54"/>
        <v>42906.106165703284</v>
      </c>
      <c r="AN145">
        <f t="shared" si="55"/>
        <v>72561.907586479472</v>
      </c>
      <c r="AO145">
        <f>IF($A145="","",Allocation!CJ145)</f>
        <v>676344</v>
      </c>
      <c r="AP145">
        <f>IF($A145="","",IF(Allocation!$N$2="VOL_EFF",$Q145,IF(Allocation!$N$2="VOL_CLASS",$R145,$S145)))</f>
        <v>6292550</v>
      </c>
      <c r="AQ145">
        <f>IF($A145="","",IF(Allocation!$N$2="VOL_EFF",$T145,IF(Allocation!$N$2="VOL_CLASS",$U145,$V145)))</f>
        <v>23098985</v>
      </c>
      <c r="AR145">
        <f t="shared" si="56"/>
        <v>10268.071045436276</v>
      </c>
      <c r="AS145" t="str">
        <f>IF($A145="","",$A145&amp;"|"&amp;Allocation!BG145)</f>
        <v>2026|ACT</v>
      </c>
    </row>
    <row r="146" spans="1:45" x14ac:dyDescent="0.45">
      <c r="A146" t="str">
        <f>IF(Allocation!BI146="","",Allocation!BI146)</f>
        <v>2026</v>
      </c>
      <c r="B146" t="str">
        <f>IF(Allocation!BJ146="","",Allocation!BJ146)</f>
        <v>MBWAY_BOR</v>
      </c>
      <c r="C146" t="str">
        <f>IF(Allocation!BK146="","",Allocation!BK146)</f>
        <v>MBWAY</v>
      </c>
      <c r="D146" t="str">
        <f>IF(Allocation!BL146="","",Allocation!BL146)</f>
        <v>BAC_MGT</v>
      </c>
      <c r="E146" t="str">
        <f>IF(Allocation!BM146="","",Allocation!BM146)</f>
        <v>B1</v>
      </c>
      <c r="F146" t="str">
        <f>IF(Allocation!BN146="","",Allocation!BN146)</f>
        <v>INIT</v>
      </c>
      <c r="G146">
        <f>IF(Allocation!BO146="","",Allocation!BO146)</f>
        <v>51</v>
      </c>
      <c r="H146">
        <f>IF(Allocation!BP146="","",Allocation!BP146)</f>
        <v>2</v>
      </c>
      <c r="I146">
        <f>IF(Allocation!BQ146="","",Allocation!BQ146)</f>
        <v>375615</v>
      </c>
      <c r="J146">
        <f>IF(Allocation!CC146="","",Allocation!CC146)</f>
        <v>51</v>
      </c>
      <c r="K146">
        <f t="shared" si="38"/>
        <v>1200</v>
      </c>
      <c r="L146">
        <f t="shared" si="39"/>
        <v>249</v>
      </c>
      <c r="M146">
        <f t="shared" si="40"/>
        <v>10</v>
      </c>
      <c r="N146">
        <f t="shared" si="41"/>
        <v>1773610</v>
      </c>
      <c r="O146">
        <f t="shared" si="42"/>
        <v>4800</v>
      </c>
      <c r="P146">
        <f t="shared" si="43"/>
        <v>102</v>
      </c>
      <c r="Q146">
        <f t="shared" si="44"/>
        <v>1249</v>
      </c>
      <c r="R146">
        <f t="shared" si="45"/>
        <v>50</v>
      </c>
      <c r="S146">
        <f t="shared" si="46"/>
        <v>9567455</v>
      </c>
      <c r="T146">
        <f t="shared" si="47"/>
        <v>3114</v>
      </c>
      <c r="U146">
        <f t="shared" si="48"/>
        <v>135</v>
      </c>
      <c r="V146">
        <f t="shared" si="49"/>
        <v>23098985</v>
      </c>
      <c r="W146">
        <f>IF($A146="","",Allocation!CD146)</f>
        <v>120729</v>
      </c>
      <c r="X146">
        <f>IF($A146="","",Allocation!CE146)</f>
        <v>280337.09000000003</v>
      </c>
      <c r="Y146">
        <f>IF($A146="","",Allocation!CF146)</f>
        <v>92652</v>
      </c>
      <c r="Z146">
        <f>IF($A146="","",Allocation!CG146)</f>
        <v>24923</v>
      </c>
      <c r="AA146">
        <f>IF($A146="","",Allocation!CH146)</f>
        <v>662738.81999999995</v>
      </c>
      <c r="AB146">
        <f>IF($A146="","",Allocation!CI146)</f>
        <v>2891983</v>
      </c>
      <c r="AC146">
        <f>IF($A146="","",IF(Allocation!$N$4="VOL_EFF",$G146,IF(Allocation!$N$4="VOL_CLASS",$H146,$I146)))</f>
        <v>2</v>
      </c>
      <c r="AD146">
        <f>IF($A146="","",IF(Allocation!$N$4="VOL_EFF",$L146,IF(Allocation!$N$4="VOL_CLASS",$M146,$N146)))</f>
        <v>10</v>
      </c>
      <c r="AE146">
        <f>IF($A146="","",IF(Allocation!$N$3="VOL_EFF",$L146,IF(Allocation!$N$3="VOL_CLASS",$M146,$N146)))</f>
        <v>249</v>
      </c>
      <c r="AF146">
        <f>IF($A146="","",IF(Allocation!$N$3="VOL_EFF",$Q146,IF(Allocation!$N$3="VOL_CLASS",$R146,$S146)))</f>
        <v>1249</v>
      </c>
      <c r="AG146">
        <f>IF($A146="","",IF(Allocation!$N$1="VOL_EFF",$Q146,IF(Allocation!$N$1="VOL_CLASS",$R146,$S146)))</f>
        <v>1249</v>
      </c>
      <c r="AH146">
        <f>IF($A146="","",IF(Allocation!$N$1="VOL_EFF",$T146,IF(Allocation!$N$1="VOL_CLASS",$U146,$V146)))</f>
        <v>3114</v>
      </c>
      <c r="AI146">
        <f t="shared" si="50"/>
        <v>30182.25</v>
      </c>
      <c r="AJ146">
        <f t="shared" si="51"/>
        <v>70084.272500000006</v>
      </c>
      <c r="AK146">
        <f t="shared" si="52"/>
        <v>31438.415662650601</v>
      </c>
      <c r="AL146">
        <f t="shared" si="53"/>
        <v>132547.764</v>
      </c>
      <c r="AM146">
        <f t="shared" si="54"/>
        <v>46249.439113680157</v>
      </c>
      <c r="AN146">
        <f t="shared" si="55"/>
        <v>53943.246976198687</v>
      </c>
      <c r="AO146">
        <f>IF($A146="","",Allocation!CJ146)</f>
        <v>676344</v>
      </c>
      <c r="AP146">
        <f>IF($A146="","",IF(Allocation!$N$2="VOL_EFF",$Q146,IF(Allocation!$N$2="VOL_CLASS",$R146,$S146)))</f>
        <v>9567455</v>
      </c>
      <c r="AQ146">
        <f>IF($A146="","",IF(Allocation!$N$2="VOL_EFF",$T146,IF(Allocation!$N$2="VOL_CLASS",$U146,$V146)))</f>
        <v>23098985</v>
      </c>
      <c r="AR146">
        <f t="shared" si="56"/>
        <v>11169.611747470521</v>
      </c>
      <c r="AS146" t="str">
        <f>IF($A146="","",$A146&amp;"|"&amp;Allocation!BG146)</f>
        <v>2026|ACT</v>
      </c>
    </row>
    <row r="147" spans="1:45" x14ac:dyDescent="0.45">
      <c r="A147" t="str">
        <f>IF(Allocation!BI147="","",Allocation!BI147)</f>
        <v>2026</v>
      </c>
      <c r="B147" t="str">
        <f>IF(Allocation!BJ147="","",Allocation!BJ147)</f>
        <v>MBWAY_BOR</v>
      </c>
      <c r="C147" t="str">
        <f>IF(Allocation!BK147="","",Allocation!BK147)</f>
        <v>MBWAY</v>
      </c>
      <c r="D147" t="str">
        <f>IF(Allocation!BL147="","",Allocation!BL147)</f>
        <v>BAC_MGT</v>
      </c>
      <c r="E147" t="str">
        <f>IF(Allocation!BM147="","",Allocation!BM147)</f>
        <v>B2</v>
      </c>
      <c r="F147" t="str">
        <f>IF(Allocation!BN147="","",Allocation!BN147)</f>
        <v>ALT</v>
      </c>
      <c r="G147">
        <f>IF(Allocation!BO147="","",Allocation!BO147)</f>
        <v>49</v>
      </c>
      <c r="H147">
        <f>IF(Allocation!BP147="","",Allocation!BP147)</f>
        <v>2</v>
      </c>
      <c r="I147">
        <f>IF(Allocation!BQ147="","",Allocation!BQ147)</f>
        <v>332710</v>
      </c>
      <c r="J147">
        <f>IF(Allocation!CC147="","",Allocation!CC147)</f>
        <v>0</v>
      </c>
      <c r="K147">
        <f t="shared" si="38"/>
        <v>960</v>
      </c>
      <c r="L147">
        <f t="shared" si="39"/>
        <v>249</v>
      </c>
      <c r="M147">
        <f t="shared" si="40"/>
        <v>10</v>
      </c>
      <c r="N147">
        <f t="shared" si="41"/>
        <v>1773610</v>
      </c>
      <c r="O147">
        <f t="shared" si="42"/>
        <v>4800</v>
      </c>
      <c r="P147">
        <f t="shared" si="43"/>
        <v>102</v>
      </c>
      <c r="Q147">
        <f t="shared" si="44"/>
        <v>1249</v>
      </c>
      <c r="R147">
        <f t="shared" si="45"/>
        <v>50</v>
      </c>
      <c r="S147">
        <f t="shared" si="46"/>
        <v>9567455</v>
      </c>
      <c r="T147">
        <f t="shared" si="47"/>
        <v>3114</v>
      </c>
      <c r="U147">
        <f t="shared" si="48"/>
        <v>135</v>
      </c>
      <c r="V147">
        <f t="shared" si="49"/>
        <v>23098985</v>
      </c>
      <c r="W147">
        <f>IF($A147="","",Allocation!CD147)</f>
        <v>120729</v>
      </c>
      <c r="X147">
        <f>IF($A147="","",Allocation!CE147)</f>
        <v>280337.09000000003</v>
      </c>
      <c r="Y147">
        <f>IF($A147="","",Allocation!CF147)</f>
        <v>92652</v>
      </c>
      <c r="Z147">
        <f>IF($A147="","",Allocation!CG147)</f>
        <v>24923</v>
      </c>
      <c r="AA147">
        <f>IF($A147="","",Allocation!CH147)</f>
        <v>662738.81999999995</v>
      </c>
      <c r="AB147">
        <f>IF($A147="","",Allocation!CI147)</f>
        <v>2891983</v>
      </c>
      <c r="AC147">
        <f>IF($A147="","",IF(Allocation!$N$4="VOL_EFF",$G147,IF(Allocation!$N$4="VOL_CLASS",$H147,$I147)))</f>
        <v>2</v>
      </c>
      <c r="AD147">
        <f>IF($A147="","",IF(Allocation!$N$4="VOL_EFF",$L147,IF(Allocation!$N$4="VOL_CLASS",$M147,$N147)))</f>
        <v>10</v>
      </c>
      <c r="AE147">
        <f>IF($A147="","",IF(Allocation!$N$3="VOL_EFF",$L147,IF(Allocation!$N$3="VOL_CLASS",$M147,$N147)))</f>
        <v>249</v>
      </c>
      <c r="AF147">
        <f>IF($A147="","",IF(Allocation!$N$3="VOL_EFF",$Q147,IF(Allocation!$N$3="VOL_CLASS",$R147,$S147)))</f>
        <v>1249</v>
      </c>
      <c r="AG147">
        <f>IF($A147="","",IF(Allocation!$N$1="VOL_EFF",$Q147,IF(Allocation!$N$1="VOL_CLASS",$R147,$S147)))</f>
        <v>1249</v>
      </c>
      <c r="AH147">
        <f>IF($A147="","",IF(Allocation!$N$1="VOL_EFF",$T147,IF(Allocation!$N$1="VOL_CLASS",$U147,$V147)))</f>
        <v>3114</v>
      </c>
      <c r="AI147">
        <f t="shared" si="50"/>
        <v>24145.800000000003</v>
      </c>
      <c r="AJ147">
        <f t="shared" si="51"/>
        <v>56067.418000000005</v>
      </c>
      <c r="AK147">
        <f t="shared" si="52"/>
        <v>18232.722891566267</v>
      </c>
      <c r="AL147">
        <f t="shared" si="53"/>
        <v>132547.764</v>
      </c>
      <c r="AM147">
        <f t="shared" si="54"/>
        <v>46249.439113680157</v>
      </c>
      <c r="AN147">
        <f t="shared" si="55"/>
        <v>44297.24424728303</v>
      </c>
      <c r="AO147">
        <f>IF($A147="","",Allocation!CJ147)</f>
        <v>676344</v>
      </c>
      <c r="AP147">
        <f>IF($A147="","",IF(Allocation!$N$2="VOL_EFF",$Q147,IF(Allocation!$N$2="VOL_CLASS",$R147,$S147)))</f>
        <v>9567455</v>
      </c>
      <c r="AQ147">
        <f>IF($A147="","",IF(Allocation!$N$2="VOL_EFF",$T147,IF(Allocation!$N$2="VOL_CLASS",$U147,$V147)))</f>
        <v>23098985</v>
      </c>
      <c r="AR147">
        <f t="shared" si="56"/>
        <v>11169.611747470521</v>
      </c>
      <c r="AS147" t="str">
        <f>IF($A147="","",$A147&amp;"|"&amp;Allocation!BG147)</f>
        <v>2026|ACT</v>
      </c>
    </row>
    <row r="148" spans="1:45" x14ac:dyDescent="0.45">
      <c r="A148" t="str">
        <f>IF(Allocation!BI148="","",Allocation!BI148)</f>
        <v>2026</v>
      </c>
      <c r="B148" t="str">
        <f>IF(Allocation!BJ148="","",Allocation!BJ148)</f>
        <v>MBWAY_BOR</v>
      </c>
      <c r="C148" t="str">
        <f>IF(Allocation!BK148="","",Allocation!BK148)</f>
        <v>MBWAY</v>
      </c>
      <c r="D148" t="str">
        <f>IF(Allocation!BL148="","",Allocation!BL148)</f>
        <v>BAC_MGT</v>
      </c>
      <c r="E148" t="str">
        <f>IF(Allocation!BM148="","",Allocation!BM148)</f>
        <v>B3</v>
      </c>
      <c r="F148" t="str">
        <f>IF(Allocation!BN148="","",Allocation!BN148)</f>
        <v>ALT</v>
      </c>
      <c r="G148">
        <f>IF(Allocation!BO148="","",Allocation!BO148)</f>
        <v>48</v>
      </c>
      <c r="H148">
        <f>IF(Allocation!BP148="","",Allocation!BP148)</f>
        <v>2</v>
      </c>
      <c r="I148">
        <f>IF(Allocation!BQ148="","",Allocation!BQ148)</f>
        <v>325920</v>
      </c>
      <c r="J148">
        <f>IF(Allocation!CC148="","",Allocation!CC148)</f>
        <v>0</v>
      </c>
      <c r="K148">
        <f t="shared" si="38"/>
        <v>960</v>
      </c>
      <c r="L148">
        <f t="shared" si="39"/>
        <v>249</v>
      </c>
      <c r="M148">
        <f t="shared" si="40"/>
        <v>10</v>
      </c>
      <c r="N148">
        <f t="shared" si="41"/>
        <v>1773610</v>
      </c>
      <c r="O148">
        <f t="shared" si="42"/>
        <v>4800</v>
      </c>
      <c r="P148">
        <f t="shared" si="43"/>
        <v>102</v>
      </c>
      <c r="Q148">
        <f t="shared" si="44"/>
        <v>1249</v>
      </c>
      <c r="R148">
        <f t="shared" si="45"/>
        <v>50</v>
      </c>
      <c r="S148">
        <f t="shared" si="46"/>
        <v>9567455</v>
      </c>
      <c r="T148">
        <f t="shared" si="47"/>
        <v>3114</v>
      </c>
      <c r="U148">
        <f t="shared" si="48"/>
        <v>135</v>
      </c>
      <c r="V148">
        <f t="shared" si="49"/>
        <v>23098985</v>
      </c>
      <c r="W148">
        <f>IF($A148="","",Allocation!CD148)</f>
        <v>120729</v>
      </c>
      <c r="X148">
        <f>IF($A148="","",Allocation!CE148)</f>
        <v>280337.09000000003</v>
      </c>
      <c r="Y148">
        <f>IF($A148="","",Allocation!CF148)</f>
        <v>92652</v>
      </c>
      <c r="Z148">
        <f>IF($A148="","",Allocation!CG148)</f>
        <v>24923</v>
      </c>
      <c r="AA148">
        <f>IF($A148="","",Allocation!CH148)</f>
        <v>662738.81999999995</v>
      </c>
      <c r="AB148">
        <f>IF($A148="","",Allocation!CI148)</f>
        <v>2891983</v>
      </c>
      <c r="AC148">
        <f>IF($A148="","",IF(Allocation!$N$4="VOL_EFF",$G148,IF(Allocation!$N$4="VOL_CLASS",$H148,$I148)))</f>
        <v>2</v>
      </c>
      <c r="AD148">
        <f>IF($A148="","",IF(Allocation!$N$4="VOL_EFF",$L148,IF(Allocation!$N$4="VOL_CLASS",$M148,$N148)))</f>
        <v>10</v>
      </c>
      <c r="AE148">
        <f>IF($A148="","",IF(Allocation!$N$3="VOL_EFF",$L148,IF(Allocation!$N$3="VOL_CLASS",$M148,$N148)))</f>
        <v>249</v>
      </c>
      <c r="AF148">
        <f>IF($A148="","",IF(Allocation!$N$3="VOL_EFF",$Q148,IF(Allocation!$N$3="VOL_CLASS",$R148,$S148)))</f>
        <v>1249</v>
      </c>
      <c r="AG148">
        <f>IF($A148="","",IF(Allocation!$N$1="VOL_EFF",$Q148,IF(Allocation!$N$1="VOL_CLASS",$R148,$S148)))</f>
        <v>1249</v>
      </c>
      <c r="AH148">
        <f>IF($A148="","",IF(Allocation!$N$1="VOL_EFF",$T148,IF(Allocation!$N$1="VOL_CLASS",$U148,$V148)))</f>
        <v>3114</v>
      </c>
      <c r="AI148">
        <f t="shared" si="50"/>
        <v>24145.800000000003</v>
      </c>
      <c r="AJ148">
        <f t="shared" si="51"/>
        <v>56067.418000000005</v>
      </c>
      <c r="AK148">
        <f t="shared" si="52"/>
        <v>17860.626506024098</v>
      </c>
      <c r="AL148">
        <f t="shared" si="53"/>
        <v>132547.764</v>
      </c>
      <c r="AM148">
        <f t="shared" si="54"/>
        <v>46249.439113680157</v>
      </c>
      <c r="AN148">
        <f t="shared" si="55"/>
        <v>37879.340632825217</v>
      </c>
      <c r="AO148">
        <f>IF($A148="","",Allocation!CJ148)</f>
        <v>676344</v>
      </c>
      <c r="AP148">
        <f>IF($A148="","",IF(Allocation!$N$2="VOL_EFF",$Q148,IF(Allocation!$N$2="VOL_CLASS",$R148,$S148)))</f>
        <v>9567455</v>
      </c>
      <c r="AQ148">
        <f>IF($A148="","",IF(Allocation!$N$2="VOL_EFF",$T148,IF(Allocation!$N$2="VOL_CLASS",$U148,$V148)))</f>
        <v>23098985</v>
      </c>
      <c r="AR148">
        <f t="shared" si="56"/>
        <v>11169.611747470521</v>
      </c>
      <c r="AS148" t="str">
        <f>IF($A148="","",$A148&amp;"|"&amp;Allocation!BG148)</f>
        <v>2026|ACT</v>
      </c>
    </row>
    <row r="149" spans="1:45" x14ac:dyDescent="0.45">
      <c r="A149" t="str">
        <f>IF(Allocation!BI149="","",Allocation!BI149)</f>
        <v>2026</v>
      </c>
      <c r="B149" t="str">
        <f>IF(Allocation!BJ149="","",Allocation!BJ149)</f>
        <v>MBWAY_BOR</v>
      </c>
      <c r="C149" t="str">
        <f>IF(Allocation!BK149="","",Allocation!BK149)</f>
        <v>MBWAY</v>
      </c>
      <c r="D149" t="str">
        <f>IF(Allocation!BL149="","",Allocation!BL149)</f>
        <v>MAS_MGT</v>
      </c>
      <c r="E149" t="str">
        <f>IF(Allocation!BM149="","",Allocation!BM149)</f>
        <v>M1</v>
      </c>
      <c r="F149" t="str">
        <f>IF(Allocation!BN149="","",Allocation!BN149)</f>
        <v>ALT</v>
      </c>
      <c r="G149">
        <f>IF(Allocation!BO149="","",Allocation!BO149)</f>
        <v>51</v>
      </c>
      <c r="H149">
        <f>IF(Allocation!BP149="","",Allocation!BP149)</f>
        <v>2</v>
      </c>
      <c r="I149">
        <f>IF(Allocation!BQ149="","",Allocation!BQ149)</f>
        <v>375615</v>
      </c>
      <c r="J149">
        <f>IF(Allocation!CC149="","",Allocation!CC149)</f>
        <v>51</v>
      </c>
      <c r="K149">
        <f t="shared" si="38"/>
        <v>840</v>
      </c>
      <c r="L149">
        <f t="shared" si="39"/>
        <v>249</v>
      </c>
      <c r="M149">
        <f t="shared" si="40"/>
        <v>10</v>
      </c>
      <c r="N149">
        <f t="shared" si="41"/>
        <v>1773610</v>
      </c>
      <c r="O149">
        <f t="shared" si="42"/>
        <v>4800</v>
      </c>
      <c r="P149">
        <f t="shared" si="43"/>
        <v>102</v>
      </c>
      <c r="Q149">
        <f t="shared" si="44"/>
        <v>1249</v>
      </c>
      <c r="R149">
        <f t="shared" si="45"/>
        <v>50</v>
      </c>
      <c r="S149">
        <f t="shared" si="46"/>
        <v>9567455</v>
      </c>
      <c r="T149">
        <f t="shared" si="47"/>
        <v>3114</v>
      </c>
      <c r="U149">
        <f t="shared" si="48"/>
        <v>135</v>
      </c>
      <c r="V149">
        <f t="shared" si="49"/>
        <v>23098985</v>
      </c>
      <c r="W149">
        <f>IF($A149="","",Allocation!CD149)</f>
        <v>120729</v>
      </c>
      <c r="X149">
        <f>IF($A149="","",Allocation!CE149)</f>
        <v>280337.09000000003</v>
      </c>
      <c r="Y149">
        <f>IF($A149="","",Allocation!CF149)</f>
        <v>92652</v>
      </c>
      <c r="Z149">
        <f>IF($A149="","",Allocation!CG149)</f>
        <v>24923</v>
      </c>
      <c r="AA149">
        <f>IF($A149="","",Allocation!CH149)</f>
        <v>662738.81999999995</v>
      </c>
      <c r="AB149">
        <f>IF($A149="","",Allocation!CI149)</f>
        <v>2891983</v>
      </c>
      <c r="AC149">
        <f>IF($A149="","",IF(Allocation!$N$4="VOL_EFF",$G149,IF(Allocation!$N$4="VOL_CLASS",$H149,$I149)))</f>
        <v>2</v>
      </c>
      <c r="AD149">
        <f>IF($A149="","",IF(Allocation!$N$4="VOL_EFF",$L149,IF(Allocation!$N$4="VOL_CLASS",$M149,$N149)))</f>
        <v>10</v>
      </c>
      <c r="AE149">
        <f>IF($A149="","",IF(Allocation!$N$3="VOL_EFF",$L149,IF(Allocation!$N$3="VOL_CLASS",$M149,$N149)))</f>
        <v>249</v>
      </c>
      <c r="AF149">
        <f>IF($A149="","",IF(Allocation!$N$3="VOL_EFF",$Q149,IF(Allocation!$N$3="VOL_CLASS",$R149,$S149)))</f>
        <v>1249</v>
      </c>
      <c r="AG149">
        <f>IF($A149="","",IF(Allocation!$N$1="VOL_EFF",$Q149,IF(Allocation!$N$1="VOL_CLASS",$R149,$S149)))</f>
        <v>1249</v>
      </c>
      <c r="AH149">
        <f>IF($A149="","",IF(Allocation!$N$1="VOL_EFF",$T149,IF(Allocation!$N$1="VOL_CLASS",$U149,$V149)))</f>
        <v>3114</v>
      </c>
      <c r="AI149">
        <f t="shared" si="50"/>
        <v>21127.574999999997</v>
      </c>
      <c r="AJ149">
        <f t="shared" si="51"/>
        <v>49058.990750000004</v>
      </c>
      <c r="AK149">
        <f t="shared" si="52"/>
        <v>31438.415662650601</v>
      </c>
      <c r="AL149">
        <f t="shared" si="53"/>
        <v>132547.764</v>
      </c>
      <c r="AM149">
        <f t="shared" si="54"/>
        <v>46249.439113680157</v>
      </c>
      <c r="AN149">
        <f t="shared" si="55"/>
        <v>84023.203726198699</v>
      </c>
      <c r="AO149">
        <f>IF($A149="","",Allocation!CJ149)</f>
        <v>676344</v>
      </c>
      <c r="AP149">
        <f>IF($A149="","",IF(Allocation!$N$2="VOL_EFF",$Q149,IF(Allocation!$N$2="VOL_CLASS",$R149,$S149)))</f>
        <v>9567455</v>
      </c>
      <c r="AQ149">
        <f>IF($A149="","",IF(Allocation!$N$2="VOL_EFF",$T149,IF(Allocation!$N$2="VOL_CLASS",$U149,$V149)))</f>
        <v>23098985</v>
      </c>
      <c r="AR149">
        <f t="shared" si="56"/>
        <v>11169.611747470521</v>
      </c>
      <c r="AS149" t="str">
        <f>IF($A149="","",$A149&amp;"|"&amp;Allocation!BG149)</f>
        <v>2026|ACT</v>
      </c>
    </row>
    <row r="150" spans="1:45" x14ac:dyDescent="0.45">
      <c r="A150" t="str">
        <f>IF(Allocation!BI150="","",Allocation!BI150)</f>
        <v>2026</v>
      </c>
      <c r="B150" t="str">
        <f>IF(Allocation!BJ150="","",Allocation!BJ150)</f>
        <v>MBWAY_BOR</v>
      </c>
      <c r="C150" t="str">
        <f>IF(Allocation!BK150="","",Allocation!BK150)</f>
        <v>MBWAY</v>
      </c>
      <c r="D150" t="str">
        <f>IF(Allocation!BL150="","",Allocation!BL150)</f>
        <v>MAS_MGT</v>
      </c>
      <c r="E150" t="str">
        <f>IF(Allocation!BM150="","",Allocation!BM150)</f>
        <v>M2</v>
      </c>
      <c r="F150" t="str">
        <f>IF(Allocation!BN150="","",Allocation!BN150)</f>
        <v>ALT</v>
      </c>
      <c r="G150">
        <f>IF(Allocation!BO150="","",Allocation!BO150)</f>
        <v>50</v>
      </c>
      <c r="H150">
        <f>IF(Allocation!BP150="","",Allocation!BP150)</f>
        <v>2</v>
      </c>
      <c r="I150">
        <f>IF(Allocation!BQ150="","",Allocation!BQ150)</f>
        <v>363750</v>
      </c>
      <c r="J150">
        <f>IF(Allocation!CC150="","",Allocation!CC150)</f>
        <v>0</v>
      </c>
      <c r="K150">
        <f t="shared" si="38"/>
        <v>840</v>
      </c>
      <c r="L150">
        <f t="shared" si="39"/>
        <v>249</v>
      </c>
      <c r="M150">
        <f t="shared" si="40"/>
        <v>10</v>
      </c>
      <c r="N150">
        <f t="shared" si="41"/>
        <v>1773610</v>
      </c>
      <c r="O150">
        <f t="shared" si="42"/>
        <v>4800</v>
      </c>
      <c r="P150">
        <f t="shared" si="43"/>
        <v>102</v>
      </c>
      <c r="Q150">
        <f t="shared" si="44"/>
        <v>1249</v>
      </c>
      <c r="R150">
        <f t="shared" si="45"/>
        <v>50</v>
      </c>
      <c r="S150">
        <f t="shared" si="46"/>
        <v>9567455</v>
      </c>
      <c r="T150">
        <f t="shared" si="47"/>
        <v>3114</v>
      </c>
      <c r="U150">
        <f t="shared" si="48"/>
        <v>135</v>
      </c>
      <c r="V150">
        <f t="shared" si="49"/>
        <v>23098985</v>
      </c>
      <c r="W150">
        <f>IF($A150="","",Allocation!CD150)</f>
        <v>120729</v>
      </c>
      <c r="X150">
        <f>IF($A150="","",Allocation!CE150)</f>
        <v>280337.09000000003</v>
      </c>
      <c r="Y150">
        <f>IF($A150="","",Allocation!CF150)</f>
        <v>92652</v>
      </c>
      <c r="Z150">
        <f>IF($A150="","",Allocation!CG150)</f>
        <v>24923</v>
      </c>
      <c r="AA150">
        <f>IF($A150="","",Allocation!CH150)</f>
        <v>662738.81999999995</v>
      </c>
      <c r="AB150">
        <f>IF($A150="","",Allocation!CI150)</f>
        <v>2891983</v>
      </c>
      <c r="AC150">
        <f>IF($A150="","",IF(Allocation!$N$4="VOL_EFF",$G150,IF(Allocation!$N$4="VOL_CLASS",$H150,$I150)))</f>
        <v>2</v>
      </c>
      <c r="AD150">
        <f>IF($A150="","",IF(Allocation!$N$4="VOL_EFF",$L150,IF(Allocation!$N$4="VOL_CLASS",$M150,$N150)))</f>
        <v>10</v>
      </c>
      <c r="AE150">
        <f>IF($A150="","",IF(Allocation!$N$3="VOL_EFF",$L150,IF(Allocation!$N$3="VOL_CLASS",$M150,$N150)))</f>
        <v>249</v>
      </c>
      <c r="AF150">
        <f>IF($A150="","",IF(Allocation!$N$3="VOL_EFF",$Q150,IF(Allocation!$N$3="VOL_CLASS",$R150,$S150)))</f>
        <v>1249</v>
      </c>
      <c r="AG150">
        <f>IF($A150="","",IF(Allocation!$N$1="VOL_EFF",$Q150,IF(Allocation!$N$1="VOL_CLASS",$R150,$S150)))</f>
        <v>1249</v>
      </c>
      <c r="AH150">
        <f>IF($A150="","",IF(Allocation!$N$1="VOL_EFF",$T150,IF(Allocation!$N$1="VOL_CLASS",$U150,$V150)))</f>
        <v>3114</v>
      </c>
      <c r="AI150">
        <f t="shared" si="50"/>
        <v>21127.574999999997</v>
      </c>
      <c r="AJ150">
        <f t="shared" si="51"/>
        <v>49058.990750000004</v>
      </c>
      <c r="AK150">
        <f t="shared" si="52"/>
        <v>18604.819277108432</v>
      </c>
      <c r="AL150">
        <f t="shared" si="53"/>
        <v>132547.764</v>
      </c>
      <c r="AM150">
        <f t="shared" si="54"/>
        <v>46249.439113680157</v>
      </c>
      <c r="AN150">
        <f t="shared" si="55"/>
        <v>84991.800111740886</v>
      </c>
      <c r="AO150">
        <f>IF($A150="","",Allocation!CJ150)</f>
        <v>676344</v>
      </c>
      <c r="AP150">
        <f>IF($A150="","",IF(Allocation!$N$2="VOL_EFF",$Q150,IF(Allocation!$N$2="VOL_CLASS",$R150,$S150)))</f>
        <v>9567455</v>
      </c>
      <c r="AQ150">
        <f>IF($A150="","",IF(Allocation!$N$2="VOL_EFF",$T150,IF(Allocation!$N$2="VOL_CLASS",$U150,$V150)))</f>
        <v>23098985</v>
      </c>
      <c r="AR150">
        <f t="shared" si="56"/>
        <v>11169.611747470521</v>
      </c>
      <c r="AS150" t="str">
        <f>IF($A150="","",$A150&amp;"|"&amp;Allocation!BG150)</f>
        <v>2026|ACT</v>
      </c>
    </row>
    <row r="151" spans="1:45" x14ac:dyDescent="0.45">
      <c r="A151" t="str">
        <f>IF(Allocation!BI151="","",Allocation!BI151)</f>
        <v>2026</v>
      </c>
      <c r="B151" t="str">
        <f>IF(Allocation!BJ151="","",Allocation!BJ151)</f>
        <v>MBWAY_LYO</v>
      </c>
      <c r="C151" t="str">
        <f>IF(Allocation!BK151="","",Allocation!BK151)</f>
        <v>MBWAY</v>
      </c>
      <c r="D151" t="str">
        <f>IF(Allocation!BL151="","",Allocation!BL151)</f>
        <v>BAC_MGT</v>
      </c>
      <c r="E151" t="str">
        <f>IF(Allocation!BM151="","",Allocation!BM151)</f>
        <v>B1</v>
      </c>
      <c r="F151" t="str">
        <f>IF(Allocation!BN151="","",Allocation!BN151)</f>
        <v>INIT</v>
      </c>
      <c r="G151">
        <f>IF(Allocation!BO151="","",Allocation!BO151)</f>
        <v>66</v>
      </c>
      <c r="H151">
        <f>IF(Allocation!BP151="","",Allocation!BP151)</f>
        <v>3</v>
      </c>
      <c r="I151">
        <f>IF(Allocation!BQ151="","",Allocation!BQ151)</f>
        <v>525690</v>
      </c>
      <c r="J151">
        <f>IF(Allocation!CC151="","",Allocation!CC151)</f>
        <v>66</v>
      </c>
      <c r="K151">
        <f t="shared" si="38"/>
        <v>1800</v>
      </c>
      <c r="L151">
        <f t="shared" si="39"/>
        <v>324</v>
      </c>
      <c r="M151">
        <f t="shared" si="40"/>
        <v>13</v>
      </c>
      <c r="N151">
        <f t="shared" si="41"/>
        <v>2496705</v>
      </c>
      <c r="O151">
        <f t="shared" si="42"/>
        <v>6240</v>
      </c>
      <c r="P151">
        <f t="shared" si="43"/>
        <v>132</v>
      </c>
      <c r="Q151">
        <f t="shared" si="44"/>
        <v>1249</v>
      </c>
      <c r="R151">
        <f t="shared" si="45"/>
        <v>50</v>
      </c>
      <c r="S151">
        <f t="shared" si="46"/>
        <v>9567455</v>
      </c>
      <c r="T151">
        <f t="shared" si="47"/>
        <v>3114</v>
      </c>
      <c r="U151">
        <f t="shared" si="48"/>
        <v>135</v>
      </c>
      <c r="V151">
        <f t="shared" si="49"/>
        <v>23098985</v>
      </c>
      <c r="W151">
        <f>IF($A151="","",Allocation!CD151)</f>
        <v>156948</v>
      </c>
      <c r="X151">
        <f>IF($A151="","",Allocation!CE151)</f>
        <v>400192.8</v>
      </c>
      <c r="Y151">
        <f>IF($A151="","",Allocation!CF151)</f>
        <v>120559</v>
      </c>
      <c r="Z151">
        <f>IF($A151="","",Allocation!CG151)</f>
        <v>41783</v>
      </c>
      <c r="AA151">
        <f>IF($A151="","",Allocation!CH151)</f>
        <v>946679.56</v>
      </c>
      <c r="AB151">
        <f>IF($A151="","",Allocation!CI151)</f>
        <v>2891983</v>
      </c>
      <c r="AC151">
        <f>IF($A151="","",IF(Allocation!$N$4="VOL_EFF",$G151,IF(Allocation!$N$4="VOL_CLASS",$H151,$I151)))</f>
        <v>3</v>
      </c>
      <c r="AD151">
        <f>IF($A151="","",IF(Allocation!$N$4="VOL_EFF",$L151,IF(Allocation!$N$4="VOL_CLASS",$M151,$N151)))</f>
        <v>13</v>
      </c>
      <c r="AE151">
        <f>IF($A151="","",IF(Allocation!$N$3="VOL_EFF",$L151,IF(Allocation!$N$3="VOL_CLASS",$M151,$N151)))</f>
        <v>324</v>
      </c>
      <c r="AF151">
        <f>IF($A151="","",IF(Allocation!$N$3="VOL_EFF",$Q151,IF(Allocation!$N$3="VOL_CLASS",$R151,$S151)))</f>
        <v>1249</v>
      </c>
      <c r="AG151">
        <f>IF($A151="","",IF(Allocation!$N$1="VOL_EFF",$Q151,IF(Allocation!$N$1="VOL_CLASS",$R151,$S151)))</f>
        <v>1249</v>
      </c>
      <c r="AH151">
        <f>IF($A151="","",IF(Allocation!$N$1="VOL_EFF",$T151,IF(Allocation!$N$1="VOL_CLASS",$U151,$V151)))</f>
        <v>3114</v>
      </c>
      <c r="AI151">
        <f t="shared" si="50"/>
        <v>45273.461538461532</v>
      </c>
      <c r="AJ151">
        <f t="shared" si="51"/>
        <v>115440.23076923075</v>
      </c>
      <c r="AK151">
        <f t="shared" si="52"/>
        <v>45449.814814814818</v>
      </c>
      <c r="AL151">
        <f t="shared" si="53"/>
        <v>218464.51384615386</v>
      </c>
      <c r="AM151">
        <f t="shared" si="54"/>
        <v>69438.453534904416</v>
      </c>
      <c r="AN151">
        <f t="shared" si="55"/>
        <v>14853.580148054461</v>
      </c>
      <c r="AO151">
        <f>IF($A151="","",Allocation!CJ151)</f>
        <v>676344</v>
      </c>
      <c r="AP151">
        <f>IF($A151="","",IF(Allocation!$N$2="VOL_EFF",$Q151,IF(Allocation!$N$2="VOL_CLASS",$R151,$S151)))</f>
        <v>9567455</v>
      </c>
      <c r="AQ151">
        <f>IF($A151="","",IF(Allocation!$N$2="VOL_EFF",$T151,IF(Allocation!$N$2="VOL_CLASS",$U151,$V151)))</f>
        <v>23098985</v>
      </c>
      <c r="AR151">
        <f t="shared" si="56"/>
        <v>16769.945348380203</v>
      </c>
      <c r="AS151" t="str">
        <f>IF($A151="","",$A151&amp;"|"&amp;Allocation!BG151)</f>
        <v>2026|ACT</v>
      </c>
    </row>
    <row r="152" spans="1:45" x14ac:dyDescent="0.45">
      <c r="A152" t="str">
        <f>IF(Allocation!BI152="","",Allocation!BI152)</f>
        <v>2026</v>
      </c>
      <c r="B152" t="str">
        <f>IF(Allocation!BJ152="","",Allocation!BJ152)</f>
        <v>MBWAY_LYO</v>
      </c>
      <c r="C152" t="str">
        <f>IF(Allocation!BK152="","",Allocation!BK152)</f>
        <v>MBWAY</v>
      </c>
      <c r="D152" t="str">
        <f>IF(Allocation!BL152="","",Allocation!BL152)</f>
        <v>BAC_MGT</v>
      </c>
      <c r="E152" t="str">
        <f>IF(Allocation!BM152="","",Allocation!BM152)</f>
        <v>B2</v>
      </c>
      <c r="F152" t="str">
        <f>IF(Allocation!BN152="","",Allocation!BN152)</f>
        <v>ALT</v>
      </c>
      <c r="G152">
        <f>IF(Allocation!BO152="","",Allocation!BO152)</f>
        <v>64</v>
      </c>
      <c r="H152">
        <f>IF(Allocation!BP152="","",Allocation!BP152)</f>
        <v>2</v>
      </c>
      <c r="I152">
        <f>IF(Allocation!BQ152="","",Allocation!BQ152)</f>
        <v>470400</v>
      </c>
      <c r="J152">
        <f>IF(Allocation!CC152="","",Allocation!CC152)</f>
        <v>0</v>
      </c>
      <c r="K152">
        <f t="shared" si="38"/>
        <v>960</v>
      </c>
      <c r="L152">
        <f t="shared" si="39"/>
        <v>324</v>
      </c>
      <c r="M152">
        <f t="shared" si="40"/>
        <v>13</v>
      </c>
      <c r="N152">
        <f t="shared" si="41"/>
        <v>2496705</v>
      </c>
      <c r="O152">
        <f t="shared" si="42"/>
        <v>6240</v>
      </c>
      <c r="P152">
        <f t="shared" si="43"/>
        <v>132</v>
      </c>
      <c r="Q152">
        <f t="shared" si="44"/>
        <v>1249</v>
      </c>
      <c r="R152">
        <f t="shared" si="45"/>
        <v>50</v>
      </c>
      <c r="S152">
        <f t="shared" si="46"/>
        <v>9567455</v>
      </c>
      <c r="T152">
        <f t="shared" si="47"/>
        <v>3114</v>
      </c>
      <c r="U152">
        <f t="shared" si="48"/>
        <v>135</v>
      </c>
      <c r="V152">
        <f t="shared" si="49"/>
        <v>23098985</v>
      </c>
      <c r="W152">
        <f>IF($A152="","",Allocation!CD152)</f>
        <v>156948</v>
      </c>
      <c r="X152">
        <f>IF($A152="","",Allocation!CE152)</f>
        <v>400192.8</v>
      </c>
      <c r="Y152">
        <f>IF($A152="","",Allocation!CF152)</f>
        <v>120559</v>
      </c>
      <c r="Z152">
        <f>IF($A152="","",Allocation!CG152)</f>
        <v>41783</v>
      </c>
      <c r="AA152">
        <f>IF($A152="","",Allocation!CH152)</f>
        <v>946679.56</v>
      </c>
      <c r="AB152">
        <f>IF($A152="","",Allocation!CI152)</f>
        <v>2891983</v>
      </c>
      <c r="AC152">
        <f>IF($A152="","",IF(Allocation!$N$4="VOL_EFF",$G152,IF(Allocation!$N$4="VOL_CLASS",$H152,$I152)))</f>
        <v>2</v>
      </c>
      <c r="AD152">
        <f>IF($A152="","",IF(Allocation!$N$4="VOL_EFF",$L152,IF(Allocation!$N$4="VOL_CLASS",$M152,$N152)))</f>
        <v>13</v>
      </c>
      <c r="AE152">
        <f>IF($A152="","",IF(Allocation!$N$3="VOL_EFF",$L152,IF(Allocation!$N$3="VOL_CLASS",$M152,$N152)))</f>
        <v>324</v>
      </c>
      <c r="AF152">
        <f>IF($A152="","",IF(Allocation!$N$3="VOL_EFF",$Q152,IF(Allocation!$N$3="VOL_CLASS",$R152,$S152)))</f>
        <v>1249</v>
      </c>
      <c r="AG152">
        <f>IF($A152="","",IF(Allocation!$N$1="VOL_EFF",$Q152,IF(Allocation!$N$1="VOL_CLASS",$R152,$S152)))</f>
        <v>1249</v>
      </c>
      <c r="AH152">
        <f>IF($A152="","",IF(Allocation!$N$1="VOL_EFF",$T152,IF(Allocation!$N$1="VOL_CLASS",$U152,$V152)))</f>
        <v>3114</v>
      </c>
      <c r="AI152">
        <f t="shared" si="50"/>
        <v>24145.846153846156</v>
      </c>
      <c r="AJ152">
        <f t="shared" si="51"/>
        <v>61568.123076923075</v>
      </c>
      <c r="AK152">
        <f t="shared" si="52"/>
        <v>23814.123456790123</v>
      </c>
      <c r="AL152">
        <f t="shared" si="53"/>
        <v>145643.00923076924</v>
      </c>
      <c r="AM152">
        <f t="shared" si="54"/>
        <v>46292.302356602937</v>
      </c>
      <c r="AN152">
        <f t="shared" si="55"/>
        <v>157756.6321594817</v>
      </c>
      <c r="AO152">
        <f>IF($A152="","",Allocation!CJ152)</f>
        <v>676344</v>
      </c>
      <c r="AP152">
        <f>IF($A152="","",IF(Allocation!$N$2="VOL_EFF",$Q152,IF(Allocation!$N$2="VOL_CLASS",$R152,$S152)))</f>
        <v>9567455</v>
      </c>
      <c r="AQ152">
        <f>IF($A152="","",IF(Allocation!$N$2="VOL_EFF",$T152,IF(Allocation!$N$2="VOL_CLASS",$U152,$V152)))</f>
        <v>23098985</v>
      </c>
      <c r="AR152">
        <f t="shared" si="56"/>
        <v>11179.963565586802</v>
      </c>
      <c r="AS152" t="str">
        <f>IF($A152="","",$A152&amp;"|"&amp;Allocation!BG152)</f>
        <v>2026|ACT</v>
      </c>
    </row>
    <row r="153" spans="1:45" x14ac:dyDescent="0.45">
      <c r="A153" t="str">
        <f>IF(Allocation!BI153="","",Allocation!BI153)</f>
        <v>2026</v>
      </c>
      <c r="B153" t="str">
        <f>IF(Allocation!BJ153="","",Allocation!BJ153)</f>
        <v>MBWAY_LYO</v>
      </c>
      <c r="C153" t="str">
        <f>IF(Allocation!BK153="","",Allocation!BK153)</f>
        <v>MBWAY</v>
      </c>
      <c r="D153" t="str">
        <f>IF(Allocation!BL153="","",Allocation!BL153)</f>
        <v>BAC_MGT</v>
      </c>
      <c r="E153" t="str">
        <f>IF(Allocation!BM153="","",Allocation!BM153)</f>
        <v>B3</v>
      </c>
      <c r="F153" t="str">
        <f>IF(Allocation!BN153="","",Allocation!BN153)</f>
        <v>ALT</v>
      </c>
      <c r="G153">
        <f>IF(Allocation!BO153="","",Allocation!BO153)</f>
        <v>63</v>
      </c>
      <c r="H153">
        <f>IF(Allocation!BP153="","",Allocation!BP153)</f>
        <v>2</v>
      </c>
      <c r="I153">
        <f>IF(Allocation!BQ153="","",Allocation!BQ153)</f>
        <v>463050</v>
      </c>
      <c r="J153">
        <f>IF(Allocation!CC153="","",Allocation!CC153)</f>
        <v>0</v>
      </c>
      <c r="K153">
        <f t="shared" si="38"/>
        <v>960</v>
      </c>
      <c r="L153">
        <f t="shared" si="39"/>
        <v>324</v>
      </c>
      <c r="M153">
        <f t="shared" si="40"/>
        <v>13</v>
      </c>
      <c r="N153">
        <f t="shared" si="41"/>
        <v>2496705</v>
      </c>
      <c r="O153">
        <f t="shared" si="42"/>
        <v>6240</v>
      </c>
      <c r="P153">
        <f t="shared" si="43"/>
        <v>132</v>
      </c>
      <c r="Q153">
        <f t="shared" si="44"/>
        <v>1249</v>
      </c>
      <c r="R153">
        <f t="shared" si="45"/>
        <v>50</v>
      </c>
      <c r="S153">
        <f t="shared" si="46"/>
        <v>9567455</v>
      </c>
      <c r="T153">
        <f t="shared" si="47"/>
        <v>3114</v>
      </c>
      <c r="U153">
        <f t="shared" si="48"/>
        <v>135</v>
      </c>
      <c r="V153">
        <f t="shared" si="49"/>
        <v>23098985</v>
      </c>
      <c r="W153">
        <f>IF($A153="","",Allocation!CD153)</f>
        <v>156948</v>
      </c>
      <c r="X153">
        <f>IF($A153="","",Allocation!CE153)</f>
        <v>400192.8</v>
      </c>
      <c r="Y153">
        <f>IF($A153="","",Allocation!CF153)</f>
        <v>120559</v>
      </c>
      <c r="Z153">
        <f>IF($A153="","",Allocation!CG153)</f>
        <v>41783</v>
      </c>
      <c r="AA153">
        <f>IF($A153="","",Allocation!CH153)</f>
        <v>946679.56</v>
      </c>
      <c r="AB153">
        <f>IF($A153="","",Allocation!CI153)</f>
        <v>2891983</v>
      </c>
      <c r="AC153">
        <f>IF($A153="","",IF(Allocation!$N$4="VOL_EFF",$G153,IF(Allocation!$N$4="VOL_CLASS",$H153,$I153)))</f>
        <v>2</v>
      </c>
      <c r="AD153">
        <f>IF($A153="","",IF(Allocation!$N$4="VOL_EFF",$L153,IF(Allocation!$N$4="VOL_CLASS",$M153,$N153)))</f>
        <v>13</v>
      </c>
      <c r="AE153">
        <f>IF($A153="","",IF(Allocation!$N$3="VOL_EFF",$L153,IF(Allocation!$N$3="VOL_CLASS",$M153,$N153)))</f>
        <v>324</v>
      </c>
      <c r="AF153">
        <f>IF($A153="","",IF(Allocation!$N$3="VOL_EFF",$Q153,IF(Allocation!$N$3="VOL_CLASS",$R153,$S153)))</f>
        <v>1249</v>
      </c>
      <c r="AG153">
        <f>IF($A153="","",IF(Allocation!$N$1="VOL_EFF",$Q153,IF(Allocation!$N$1="VOL_CLASS",$R153,$S153)))</f>
        <v>1249</v>
      </c>
      <c r="AH153">
        <f>IF($A153="","",IF(Allocation!$N$1="VOL_EFF",$T153,IF(Allocation!$N$1="VOL_CLASS",$U153,$V153)))</f>
        <v>3114</v>
      </c>
      <c r="AI153">
        <f t="shared" si="50"/>
        <v>24145.846153846156</v>
      </c>
      <c r="AJ153">
        <f t="shared" si="51"/>
        <v>61568.123076923075</v>
      </c>
      <c r="AK153">
        <f t="shared" si="52"/>
        <v>23442.027777777777</v>
      </c>
      <c r="AL153">
        <f t="shared" si="53"/>
        <v>145643.00923076924</v>
      </c>
      <c r="AM153">
        <f t="shared" si="54"/>
        <v>46292.302356602937</v>
      </c>
      <c r="AN153">
        <f t="shared" si="55"/>
        <v>150778.72783849406</v>
      </c>
      <c r="AO153">
        <f>IF($A153="","",Allocation!CJ153)</f>
        <v>676344</v>
      </c>
      <c r="AP153">
        <f>IF($A153="","",IF(Allocation!$N$2="VOL_EFF",$Q153,IF(Allocation!$N$2="VOL_CLASS",$R153,$S153)))</f>
        <v>9567455</v>
      </c>
      <c r="AQ153">
        <f>IF($A153="","",IF(Allocation!$N$2="VOL_EFF",$T153,IF(Allocation!$N$2="VOL_CLASS",$U153,$V153)))</f>
        <v>23098985</v>
      </c>
      <c r="AR153">
        <f t="shared" si="56"/>
        <v>11179.963565586802</v>
      </c>
      <c r="AS153" t="str">
        <f>IF($A153="","",$A153&amp;"|"&amp;Allocation!BG153)</f>
        <v>2026|ACT</v>
      </c>
    </row>
    <row r="154" spans="1:45" x14ac:dyDescent="0.45">
      <c r="A154" t="str">
        <f>IF(Allocation!BI154="","",Allocation!BI154)</f>
        <v>2026</v>
      </c>
      <c r="B154" t="str">
        <f>IF(Allocation!BJ154="","",Allocation!BJ154)</f>
        <v>MBWAY_LYO</v>
      </c>
      <c r="C154" t="str">
        <f>IF(Allocation!BK154="","",Allocation!BK154)</f>
        <v>MBWAY</v>
      </c>
      <c r="D154" t="str">
        <f>IF(Allocation!BL154="","",Allocation!BL154)</f>
        <v>MAS_MGT</v>
      </c>
      <c r="E154" t="str">
        <f>IF(Allocation!BM154="","",Allocation!BM154)</f>
        <v>M1</v>
      </c>
      <c r="F154" t="str">
        <f>IF(Allocation!BN154="","",Allocation!BN154)</f>
        <v>ALT</v>
      </c>
      <c r="G154">
        <f>IF(Allocation!BO154="","",Allocation!BO154)</f>
        <v>66</v>
      </c>
      <c r="H154">
        <f>IF(Allocation!BP154="","",Allocation!BP154)</f>
        <v>3</v>
      </c>
      <c r="I154">
        <f>IF(Allocation!BQ154="","",Allocation!BQ154)</f>
        <v>525690</v>
      </c>
      <c r="J154">
        <f>IF(Allocation!CC154="","",Allocation!CC154)</f>
        <v>66</v>
      </c>
      <c r="K154">
        <f t="shared" si="38"/>
        <v>1260</v>
      </c>
      <c r="L154">
        <f t="shared" si="39"/>
        <v>324</v>
      </c>
      <c r="M154">
        <f t="shared" si="40"/>
        <v>13</v>
      </c>
      <c r="N154">
        <f t="shared" si="41"/>
        <v>2496705</v>
      </c>
      <c r="O154">
        <f t="shared" si="42"/>
        <v>6240</v>
      </c>
      <c r="P154">
        <f t="shared" si="43"/>
        <v>132</v>
      </c>
      <c r="Q154">
        <f t="shared" si="44"/>
        <v>1249</v>
      </c>
      <c r="R154">
        <f t="shared" si="45"/>
        <v>50</v>
      </c>
      <c r="S154">
        <f t="shared" si="46"/>
        <v>9567455</v>
      </c>
      <c r="T154">
        <f t="shared" si="47"/>
        <v>3114</v>
      </c>
      <c r="U154">
        <f t="shared" si="48"/>
        <v>135</v>
      </c>
      <c r="V154">
        <f t="shared" si="49"/>
        <v>23098985</v>
      </c>
      <c r="W154">
        <f>IF($A154="","",Allocation!CD154)</f>
        <v>156948</v>
      </c>
      <c r="X154">
        <f>IF($A154="","",Allocation!CE154)</f>
        <v>400192.8</v>
      </c>
      <c r="Y154">
        <f>IF($A154="","",Allocation!CF154)</f>
        <v>120559</v>
      </c>
      <c r="Z154">
        <f>IF($A154="","",Allocation!CG154)</f>
        <v>41783</v>
      </c>
      <c r="AA154">
        <f>IF($A154="","",Allocation!CH154)</f>
        <v>946679.56</v>
      </c>
      <c r="AB154">
        <f>IF($A154="","",Allocation!CI154)</f>
        <v>2891983</v>
      </c>
      <c r="AC154">
        <f>IF($A154="","",IF(Allocation!$N$4="VOL_EFF",$G154,IF(Allocation!$N$4="VOL_CLASS",$H154,$I154)))</f>
        <v>3</v>
      </c>
      <c r="AD154">
        <f>IF($A154="","",IF(Allocation!$N$4="VOL_EFF",$L154,IF(Allocation!$N$4="VOL_CLASS",$M154,$N154)))</f>
        <v>13</v>
      </c>
      <c r="AE154">
        <f>IF($A154="","",IF(Allocation!$N$3="VOL_EFF",$L154,IF(Allocation!$N$3="VOL_CLASS",$M154,$N154)))</f>
        <v>324</v>
      </c>
      <c r="AF154">
        <f>IF($A154="","",IF(Allocation!$N$3="VOL_EFF",$Q154,IF(Allocation!$N$3="VOL_CLASS",$R154,$S154)))</f>
        <v>1249</v>
      </c>
      <c r="AG154">
        <f>IF($A154="","",IF(Allocation!$N$1="VOL_EFF",$Q154,IF(Allocation!$N$1="VOL_CLASS",$R154,$S154)))</f>
        <v>1249</v>
      </c>
      <c r="AH154">
        <f>IF($A154="","",IF(Allocation!$N$1="VOL_EFF",$T154,IF(Allocation!$N$1="VOL_CLASS",$U154,$V154)))</f>
        <v>3114</v>
      </c>
      <c r="AI154">
        <f t="shared" si="50"/>
        <v>31691.423076923078</v>
      </c>
      <c r="AJ154">
        <f t="shared" si="51"/>
        <v>80808.161538461543</v>
      </c>
      <c r="AK154">
        <f t="shared" si="52"/>
        <v>45449.814814814818</v>
      </c>
      <c r="AL154">
        <f t="shared" si="53"/>
        <v>218464.51384615386</v>
      </c>
      <c r="AM154">
        <f t="shared" si="54"/>
        <v>69438.453534904416</v>
      </c>
      <c r="AN154">
        <f t="shared" si="55"/>
        <v>63067.687840362138</v>
      </c>
      <c r="AO154">
        <f>IF($A154="","",Allocation!CJ154)</f>
        <v>676344</v>
      </c>
      <c r="AP154">
        <f>IF($A154="","",IF(Allocation!$N$2="VOL_EFF",$Q154,IF(Allocation!$N$2="VOL_CLASS",$R154,$S154)))</f>
        <v>9567455</v>
      </c>
      <c r="AQ154">
        <f>IF($A154="","",IF(Allocation!$N$2="VOL_EFF",$T154,IF(Allocation!$N$2="VOL_CLASS",$U154,$V154)))</f>
        <v>23098985</v>
      </c>
      <c r="AR154">
        <f t="shared" si="56"/>
        <v>16769.945348380203</v>
      </c>
      <c r="AS154" t="str">
        <f>IF($A154="","",$A154&amp;"|"&amp;Allocation!BG154)</f>
        <v>2026|ACT</v>
      </c>
    </row>
    <row r="155" spans="1:45" x14ac:dyDescent="0.45">
      <c r="A155" t="str">
        <f>IF(Allocation!BI155="","",Allocation!BI155)</f>
        <v>2026</v>
      </c>
      <c r="B155" t="str">
        <f>IF(Allocation!BJ155="","",Allocation!BJ155)</f>
        <v>MBWAY_LYO</v>
      </c>
      <c r="C155" t="str">
        <f>IF(Allocation!BK155="","",Allocation!BK155)</f>
        <v>MBWAY</v>
      </c>
      <c r="D155" t="str">
        <f>IF(Allocation!BL155="","",Allocation!BL155)</f>
        <v>MAS_MGT</v>
      </c>
      <c r="E155" t="str">
        <f>IF(Allocation!BM155="","",Allocation!BM155)</f>
        <v>M2</v>
      </c>
      <c r="F155" t="str">
        <f>IF(Allocation!BN155="","",Allocation!BN155)</f>
        <v>ALT</v>
      </c>
      <c r="G155">
        <f>IF(Allocation!BO155="","",Allocation!BO155)</f>
        <v>65</v>
      </c>
      <c r="H155">
        <f>IF(Allocation!BP155="","",Allocation!BP155)</f>
        <v>3</v>
      </c>
      <c r="I155">
        <f>IF(Allocation!BQ155="","",Allocation!BQ155)</f>
        <v>511875</v>
      </c>
      <c r="J155">
        <f>IF(Allocation!CC155="","",Allocation!CC155)</f>
        <v>0</v>
      </c>
      <c r="K155">
        <f t="shared" si="38"/>
        <v>1260</v>
      </c>
      <c r="L155">
        <f t="shared" si="39"/>
        <v>324</v>
      </c>
      <c r="M155">
        <f t="shared" si="40"/>
        <v>13</v>
      </c>
      <c r="N155">
        <f t="shared" si="41"/>
        <v>2496705</v>
      </c>
      <c r="O155">
        <f t="shared" si="42"/>
        <v>6240</v>
      </c>
      <c r="P155">
        <f t="shared" si="43"/>
        <v>132</v>
      </c>
      <c r="Q155">
        <f t="shared" si="44"/>
        <v>1249</v>
      </c>
      <c r="R155">
        <f t="shared" si="45"/>
        <v>50</v>
      </c>
      <c r="S155">
        <f t="shared" si="46"/>
        <v>9567455</v>
      </c>
      <c r="T155">
        <f t="shared" si="47"/>
        <v>3114</v>
      </c>
      <c r="U155">
        <f t="shared" si="48"/>
        <v>135</v>
      </c>
      <c r="V155">
        <f t="shared" si="49"/>
        <v>23098985</v>
      </c>
      <c r="W155">
        <f>IF($A155="","",Allocation!CD155)</f>
        <v>156948</v>
      </c>
      <c r="X155">
        <f>IF($A155="","",Allocation!CE155)</f>
        <v>400192.8</v>
      </c>
      <c r="Y155">
        <f>IF($A155="","",Allocation!CF155)</f>
        <v>120559</v>
      </c>
      <c r="Z155">
        <f>IF($A155="","",Allocation!CG155)</f>
        <v>41783</v>
      </c>
      <c r="AA155">
        <f>IF($A155="","",Allocation!CH155)</f>
        <v>946679.56</v>
      </c>
      <c r="AB155">
        <f>IF($A155="","",Allocation!CI155)</f>
        <v>2891983</v>
      </c>
      <c r="AC155">
        <f>IF($A155="","",IF(Allocation!$N$4="VOL_EFF",$G155,IF(Allocation!$N$4="VOL_CLASS",$H155,$I155)))</f>
        <v>3</v>
      </c>
      <c r="AD155">
        <f>IF($A155="","",IF(Allocation!$N$4="VOL_EFF",$L155,IF(Allocation!$N$4="VOL_CLASS",$M155,$N155)))</f>
        <v>13</v>
      </c>
      <c r="AE155">
        <f>IF($A155="","",IF(Allocation!$N$3="VOL_EFF",$L155,IF(Allocation!$N$3="VOL_CLASS",$M155,$N155)))</f>
        <v>324</v>
      </c>
      <c r="AF155">
        <f>IF($A155="","",IF(Allocation!$N$3="VOL_EFF",$Q155,IF(Allocation!$N$3="VOL_CLASS",$R155,$S155)))</f>
        <v>1249</v>
      </c>
      <c r="AG155">
        <f>IF($A155="","",IF(Allocation!$N$1="VOL_EFF",$Q155,IF(Allocation!$N$1="VOL_CLASS",$R155,$S155)))</f>
        <v>1249</v>
      </c>
      <c r="AH155">
        <f>IF($A155="","",IF(Allocation!$N$1="VOL_EFF",$T155,IF(Allocation!$N$1="VOL_CLASS",$U155,$V155)))</f>
        <v>3114</v>
      </c>
      <c r="AI155">
        <f t="shared" si="50"/>
        <v>31691.423076923078</v>
      </c>
      <c r="AJ155">
        <f t="shared" si="51"/>
        <v>80808.161538461543</v>
      </c>
      <c r="AK155">
        <f t="shared" si="52"/>
        <v>24186.219135802468</v>
      </c>
      <c r="AL155">
        <f t="shared" si="53"/>
        <v>218464.51384615386</v>
      </c>
      <c r="AM155">
        <f t="shared" si="54"/>
        <v>69438.453534904416</v>
      </c>
      <c r="AN155">
        <f t="shared" si="55"/>
        <v>70516.283519374498</v>
      </c>
      <c r="AO155">
        <f>IF($A155="","",Allocation!CJ155)</f>
        <v>676344</v>
      </c>
      <c r="AP155">
        <f>IF($A155="","",IF(Allocation!$N$2="VOL_EFF",$Q155,IF(Allocation!$N$2="VOL_CLASS",$R155,$S155)))</f>
        <v>9567455</v>
      </c>
      <c r="AQ155">
        <f>IF($A155="","",IF(Allocation!$N$2="VOL_EFF",$T155,IF(Allocation!$N$2="VOL_CLASS",$U155,$V155)))</f>
        <v>23098985</v>
      </c>
      <c r="AR155">
        <f t="shared" si="56"/>
        <v>16769.945348380203</v>
      </c>
      <c r="AS155" t="str">
        <f>IF($A155="","",$A155&amp;"|"&amp;Allocation!BG155)</f>
        <v>2026|ACT</v>
      </c>
    </row>
    <row r="156" spans="1:45" x14ac:dyDescent="0.45">
      <c r="A156" t="str">
        <f>IF(Allocation!BI156="","",Allocation!BI156)</f>
        <v>2026</v>
      </c>
      <c r="B156" t="str">
        <f>IF(Allocation!BJ156="","",Allocation!BJ156)</f>
        <v>MBWAY_NAN</v>
      </c>
      <c r="C156" t="str">
        <f>IF(Allocation!BK156="","",Allocation!BK156)</f>
        <v>MBWAY</v>
      </c>
      <c r="D156" t="str">
        <f>IF(Allocation!BL156="","",Allocation!BL156)</f>
        <v>BAC_MGT</v>
      </c>
      <c r="E156" t="str">
        <f>IF(Allocation!BM156="","",Allocation!BM156)</f>
        <v>B1</v>
      </c>
      <c r="F156" t="str">
        <f>IF(Allocation!BN156="","",Allocation!BN156)</f>
        <v>INIT</v>
      </c>
      <c r="G156">
        <f>IF(Allocation!BO156="","",Allocation!BO156)</f>
        <v>60</v>
      </c>
      <c r="H156">
        <f>IF(Allocation!BP156="","",Allocation!BP156)</f>
        <v>2</v>
      </c>
      <c r="I156">
        <f>IF(Allocation!BQ156="","",Allocation!BQ156)</f>
        <v>455400</v>
      </c>
      <c r="J156">
        <f>IF(Allocation!CC156="","",Allocation!CC156)</f>
        <v>60</v>
      </c>
      <c r="K156">
        <f t="shared" si="38"/>
        <v>1200</v>
      </c>
      <c r="L156">
        <f t="shared" si="39"/>
        <v>294</v>
      </c>
      <c r="M156">
        <f t="shared" si="40"/>
        <v>12</v>
      </c>
      <c r="N156">
        <f t="shared" si="41"/>
        <v>2158300</v>
      </c>
      <c r="O156">
        <f t="shared" si="42"/>
        <v>5640</v>
      </c>
      <c r="P156">
        <f t="shared" si="43"/>
        <v>120</v>
      </c>
      <c r="Q156">
        <f t="shared" si="44"/>
        <v>1249</v>
      </c>
      <c r="R156">
        <f t="shared" si="45"/>
        <v>50</v>
      </c>
      <c r="S156">
        <f t="shared" si="46"/>
        <v>9567455</v>
      </c>
      <c r="T156">
        <f t="shared" si="47"/>
        <v>3114</v>
      </c>
      <c r="U156">
        <f t="shared" si="48"/>
        <v>135</v>
      </c>
      <c r="V156">
        <f t="shared" si="49"/>
        <v>23098985</v>
      </c>
      <c r="W156">
        <f>IF($A156="","",Allocation!CD156)</f>
        <v>144875</v>
      </c>
      <c r="X156">
        <f>IF($A156="","",Allocation!CE156)</f>
        <v>344252.4</v>
      </c>
      <c r="Y156">
        <f>IF($A156="","",Allocation!CF156)</f>
        <v>109396</v>
      </c>
      <c r="Z156">
        <f>IF($A156="","",Allocation!CG156)</f>
        <v>31533</v>
      </c>
      <c r="AA156">
        <f>IF($A156="","",Allocation!CH156)</f>
        <v>804994.13</v>
      </c>
      <c r="AB156">
        <f>IF($A156="","",Allocation!CI156)</f>
        <v>2891983</v>
      </c>
      <c r="AC156">
        <f>IF($A156="","",IF(Allocation!$N$4="VOL_EFF",$G156,IF(Allocation!$N$4="VOL_CLASS",$H156,$I156)))</f>
        <v>2</v>
      </c>
      <c r="AD156">
        <f>IF($A156="","",IF(Allocation!$N$4="VOL_EFF",$L156,IF(Allocation!$N$4="VOL_CLASS",$M156,$N156)))</f>
        <v>12</v>
      </c>
      <c r="AE156">
        <f>IF($A156="","",IF(Allocation!$N$3="VOL_EFF",$L156,IF(Allocation!$N$3="VOL_CLASS",$M156,$N156)))</f>
        <v>294</v>
      </c>
      <c r="AF156">
        <f>IF($A156="","",IF(Allocation!$N$3="VOL_EFF",$Q156,IF(Allocation!$N$3="VOL_CLASS",$R156,$S156)))</f>
        <v>1249</v>
      </c>
      <c r="AG156">
        <f>IF($A156="","",IF(Allocation!$N$1="VOL_EFF",$Q156,IF(Allocation!$N$1="VOL_CLASS",$R156,$S156)))</f>
        <v>1249</v>
      </c>
      <c r="AH156">
        <f>IF($A156="","",IF(Allocation!$N$1="VOL_EFF",$T156,IF(Allocation!$N$1="VOL_CLASS",$U156,$V156)))</f>
        <v>3114</v>
      </c>
      <c r="AI156">
        <f t="shared" si="50"/>
        <v>30824.468085106382</v>
      </c>
      <c r="AJ156">
        <f t="shared" si="51"/>
        <v>73245.191489361707</v>
      </c>
      <c r="AK156">
        <f t="shared" si="52"/>
        <v>38092.21428571429</v>
      </c>
      <c r="AL156">
        <f t="shared" si="53"/>
        <v>134165.68833333332</v>
      </c>
      <c r="AM156">
        <f t="shared" si="54"/>
        <v>45506.476236351955</v>
      </c>
      <c r="AN156">
        <f t="shared" si="55"/>
        <v>122575.78133667744</v>
      </c>
      <c r="AO156">
        <f>IF($A156="","",Allocation!CJ156)</f>
        <v>676344</v>
      </c>
      <c r="AP156">
        <f>IF($A156="","",IF(Allocation!$N$2="VOL_EFF",$Q156,IF(Allocation!$N$2="VOL_CLASS",$R156,$S156)))</f>
        <v>9567455</v>
      </c>
      <c r="AQ156">
        <f>IF($A156="","",IF(Allocation!$N$2="VOL_EFF",$T156,IF(Allocation!$N$2="VOL_CLASS",$U156,$V156)))</f>
        <v>23098985</v>
      </c>
      <c r="AR156">
        <f t="shared" si="56"/>
        <v>10990.180233454928</v>
      </c>
      <c r="AS156" t="str">
        <f>IF($A156="","",$A156&amp;"|"&amp;Allocation!BG156)</f>
        <v>2026|ACT</v>
      </c>
    </row>
    <row r="157" spans="1:45" x14ac:dyDescent="0.45">
      <c r="A157" t="str">
        <f>IF(Allocation!BI157="","",Allocation!BI157)</f>
        <v>2026</v>
      </c>
      <c r="B157" t="str">
        <f>IF(Allocation!BJ157="","",Allocation!BJ157)</f>
        <v>MBWAY_NAN</v>
      </c>
      <c r="C157" t="str">
        <f>IF(Allocation!BK157="","",Allocation!BK157)</f>
        <v>MBWAY</v>
      </c>
      <c r="D157" t="str">
        <f>IF(Allocation!BL157="","",Allocation!BL157)</f>
        <v>BAC_MGT</v>
      </c>
      <c r="E157" t="str">
        <f>IF(Allocation!BM157="","",Allocation!BM157)</f>
        <v>B2</v>
      </c>
      <c r="F157" t="str">
        <f>IF(Allocation!BN157="","",Allocation!BN157)</f>
        <v>ALT</v>
      </c>
      <c r="G157">
        <f>IF(Allocation!BO157="","",Allocation!BO157)</f>
        <v>58</v>
      </c>
      <c r="H157">
        <f>IF(Allocation!BP157="","",Allocation!BP157)</f>
        <v>2</v>
      </c>
      <c r="I157">
        <f>IF(Allocation!BQ157="","",Allocation!BQ157)</f>
        <v>406000</v>
      </c>
      <c r="J157">
        <f>IF(Allocation!CC157="","",Allocation!CC157)</f>
        <v>0</v>
      </c>
      <c r="K157">
        <f t="shared" si="38"/>
        <v>960</v>
      </c>
      <c r="L157">
        <f t="shared" si="39"/>
        <v>294</v>
      </c>
      <c r="M157">
        <f t="shared" si="40"/>
        <v>12</v>
      </c>
      <c r="N157">
        <f t="shared" si="41"/>
        <v>2158300</v>
      </c>
      <c r="O157">
        <f t="shared" si="42"/>
        <v>5640</v>
      </c>
      <c r="P157">
        <f t="shared" si="43"/>
        <v>120</v>
      </c>
      <c r="Q157">
        <f t="shared" si="44"/>
        <v>1249</v>
      </c>
      <c r="R157">
        <f t="shared" si="45"/>
        <v>50</v>
      </c>
      <c r="S157">
        <f t="shared" si="46"/>
        <v>9567455</v>
      </c>
      <c r="T157">
        <f t="shared" si="47"/>
        <v>3114</v>
      </c>
      <c r="U157">
        <f t="shared" si="48"/>
        <v>135</v>
      </c>
      <c r="V157">
        <f t="shared" si="49"/>
        <v>23098985</v>
      </c>
      <c r="W157">
        <f>IF($A157="","",Allocation!CD157)</f>
        <v>144875</v>
      </c>
      <c r="X157">
        <f>IF($A157="","",Allocation!CE157)</f>
        <v>344252.4</v>
      </c>
      <c r="Y157">
        <f>IF($A157="","",Allocation!CF157)</f>
        <v>109396</v>
      </c>
      <c r="Z157">
        <f>IF($A157="","",Allocation!CG157)</f>
        <v>31533</v>
      </c>
      <c r="AA157">
        <f>IF($A157="","",Allocation!CH157)</f>
        <v>804994.13</v>
      </c>
      <c r="AB157">
        <f>IF($A157="","",Allocation!CI157)</f>
        <v>2891983</v>
      </c>
      <c r="AC157">
        <f>IF($A157="","",IF(Allocation!$N$4="VOL_EFF",$G157,IF(Allocation!$N$4="VOL_CLASS",$H157,$I157)))</f>
        <v>2</v>
      </c>
      <c r="AD157">
        <f>IF($A157="","",IF(Allocation!$N$4="VOL_EFF",$L157,IF(Allocation!$N$4="VOL_CLASS",$M157,$N157)))</f>
        <v>12</v>
      </c>
      <c r="AE157">
        <f>IF($A157="","",IF(Allocation!$N$3="VOL_EFF",$L157,IF(Allocation!$N$3="VOL_CLASS",$M157,$N157)))</f>
        <v>294</v>
      </c>
      <c r="AF157">
        <f>IF($A157="","",IF(Allocation!$N$3="VOL_EFF",$Q157,IF(Allocation!$N$3="VOL_CLASS",$R157,$S157)))</f>
        <v>1249</v>
      </c>
      <c r="AG157">
        <f>IF($A157="","",IF(Allocation!$N$1="VOL_EFF",$Q157,IF(Allocation!$N$1="VOL_CLASS",$R157,$S157)))</f>
        <v>1249</v>
      </c>
      <c r="AH157">
        <f>IF($A157="","",IF(Allocation!$N$1="VOL_EFF",$T157,IF(Allocation!$N$1="VOL_CLASS",$U157,$V157)))</f>
        <v>3114</v>
      </c>
      <c r="AI157">
        <f t="shared" si="50"/>
        <v>24659.574468085106</v>
      </c>
      <c r="AJ157">
        <f t="shared" si="51"/>
        <v>58596.153191489364</v>
      </c>
      <c r="AK157">
        <f t="shared" si="52"/>
        <v>21581.523809523809</v>
      </c>
      <c r="AL157">
        <f t="shared" si="53"/>
        <v>134165.68833333332</v>
      </c>
      <c r="AM157">
        <f t="shared" si="54"/>
        <v>45506.476236351955</v>
      </c>
      <c r="AN157">
        <f t="shared" si="55"/>
        <v>110500.40372776153</v>
      </c>
      <c r="AO157">
        <f>IF($A157="","",Allocation!CJ157)</f>
        <v>676344</v>
      </c>
      <c r="AP157">
        <f>IF($A157="","",IF(Allocation!$N$2="VOL_EFF",$Q157,IF(Allocation!$N$2="VOL_CLASS",$R157,$S157)))</f>
        <v>9567455</v>
      </c>
      <c r="AQ157">
        <f>IF($A157="","",IF(Allocation!$N$2="VOL_EFF",$T157,IF(Allocation!$N$2="VOL_CLASS",$U157,$V157)))</f>
        <v>23098985</v>
      </c>
      <c r="AR157">
        <f t="shared" si="56"/>
        <v>10990.180233454928</v>
      </c>
      <c r="AS157" t="str">
        <f>IF($A157="","",$A157&amp;"|"&amp;Allocation!BG157)</f>
        <v>2026|ACT</v>
      </c>
    </row>
    <row r="158" spans="1:45" x14ac:dyDescent="0.45">
      <c r="A158" t="str">
        <f>IF(Allocation!BI158="","",Allocation!BI158)</f>
        <v>2026</v>
      </c>
      <c r="B158" t="str">
        <f>IF(Allocation!BJ158="","",Allocation!BJ158)</f>
        <v>MBWAY_NAN</v>
      </c>
      <c r="C158" t="str">
        <f>IF(Allocation!BK158="","",Allocation!BK158)</f>
        <v>MBWAY</v>
      </c>
      <c r="D158" t="str">
        <f>IF(Allocation!BL158="","",Allocation!BL158)</f>
        <v>BAC_MGT</v>
      </c>
      <c r="E158" t="str">
        <f>IF(Allocation!BM158="","",Allocation!BM158)</f>
        <v>B3</v>
      </c>
      <c r="F158" t="str">
        <f>IF(Allocation!BN158="","",Allocation!BN158)</f>
        <v>ALT</v>
      </c>
      <c r="G158">
        <f>IF(Allocation!BO158="","",Allocation!BO158)</f>
        <v>57</v>
      </c>
      <c r="H158">
        <f>IF(Allocation!BP158="","",Allocation!BP158)</f>
        <v>2</v>
      </c>
      <c r="I158">
        <f>IF(Allocation!BQ158="","",Allocation!BQ158)</f>
        <v>399000</v>
      </c>
      <c r="J158">
        <f>IF(Allocation!CC158="","",Allocation!CC158)</f>
        <v>0</v>
      </c>
      <c r="K158">
        <f t="shared" si="38"/>
        <v>960</v>
      </c>
      <c r="L158">
        <f t="shared" si="39"/>
        <v>294</v>
      </c>
      <c r="M158">
        <f t="shared" si="40"/>
        <v>12</v>
      </c>
      <c r="N158">
        <f t="shared" si="41"/>
        <v>2158300</v>
      </c>
      <c r="O158">
        <f t="shared" si="42"/>
        <v>5640</v>
      </c>
      <c r="P158">
        <f t="shared" si="43"/>
        <v>120</v>
      </c>
      <c r="Q158">
        <f t="shared" si="44"/>
        <v>1249</v>
      </c>
      <c r="R158">
        <f t="shared" si="45"/>
        <v>50</v>
      </c>
      <c r="S158">
        <f t="shared" si="46"/>
        <v>9567455</v>
      </c>
      <c r="T158">
        <f t="shared" si="47"/>
        <v>3114</v>
      </c>
      <c r="U158">
        <f t="shared" si="48"/>
        <v>135</v>
      </c>
      <c r="V158">
        <f t="shared" si="49"/>
        <v>23098985</v>
      </c>
      <c r="W158">
        <f>IF($A158="","",Allocation!CD158)</f>
        <v>144875</v>
      </c>
      <c r="X158">
        <f>IF($A158="","",Allocation!CE158)</f>
        <v>344252.4</v>
      </c>
      <c r="Y158">
        <f>IF($A158="","",Allocation!CF158)</f>
        <v>109396</v>
      </c>
      <c r="Z158">
        <f>IF($A158="","",Allocation!CG158)</f>
        <v>31533</v>
      </c>
      <c r="AA158">
        <f>IF($A158="","",Allocation!CH158)</f>
        <v>804994.13</v>
      </c>
      <c r="AB158">
        <f>IF($A158="","",Allocation!CI158)</f>
        <v>2891983</v>
      </c>
      <c r="AC158">
        <f>IF($A158="","",IF(Allocation!$N$4="VOL_EFF",$G158,IF(Allocation!$N$4="VOL_CLASS",$H158,$I158)))</f>
        <v>2</v>
      </c>
      <c r="AD158">
        <f>IF($A158="","",IF(Allocation!$N$4="VOL_EFF",$L158,IF(Allocation!$N$4="VOL_CLASS",$M158,$N158)))</f>
        <v>12</v>
      </c>
      <c r="AE158">
        <f>IF($A158="","",IF(Allocation!$N$3="VOL_EFF",$L158,IF(Allocation!$N$3="VOL_CLASS",$M158,$N158)))</f>
        <v>294</v>
      </c>
      <c r="AF158">
        <f>IF($A158="","",IF(Allocation!$N$3="VOL_EFF",$Q158,IF(Allocation!$N$3="VOL_CLASS",$R158,$S158)))</f>
        <v>1249</v>
      </c>
      <c r="AG158">
        <f>IF($A158="","",IF(Allocation!$N$1="VOL_EFF",$Q158,IF(Allocation!$N$1="VOL_CLASS",$R158,$S158)))</f>
        <v>1249</v>
      </c>
      <c r="AH158">
        <f>IF($A158="","",IF(Allocation!$N$1="VOL_EFF",$T158,IF(Allocation!$N$1="VOL_CLASS",$U158,$V158)))</f>
        <v>3114</v>
      </c>
      <c r="AI158">
        <f t="shared" si="50"/>
        <v>24659.574468085106</v>
      </c>
      <c r="AJ158">
        <f t="shared" si="51"/>
        <v>58596.153191489364</v>
      </c>
      <c r="AK158">
        <f t="shared" si="52"/>
        <v>21209.428571428572</v>
      </c>
      <c r="AL158">
        <f t="shared" si="53"/>
        <v>134165.68833333332</v>
      </c>
      <c r="AM158">
        <f t="shared" si="54"/>
        <v>45506.476236351955</v>
      </c>
      <c r="AN158">
        <f t="shared" si="55"/>
        <v>103872.49896585674</v>
      </c>
      <c r="AO158">
        <f>IF($A158="","",Allocation!CJ158)</f>
        <v>676344</v>
      </c>
      <c r="AP158">
        <f>IF($A158="","",IF(Allocation!$N$2="VOL_EFF",$Q158,IF(Allocation!$N$2="VOL_CLASS",$R158,$S158)))</f>
        <v>9567455</v>
      </c>
      <c r="AQ158">
        <f>IF($A158="","",IF(Allocation!$N$2="VOL_EFF",$T158,IF(Allocation!$N$2="VOL_CLASS",$U158,$V158)))</f>
        <v>23098985</v>
      </c>
      <c r="AR158">
        <f t="shared" si="56"/>
        <v>10990.180233454928</v>
      </c>
      <c r="AS158" t="str">
        <f>IF($A158="","",$A158&amp;"|"&amp;Allocation!BG158)</f>
        <v>2026|ACT</v>
      </c>
    </row>
    <row r="159" spans="1:45" x14ac:dyDescent="0.45">
      <c r="A159" t="str">
        <f>IF(Allocation!BI159="","",Allocation!BI159)</f>
        <v>2026</v>
      </c>
      <c r="B159" t="str">
        <f>IF(Allocation!BJ159="","",Allocation!BJ159)</f>
        <v>MBWAY_NAN</v>
      </c>
      <c r="C159" t="str">
        <f>IF(Allocation!BK159="","",Allocation!BK159)</f>
        <v>MBWAY</v>
      </c>
      <c r="D159" t="str">
        <f>IF(Allocation!BL159="","",Allocation!BL159)</f>
        <v>MAS_MGT</v>
      </c>
      <c r="E159" t="str">
        <f>IF(Allocation!BM159="","",Allocation!BM159)</f>
        <v>M1</v>
      </c>
      <c r="F159" t="str">
        <f>IF(Allocation!BN159="","",Allocation!BN159)</f>
        <v>ALT</v>
      </c>
      <c r="G159">
        <f>IF(Allocation!BO159="","",Allocation!BO159)</f>
        <v>60</v>
      </c>
      <c r="H159">
        <f>IF(Allocation!BP159="","",Allocation!BP159)</f>
        <v>3</v>
      </c>
      <c r="I159">
        <f>IF(Allocation!BQ159="","",Allocation!BQ159)</f>
        <v>455400</v>
      </c>
      <c r="J159">
        <f>IF(Allocation!CC159="","",Allocation!CC159)</f>
        <v>60</v>
      </c>
      <c r="K159">
        <f t="shared" si="38"/>
        <v>1260</v>
      </c>
      <c r="L159">
        <f t="shared" si="39"/>
        <v>294</v>
      </c>
      <c r="M159">
        <f t="shared" si="40"/>
        <v>12</v>
      </c>
      <c r="N159">
        <f t="shared" si="41"/>
        <v>2158300</v>
      </c>
      <c r="O159">
        <f t="shared" si="42"/>
        <v>5640</v>
      </c>
      <c r="P159">
        <f t="shared" si="43"/>
        <v>120</v>
      </c>
      <c r="Q159">
        <f t="shared" si="44"/>
        <v>1249</v>
      </c>
      <c r="R159">
        <f t="shared" si="45"/>
        <v>50</v>
      </c>
      <c r="S159">
        <f t="shared" si="46"/>
        <v>9567455</v>
      </c>
      <c r="T159">
        <f t="shared" si="47"/>
        <v>3114</v>
      </c>
      <c r="U159">
        <f t="shared" si="48"/>
        <v>135</v>
      </c>
      <c r="V159">
        <f t="shared" si="49"/>
        <v>23098985</v>
      </c>
      <c r="W159">
        <f>IF($A159="","",Allocation!CD159)</f>
        <v>144875</v>
      </c>
      <c r="X159">
        <f>IF($A159="","",Allocation!CE159)</f>
        <v>344252.4</v>
      </c>
      <c r="Y159">
        <f>IF($A159="","",Allocation!CF159)</f>
        <v>109396</v>
      </c>
      <c r="Z159">
        <f>IF($A159="","",Allocation!CG159)</f>
        <v>31533</v>
      </c>
      <c r="AA159">
        <f>IF($A159="","",Allocation!CH159)</f>
        <v>804994.13</v>
      </c>
      <c r="AB159">
        <f>IF($A159="","",Allocation!CI159)</f>
        <v>2891983</v>
      </c>
      <c r="AC159">
        <f>IF($A159="","",IF(Allocation!$N$4="VOL_EFF",$G159,IF(Allocation!$N$4="VOL_CLASS",$H159,$I159)))</f>
        <v>3</v>
      </c>
      <c r="AD159">
        <f>IF($A159="","",IF(Allocation!$N$4="VOL_EFF",$L159,IF(Allocation!$N$4="VOL_CLASS",$M159,$N159)))</f>
        <v>12</v>
      </c>
      <c r="AE159">
        <f>IF($A159="","",IF(Allocation!$N$3="VOL_EFF",$L159,IF(Allocation!$N$3="VOL_CLASS",$M159,$N159)))</f>
        <v>294</v>
      </c>
      <c r="AF159">
        <f>IF($A159="","",IF(Allocation!$N$3="VOL_EFF",$Q159,IF(Allocation!$N$3="VOL_CLASS",$R159,$S159)))</f>
        <v>1249</v>
      </c>
      <c r="AG159">
        <f>IF($A159="","",IF(Allocation!$N$1="VOL_EFF",$Q159,IF(Allocation!$N$1="VOL_CLASS",$R159,$S159)))</f>
        <v>1249</v>
      </c>
      <c r="AH159">
        <f>IF($A159="","",IF(Allocation!$N$1="VOL_EFF",$T159,IF(Allocation!$N$1="VOL_CLASS",$U159,$V159)))</f>
        <v>3114</v>
      </c>
      <c r="AI159">
        <f t="shared" si="50"/>
        <v>32365.691489361699</v>
      </c>
      <c r="AJ159">
        <f t="shared" si="51"/>
        <v>76907.451063829794</v>
      </c>
      <c r="AK159">
        <f t="shared" si="52"/>
        <v>38092.21428571429</v>
      </c>
      <c r="AL159">
        <f t="shared" si="53"/>
        <v>201248.5325</v>
      </c>
      <c r="AM159">
        <f t="shared" si="54"/>
        <v>68259.71435452794</v>
      </c>
      <c r="AN159">
        <f t="shared" si="55"/>
        <v>22041.125956383883</v>
      </c>
      <c r="AO159">
        <f>IF($A159="","",Allocation!CJ159)</f>
        <v>676344</v>
      </c>
      <c r="AP159">
        <f>IF($A159="","",IF(Allocation!$N$2="VOL_EFF",$Q159,IF(Allocation!$N$2="VOL_CLASS",$R159,$S159)))</f>
        <v>9567455</v>
      </c>
      <c r="AQ159">
        <f>IF($A159="","",IF(Allocation!$N$2="VOL_EFF",$T159,IF(Allocation!$N$2="VOL_CLASS",$U159,$V159)))</f>
        <v>23098985</v>
      </c>
      <c r="AR159">
        <f t="shared" si="56"/>
        <v>16485.270350182393</v>
      </c>
      <c r="AS159" t="str">
        <f>IF($A159="","",$A159&amp;"|"&amp;Allocation!BG159)</f>
        <v>2026|ACT</v>
      </c>
    </row>
    <row r="160" spans="1:45" x14ac:dyDescent="0.45">
      <c r="A160" t="str">
        <f>IF(Allocation!BI160="","",Allocation!BI160)</f>
        <v>2026</v>
      </c>
      <c r="B160" t="str">
        <f>IF(Allocation!BJ160="","",Allocation!BJ160)</f>
        <v>MBWAY_NAN</v>
      </c>
      <c r="C160" t="str">
        <f>IF(Allocation!BK160="","",Allocation!BK160)</f>
        <v>MBWAY</v>
      </c>
      <c r="D160" t="str">
        <f>IF(Allocation!BL160="","",Allocation!BL160)</f>
        <v>MAS_MGT</v>
      </c>
      <c r="E160" t="str">
        <f>IF(Allocation!BM160="","",Allocation!BM160)</f>
        <v>M2</v>
      </c>
      <c r="F160" t="str">
        <f>IF(Allocation!BN160="","",Allocation!BN160)</f>
        <v>ALT</v>
      </c>
      <c r="G160">
        <f>IF(Allocation!BO160="","",Allocation!BO160)</f>
        <v>59</v>
      </c>
      <c r="H160">
        <f>IF(Allocation!BP160="","",Allocation!BP160)</f>
        <v>3</v>
      </c>
      <c r="I160">
        <f>IF(Allocation!BQ160="","",Allocation!BQ160)</f>
        <v>442500</v>
      </c>
      <c r="J160">
        <f>IF(Allocation!CC160="","",Allocation!CC160)</f>
        <v>0</v>
      </c>
      <c r="K160">
        <f t="shared" si="38"/>
        <v>1260</v>
      </c>
      <c r="L160">
        <f t="shared" si="39"/>
        <v>294</v>
      </c>
      <c r="M160">
        <f t="shared" si="40"/>
        <v>12</v>
      </c>
      <c r="N160">
        <f t="shared" si="41"/>
        <v>2158300</v>
      </c>
      <c r="O160">
        <f t="shared" si="42"/>
        <v>5640</v>
      </c>
      <c r="P160">
        <f t="shared" si="43"/>
        <v>120</v>
      </c>
      <c r="Q160">
        <f t="shared" si="44"/>
        <v>1249</v>
      </c>
      <c r="R160">
        <f t="shared" si="45"/>
        <v>50</v>
      </c>
      <c r="S160">
        <f t="shared" si="46"/>
        <v>9567455</v>
      </c>
      <c r="T160">
        <f t="shared" si="47"/>
        <v>3114</v>
      </c>
      <c r="U160">
        <f t="shared" si="48"/>
        <v>135</v>
      </c>
      <c r="V160">
        <f t="shared" si="49"/>
        <v>23098985</v>
      </c>
      <c r="W160">
        <f>IF($A160="","",Allocation!CD160)</f>
        <v>144875</v>
      </c>
      <c r="X160">
        <f>IF($A160="","",Allocation!CE160)</f>
        <v>344252.4</v>
      </c>
      <c r="Y160">
        <f>IF($A160="","",Allocation!CF160)</f>
        <v>109396</v>
      </c>
      <c r="Z160">
        <f>IF($A160="","",Allocation!CG160)</f>
        <v>31533</v>
      </c>
      <c r="AA160">
        <f>IF($A160="","",Allocation!CH160)</f>
        <v>804994.13</v>
      </c>
      <c r="AB160">
        <f>IF($A160="","",Allocation!CI160)</f>
        <v>2891983</v>
      </c>
      <c r="AC160">
        <f>IF($A160="","",IF(Allocation!$N$4="VOL_EFF",$G160,IF(Allocation!$N$4="VOL_CLASS",$H160,$I160)))</f>
        <v>3</v>
      </c>
      <c r="AD160">
        <f>IF($A160="","",IF(Allocation!$N$4="VOL_EFF",$L160,IF(Allocation!$N$4="VOL_CLASS",$M160,$N160)))</f>
        <v>12</v>
      </c>
      <c r="AE160">
        <f>IF($A160="","",IF(Allocation!$N$3="VOL_EFF",$L160,IF(Allocation!$N$3="VOL_CLASS",$M160,$N160)))</f>
        <v>294</v>
      </c>
      <c r="AF160">
        <f>IF($A160="","",IF(Allocation!$N$3="VOL_EFF",$Q160,IF(Allocation!$N$3="VOL_CLASS",$R160,$S160)))</f>
        <v>1249</v>
      </c>
      <c r="AG160">
        <f>IF($A160="","",IF(Allocation!$N$1="VOL_EFF",$Q160,IF(Allocation!$N$1="VOL_CLASS",$R160,$S160)))</f>
        <v>1249</v>
      </c>
      <c r="AH160">
        <f>IF($A160="","",IF(Allocation!$N$1="VOL_EFF",$T160,IF(Allocation!$N$1="VOL_CLASS",$U160,$V160)))</f>
        <v>3114</v>
      </c>
      <c r="AI160">
        <f t="shared" si="50"/>
        <v>32365.691489361699</v>
      </c>
      <c r="AJ160">
        <f t="shared" si="51"/>
        <v>76907.451063829794</v>
      </c>
      <c r="AK160">
        <f t="shared" si="52"/>
        <v>21953.619047619046</v>
      </c>
      <c r="AL160">
        <f t="shared" si="53"/>
        <v>201248.5325</v>
      </c>
      <c r="AM160">
        <f t="shared" si="54"/>
        <v>68259.71435452794</v>
      </c>
      <c r="AN160">
        <f t="shared" si="55"/>
        <v>25279.721194479149</v>
      </c>
      <c r="AO160">
        <f>IF($A160="","",Allocation!CJ160)</f>
        <v>676344</v>
      </c>
      <c r="AP160">
        <f>IF($A160="","",IF(Allocation!$N$2="VOL_EFF",$Q160,IF(Allocation!$N$2="VOL_CLASS",$R160,$S160)))</f>
        <v>9567455</v>
      </c>
      <c r="AQ160">
        <f>IF($A160="","",IF(Allocation!$N$2="VOL_EFF",$T160,IF(Allocation!$N$2="VOL_CLASS",$U160,$V160)))</f>
        <v>23098985</v>
      </c>
      <c r="AR160">
        <f t="shared" si="56"/>
        <v>16485.270350182393</v>
      </c>
      <c r="AS160" t="str">
        <f>IF($A160="","",$A160&amp;"|"&amp;Allocation!BG160)</f>
        <v>2026|ACT</v>
      </c>
    </row>
    <row r="161" spans="1:45" x14ac:dyDescent="0.45">
      <c r="A161" t="str">
        <f>IF(Allocation!BI161="","",Allocation!BI161)</f>
        <v>2026</v>
      </c>
      <c r="B161" t="str">
        <f>IF(Allocation!BJ161="","",Allocation!BJ161)</f>
        <v>MBWAY_PAR</v>
      </c>
      <c r="C161" t="str">
        <f>IF(Allocation!BK161="","",Allocation!BK161)</f>
        <v>MBWAY</v>
      </c>
      <c r="D161" t="str">
        <f>IF(Allocation!BL161="","",Allocation!BL161)</f>
        <v>BAC_MGT</v>
      </c>
      <c r="E161" t="str">
        <f>IF(Allocation!BM161="","",Allocation!BM161)</f>
        <v>B1</v>
      </c>
      <c r="F161" t="str">
        <f>IF(Allocation!BN161="","",Allocation!BN161)</f>
        <v>INIT</v>
      </c>
      <c r="G161">
        <f>IF(Allocation!BO161="","",Allocation!BO161)</f>
        <v>78</v>
      </c>
      <c r="H161">
        <f>IF(Allocation!BP161="","",Allocation!BP161)</f>
        <v>3</v>
      </c>
      <c r="I161">
        <f>IF(Allocation!BQ161="","",Allocation!BQ161)</f>
        <v>662220</v>
      </c>
      <c r="J161">
        <f>IF(Allocation!CC161="","",Allocation!CC161)</f>
        <v>78</v>
      </c>
      <c r="K161">
        <f t="shared" si="38"/>
        <v>1800</v>
      </c>
      <c r="L161">
        <f t="shared" si="39"/>
        <v>382</v>
      </c>
      <c r="M161">
        <f t="shared" si="40"/>
        <v>15</v>
      </c>
      <c r="N161">
        <f t="shared" si="41"/>
        <v>3138840</v>
      </c>
      <c r="O161">
        <f t="shared" si="42"/>
        <v>7200</v>
      </c>
      <c r="P161">
        <f t="shared" si="43"/>
        <v>156</v>
      </c>
      <c r="Q161">
        <f t="shared" si="44"/>
        <v>1249</v>
      </c>
      <c r="R161">
        <f t="shared" si="45"/>
        <v>50</v>
      </c>
      <c r="S161">
        <f t="shared" si="46"/>
        <v>9567455</v>
      </c>
      <c r="T161">
        <f t="shared" si="47"/>
        <v>3114</v>
      </c>
      <c r="U161">
        <f t="shared" si="48"/>
        <v>135</v>
      </c>
      <c r="V161">
        <f t="shared" si="49"/>
        <v>23098985</v>
      </c>
      <c r="W161">
        <f>IF($A161="","",Allocation!CD161)</f>
        <v>181094</v>
      </c>
      <c r="X161">
        <f>IF($A161="","",Allocation!CE161)</f>
        <v>502062.96</v>
      </c>
      <c r="Y161">
        <f>IF($A161="","",Allocation!CF161)</f>
        <v>142140</v>
      </c>
      <c r="Z161">
        <f>IF($A161="","",Allocation!CG161)</f>
        <v>68291</v>
      </c>
      <c r="AA161">
        <f>IF($A161="","",Allocation!CH161)</f>
        <v>1205188.53</v>
      </c>
      <c r="AB161">
        <f>IF($A161="","",Allocation!CI161)</f>
        <v>2891983</v>
      </c>
      <c r="AC161">
        <f>IF($A161="","",IF(Allocation!$N$4="VOL_EFF",$G161,IF(Allocation!$N$4="VOL_CLASS",$H161,$I161)))</f>
        <v>3</v>
      </c>
      <c r="AD161">
        <f>IF($A161="","",IF(Allocation!$N$4="VOL_EFF",$L161,IF(Allocation!$N$4="VOL_CLASS",$M161,$N161)))</f>
        <v>15</v>
      </c>
      <c r="AE161">
        <f>IF($A161="","",IF(Allocation!$N$3="VOL_EFF",$L161,IF(Allocation!$N$3="VOL_CLASS",$M161,$N161)))</f>
        <v>382</v>
      </c>
      <c r="AF161">
        <f>IF($A161="","",IF(Allocation!$N$3="VOL_EFF",$Q161,IF(Allocation!$N$3="VOL_CLASS",$R161,$S161)))</f>
        <v>1249</v>
      </c>
      <c r="AG161">
        <f>IF($A161="","",IF(Allocation!$N$1="VOL_EFF",$Q161,IF(Allocation!$N$1="VOL_CLASS",$R161,$S161)))</f>
        <v>1249</v>
      </c>
      <c r="AH161">
        <f>IF($A161="","",IF(Allocation!$N$1="VOL_EFF",$T161,IF(Allocation!$N$1="VOL_CLASS",$U161,$V161)))</f>
        <v>3114</v>
      </c>
      <c r="AI161">
        <f t="shared" si="50"/>
        <v>45273.5</v>
      </c>
      <c r="AJ161">
        <f t="shared" si="51"/>
        <v>125515.74</v>
      </c>
      <c r="AK161">
        <f t="shared" si="52"/>
        <v>63168.850785340313</v>
      </c>
      <c r="AL161">
        <f t="shared" si="53"/>
        <v>241037.70600000001</v>
      </c>
      <c r="AM161">
        <f t="shared" si="54"/>
        <v>70952.954784842659</v>
      </c>
      <c r="AN161">
        <f t="shared" si="55"/>
        <v>99135.538841328118</v>
      </c>
      <c r="AO161">
        <f>IF($A161="","",Allocation!CJ161)</f>
        <v>676344</v>
      </c>
      <c r="AP161">
        <f>IF($A161="","",IF(Allocation!$N$2="VOL_EFF",$Q161,IF(Allocation!$N$2="VOL_CLASS",$R161,$S161)))</f>
        <v>9567455</v>
      </c>
      <c r="AQ161">
        <f>IF($A161="","",IF(Allocation!$N$2="VOL_EFF",$T161,IF(Allocation!$N$2="VOL_CLASS",$U161,$V161)))</f>
        <v>23098985</v>
      </c>
      <c r="AR161">
        <f t="shared" si="56"/>
        <v>17135.70958848891</v>
      </c>
      <c r="AS161" t="str">
        <f>IF($A161="","",$A161&amp;"|"&amp;Allocation!BG161)</f>
        <v>2026|ACT</v>
      </c>
    </row>
    <row r="162" spans="1:45" x14ac:dyDescent="0.45">
      <c r="A162" t="str">
        <f>IF(Allocation!BI162="","",Allocation!BI162)</f>
        <v>2026</v>
      </c>
      <c r="B162" t="str">
        <f>IF(Allocation!BJ162="","",Allocation!BJ162)</f>
        <v>MBWAY_PAR</v>
      </c>
      <c r="C162" t="str">
        <f>IF(Allocation!BK162="","",Allocation!BK162)</f>
        <v>MBWAY</v>
      </c>
      <c r="D162" t="str">
        <f>IF(Allocation!BL162="","",Allocation!BL162)</f>
        <v>BAC_MGT</v>
      </c>
      <c r="E162" t="str">
        <f>IF(Allocation!BM162="","",Allocation!BM162)</f>
        <v>B2</v>
      </c>
      <c r="F162" t="str">
        <f>IF(Allocation!BN162="","",Allocation!BN162)</f>
        <v>ALT</v>
      </c>
      <c r="G162">
        <f>IF(Allocation!BO162="","",Allocation!BO162)</f>
        <v>76</v>
      </c>
      <c r="H162">
        <f>IF(Allocation!BP162="","",Allocation!BP162)</f>
        <v>3</v>
      </c>
      <c r="I162">
        <f>IF(Allocation!BQ162="","",Allocation!BQ162)</f>
        <v>595840</v>
      </c>
      <c r="J162">
        <f>IF(Allocation!CC162="","",Allocation!CC162)</f>
        <v>0</v>
      </c>
      <c r="K162">
        <f t="shared" si="38"/>
        <v>1440</v>
      </c>
      <c r="L162">
        <f t="shared" si="39"/>
        <v>382</v>
      </c>
      <c r="M162">
        <f t="shared" si="40"/>
        <v>15</v>
      </c>
      <c r="N162">
        <f t="shared" si="41"/>
        <v>3138840</v>
      </c>
      <c r="O162">
        <f t="shared" si="42"/>
        <v>7200</v>
      </c>
      <c r="P162">
        <f t="shared" si="43"/>
        <v>156</v>
      </c>
      <c r="Q162">
        <f t="shared" si="44"/>
        <v>1249</v>
      </c>
      <c r="R162">
        <f t="shared" si="45"/>
        <v>50</v>
      </c>
      <c r="S162">
        <f t="shared" si="46"/>
        <v>9567455</v>
      </c>
      <c r="T162">
        <f t="shared" si="47"/>
        <v>3114</v>
      </c>
      <c r="U162">
        <f t="shared" si="48"/>
        <v>135</v>
      </c>
      <c r="V162">
        <f t="shared" si="49"/>
        <v>23098985</v>
      </c>
      <c r="W162">
        <f>IF($A162="","",Allocation!CD162)</f>
        <v>181094</v>
      </c>
      <c r="X162">
        <f>IF($A162="","",Allocation!CE162)</f>
        <v>502062.96</v>
      </c>
      <c r="Y162">
        <f>IF($A162="","",Allocation!CF162)</f>
        <v>142140</v>
      </c>
      <c r="Z162">
        <f>IF($A162="","",Allocation!CG162)</f>
        <v>68291</v>
      </c>
      <c r="AA162">
        <f>IF($A162="","",Allocation!CH162)</f>
        <v>1205188.53</v>
      </c>
      <c r="AB162">
        <f>IF($A162="","",Allocation!CI162)</f>
        <v>2891983</v>
      </c>
      <c r="AC162">
        <f>IF($A162="","",IF(Allocation!$N$4="VOL_EFF",$G162,IF(Allocation!$N$4="VOL_CLASS",$H162,$I162)))</f>
        <v>3</v>
      </c>
      <c r="AD162">
        <f>IF($A162="","",IF(Allocation!$N$4="VOL_EFF",$L162,IF(Allocation!$N$4="VOL_CLASS",$M162,$N162)))</f>
        <v>15</v>
      </c>
      <c r="AE162">
        <f>IF($A162="","",IF(Allocation!$N$3="VOL_EFF",$L162,IF(Allocation!$N$3="VOL_CLASS",$M162,$N162)))</f>
        <v>382</v>
      </c>
      <c r="AF162">
        <f>IF($A162="","",IF(Allocation!$N$3="VOL_EFF",$Q162,IF(Allocation!$N$3="VOL_CLASS",$R162,$S162)))</f>
        <v>1249</v>
      </c>
      <c r="AG162">
        <f>IF($A162="","",IF(Allocation!$N$1="VOL_EFF",$Q162,IF(Allocation!$N$1="VOL_CLASS",$R162,$S162)))</f>
        <v>1249</v>
      </c>
      <c r="AH162">
        <f>IF($A162="","",IF(Allocation!$N$1="VOL_EFF",$T162,IF(Allocation!$N$1="VOL_CLASS",$U162,$V162)))</f>
        <v>3114</v>
      </c>
      <c r="AI162">
        <f t="shared" si="50"/>
        <v>36218.800000000003</v>
      </c>
      <c r="AJ162">
        <f t="shared" si="51"/>
        <v>100412.592</v>
      </c>
      <c r="AK162">
        <f t="shared" si="52"/>
        <v>28279.162303664918</v>
      </c>
      <c r="AL162">
        <f t="shared" si="53"/>
        <v>241037.70600000001</v>
      </c>
      <c r="AM162">
        <f t="shared" si="54"/>
        <v>70952.954784842659</v>
      </c>
      <c r="AN162">
        <f t="shared" si="55"/>
        <v>101803.07532300346</v>
      </c>
      <c r="AO162">
        <f>IF($A162="","",Allocation!CJ162)</f>
        <v>676344</v>
      </c>
      <c r="AP162">
        <f>IF($A162="","",IF(Allocation!$N$2="VOL_EFF",$Q162,IF(Allocation!$N$2="VOL_CLASS",$R162,$S162)))</f>
        <v>9567455</v>
      </c>
      <c r="AQ162">
        <f>IF($A162="","",IF(Allocation!$N$2="VOL_EFF",$T162,IF(Allocation!$N$2="VOL_CLASS",$U162,$V162)))</f>
        <v>23098985</v>
      </c>
      <c r="AR162">
        <f t="shared" si="56"/>
        <v>17135.70958848891</v>
      </c>
      <c r="AS162" t="str">
        <f>IF($A162="","",$A162&amp;"|"&amp;Allocation!BG162)</f>
        <v>2026|ACT</v>
      </c>
    </row>
    <row r="163" spans="1:45" x14ac:dyDescent="0.45">
      <c r="A163" t="str">
        <f>IF(Allocation!BI163="","",Allocation!BI163)</f>
        <v>2026</v>
      </c>
      <c r="B163" t="str">
        <f>IF(Allocation!BJ163="","",Allocation!BJ163)</f>
        <v>MBWAY_PAR</v>
      </c>
      <c r="C163" t="str">
        <f>IF(Allocation!BK163="","",Allocation!BK163)</f>
        <v>MBWAY</v>
      </c>
      <c r="D163" t="str">
        <f>IF(Allocation!BL163="","",Allocation!BL163)</f>
        <v>BAC_MGT</v>
      </c>
      <c r="E163" t="str">
        <f>IF(Allocation!BM163="","",Allocation!BM163)</f>
        <v>B3</v>
      </c>
      <c r="F163" t="str">
        <f>IF(Allocation!BN163="","",Allocation!BN163)</f>
        <v>ALT</v>
      </c>
      <c r="G163">
        <f>IF(Allocation!BO163="","",Allocation!BO163)</f>
        <v>74</v>
      </c>
      <c r="H163">
        <f>IF(Allocation!BP163="","",Allocation!BP163)</f>
        <v>3</v>
      </c>
      <c r="I163">
        <f>IF(Allocation!BQ163="","",Allocation!BQ163)</f>
        <v>580160</v>
      </c>
      <c r="J163">
        <f>IF(Allocation!CC163="","",Allocation!CC163)</f>
        <v>0</v>
      </c>
      <c r="K163">
        <f t="shared" si="38"/>
        <v>1440</v>
      </c>
      <c r="L163">
        <f t="shared" si="39"/>
        <v>382</v>
      </c>
      <c r="M163">
        <f t="shared" si="40"/>
        <v>15</v>
      </c>
      <c r="N163">
        <f t="shared" si="41"/>
        <v>3138840</v>
      </c>
      <c r="O163">
        <f t="shared" si="42"/>
        <v>7200</v>
      </c>
      <c r="P163">
        <f t="shared" si="43"/>
        <v>156</v>
      </c>
      <c r="Q163">
        <f t="shared" si="44"/>
        <v>1249</v>
      </c>
      <c r="R163">
        <f t="shared" si="45"/>
        <v>50</v>
      </c>
      <c r="S163">
        <f t="shared" si="46"/>
        <v>9567455</v>
      </c>
      <c r="T163">
        <f t="shared" si="47"/>
        <v>3114</v>
      </c>
      <c r="U163">
        <f t="shared" si="48"/>
        <v>135</v>
      </c>
      <c r="V163">
        <f t="shared" si="49"/>
        <v>23098985</v>
      </c>
      <c r="W163">
        <f>IF($A163="","",Allocation!CD163)</f>
        <v>181094</v>
      </c>
      <c r="X163">
        <f>IF($A163="","",Allocation!CE163)</f>
        <v>502062.96</v>
      </c>
      <c r="Y163">
        <f>IF($A163="","",Allocation!CF163)</f>
        <v>142140</v>
      </c>
      <c r="Z163">
        <f>IF($A163="","",Allocation!CG163)</f>
        <v>68291</v>
      </c>
      <c r="AA163">
        <f>IF($A163="","",Allocation!CH163)</f>
        <v>1205188.53</v>
      </c>
      <c r="AB163">
        <f>IF($A163="","",Allocation!CI163)</f>
        <v>2891983</v>
      </c>
      <c r="AC163">
        <f>IF($A163="","",IF(Allocation!$N$4="VOL_EFF",$G163,IF(Allocation!$N$4="VOL_CLASS",$H163,$I163)))</f>
        <v>3</v>
      </c>
      <c r="AD163">
        <f>IF($A163="","",IF(Allocation!$N$4="VOL_EFF",$L163,IF(Allocation!$N$4="VOL_CLASS",$M163,$N163)))</f>
        <v>15</v>
      </c>
      <c r="AE163">
        <f>IF($A163="","",IF(Allocation!$N$3="VOL_EFF",$L163,IF(Allocation!$N$3="VOL_CLASS",$M163,$N163)))</f>
        <v>382</v>
      </c>
      <c r="AF163">
        <f>IF($A163="","",IF(Allocation!$N$3="VOL_EFF",$Q163,IF(Allocation!$N$3="VOL_CLASS",$R163,$S163)))</f>
        <v>1249</v>
      </c>
      <c r="AG163">
        <f>IF($A163="","",IF(Allocation!$N$1="VOL_EFF",$Q163,IF(Allocation!$N$1="VOL_CLASS",$R163,$S163)))</f>
        <v>1249</v>
      </c>
      <c r="AH163">
        <f>IF($A163="","",IF(Allocation!$N$1="VOL_EFF",$T163,IF(Allocation!$N$1="VOL_CLASS",$U163,$V163)))</f>
        <v>3114</v>
      </c>
      <c r="AI163">
        <f t="shared" si="50"/>
        <v>36218.800000000003</v>
      </c>
      <c r="AJ163">
        <f t="shared" si="51"/>
        <v>100412.592</v>
      </c>
      <c r="AK163">
        <f t="shared" si="52"/>
        <v>27534.97382198953</v>
      </c>
      <c r="AL163">
        <f t="shared" si="53"/>
        <v>241037.70600000001</v>
      </c>
      <c r="AM163">
        <f t="shared" si="54"/>
        <v>70952.954784842659</v>
      </c>
      <c r="AN163">
        <f t="shared" si="55"/>
        <v>86867.263804678922</v>
      </c>
      <c r="AO163">
        <f>IF($A163="","",Allocation!CJ163)</f>
        <v>676344</v>
      </c>
      <c r="AP163">
        <f>IF($A163="","",IF(Allocation!$N$2="VOL_EFF",$Q163,IF(Allocation!$N$2="VOL_CLASS",$R163,$S163)))</f>
        <v>9567455</v>
      </c>
      <c r="AQ163">
        <f>IF($A163="","",IF(Allocation!$N$2="VOL_EFF",$T163,IF(Allocation!$N$2="VOL_CLASS",$U163,$V163)))</f>
        <v>23098985</v>
      </c>
      <c r="AR163">
        <f t="shared" si="56"/>
        <v>17135.70958848891</v>
      </c>
      <c r="AS163" t="str">
        <f>IF($A163="","",$A163&amp;"|"&amp;Allocation!BG163)</f>
        <v>2026|ACT</v>
      </c>
    </row>
    <row r="164" spans="1:45" x14ac:dyDescent="0.45">
      <c r="A164" t="str">
        <f>IF(Allocation!BI164="","",Allocation!BI164)</f>
        <v>2026</v>
      </c>
      <c r="B164" t="str">
        <f>IF(Allocation!BJ164="","",Allocation!BJ164)</f>
        <v>MBWAY_PAR</v>
      </c>
      <c r="C164" t="str">
        <f>IF(Allocation!BK164="","",Allocation!BK164)</f>
        <v>MBWAY</v>
      </c>
      <c r="D164" t="str">
        <f>IF(Allocation!BL164="","",Allocation!BL164)</f>
        <v>MAS_MGT</v>
      </c>
      <c r="E164" t="str">
        <f>IF(Allocation!BM164="","",Allocation!BM164)</f>
        <v>M1</v>
      </c>
      <c r="F164" t="str">
        <f>IF(Allocation!BN164="","",Allocation!BN164)</f>
        <v>ALT</v>
      </c>
      <c r="G164">
        <f>IF(Allocation!BO164="","",Allocation!BO164)</f>
        <v>78</v>
      </c>
      <c r="H164">
        <f>IF(Allocation!BP164="","",Allocation!BP164)</f>
        <v>3</v>
      </c>
      <c r="I164">
        <f>IF(Allocation!BQ164="","",Allocation!BQ164)</f>
        <v>662220</v>
      </c>
      <c r="J164">
        <f>IF(Allocation!CC164="","",Allocation!CC164)</f>
        <v>78</v>
      </c>
      <c r="K164">
        <f t="shared" si="38"/>
        <v>1260</v>
      </c>
      <c r="L164">
        <f t="shared" si="39"/>
        <v>382</v>
      </c>
      <c r="M164">
        <f t="shared" si="40"/>
        <v>15</v>
      </c>
      <c r="N164">
        <f t="shared" si="41"/>
        <v>3138840</v>
      </c>
      <c r="O164">
        <f t="shared" si="42"/>
        <v>7200</v>
      </c>
      <c r="P164">
        <f t="shared" si="43"/>
        <v>156</v>
      </c>
      <c r="Q164">
        <f t="shared" si="44"/>
        <v>1249</v>
      </c>
      <c r="R164">
        <f t="shared" si="45"/>
        <v>50</v>
      </c>
      <c r="S164">
        <f t="shared" si="46"/>
        <v>9567455</v>
      </c>
      <c r="T164">
        <f t="shared" si="47"/>
        <v>3114</v>
      </c>
      <c r="U164">
        <f t="shared" si="48"/>
        <v>135</v>
      </c>
      <c r="V164">
        <f t="shared" si="49"/>
        <v>23098985</v>
      </c>
      <c r="W164">
        <f>IF($A164="","",Allocation!CD164)</f>
        <v>181094</v>
      </c>
      <c r="X164">
        <f>IF($A164="","",Allocation!CE164)</f>
        <v>502062.96</v>
      </c>
      <c r="Y164">
        <f>IF($A164="","",Allocation!CF164)</f>
        <v>142140</v>
      </c>
      <c r="Z164">
        <f>IF($A164="","",Allocation!CG164)</f>
        <v>68291</v>
      </c>
      <c r="AA164">
        <f>IF($A164="","",Allocation!CH164)</f>
        <v>1205188.53</v>
      </c>
      <c r="AB164">
        <f>IF($A164="","",Allocation!CI164)</f>
        <v>2891983</v>
      </c>
      <c r="AC164">
        <f>IF($A164="","",IF(Allocation!$N$4="VOL_EFF",$G164,IF(Allocation!$N$4="VOL_CLASS",$H164,$I164)))</f>
        <v>3</v>
      </c>
      <c r="AD164">
        <f>IF($A164="","",IF(Allocation!$N$4="VOL_EFF",$L164,IF(Allocation!$N$4="VOL_CLASS",$M164,$N164)))</f>
        <v>15</v>
      </c>
      <c r="AE164">
        <f>IF($A164="","",IF(Allocation!$N$3="VOL_EFF",$L164,IF(Allocation!$N$3="VOL_CLASS",$M164,$N164)))</f>
        <v>382</v>
      </c>
      <c r="AF164">
        <f>IF($A164="","",IF(Allocation!$N$3="VOL_EFF",$Q164,IF(Allocation!$N$3="VOL_CLASS",$R164,$S164)))</f>
        <v>1249</v>
      </c>
      <c r="AG164">
        <f>IF($A164="","",IF(Allocation!$N$1="VOL_EFF",$Q164,IF(Allocation!$N$1="VOL_CLASS",$R164,$S164)))</f>
        <v>1249</v>
      </c>
      <c r="AH164">
        <f>IF($A164="","",IF(Allocation!$N$1="VOL_EFF",$T164,IF(Allocation!$N$1="VOL_CLASS",$U164,$V164)))</f>
        <v>3114</v>
      </c>
      <c r="AI164">
        <f t="shared" si="50"/>
        <v>31691.449999999997</v>
      </c>
      <c r="AJ164">
        <f t="shared" si="51"/>
        <v>87861.017999999996</v>
      </c>
      <c r="AK164">
        <f t="shared" si="52"/>
        <v>63168.850785340313</v>
      </c>
      <c r="AL164">
        <f t="shared" si="53"/>
        <v>241037.70600000001</v>
      </c>
      <c r="AM164">
        <f t="shared" si="54"/>
        <v>70952.954784842659</v>
      </c>
      <c r="AN164">
        <f t="shared" si="55"/>
        <v>150372.31084132812</v>
      </c>
      <c r="AO164">
        <f>IF($A164="","",Allocation!CJ164)</f>
        <v>676344</v>
      </c>
      <c r="AP164">
        <f>IF($A164="","",IF(Allocation!$N$2="VOL_EFF",$Q164,IF(Allocation!$N$2="VOL_CLASS",$R164,$S164)))</f>
        <v>9567455</v>
      </c>
      <c r="AQ164">
        <f>IF($A164="","",IF(Allocation!$N$2="VOL_EFF",$T164,IF(Allocation!$N$2="VOL_CLASS",$U164,$V164)))</f>
        <v>23098985</v>
      </c>
      <c r="AR164">
        <f t="shared" si="56"/>
        <v>17135.70958848891</v>
      </c>
      <c r="AS164" t="str">
        <f>IF($A164="","",$A164&amp;"|"&amp;Allocation!BG164)</f>
        <v>2026|ACT</v>
      </c>
    </row>
    <row r="165" spans="1:45" x14ac:dyDescent="0.45">
      <c r="A165" t="str">
        <f>IF(Allocation!BI165="","",Allocation!BI165)</f>
        <v>2026</v>
      </c>
      <c r="B165" t="str">
        <f>IF(Allocation!BJ165="","",Allocation!BJ165)</f>
        <v>MBWAY_PAR</v>
      </c>
      <c r="C165" t="str">
        <f>IF(Allocation!BK165="","",Allocation!BK165)</f>
        <v>MBWAY</v>
      </c>
      <c r="D165" t="str">
        <f>IF(Allocation!BL165="","",Allocation!BL165)</f>
        <v>MAS_MGT</v>
      </c>
      <c r="E165" t="str">
        <f>IF(Allocation!BM165="","",Allocation!BM165)</f>
        <v>M2</v>
      </c>
      <c r="F165" t="str">
        <f>IF(Allocation!BN165="","",Allocation!BN165)</f>
        <v>ALT</v>
      </c>
      <c r="G165">
        <f>IF(Allocation!BO165="","",Allocation!BO165)</f>
        <v>76</v>
      </c>
      <c r="H165">
        <f>IF(Allocation!BP165="","",Allocation!BP165)</f>
        <v>3</v>
      </c>
      <c r="I165">
        <f>IF(Allocation!BQ165="","",Allocation!BQ165)</f>
        <v>638400</v>
      </c>
      <c r="J165">
        <f>IF(Allocation!CC165="","",Allocation!CC165)</f>
        <v>0</v>
      </c>
      <c r="K165">
        <f t="shared" si="38"/>
        <v>1260</v>
      </c>
      <c r="L165">
        <f t="shared" si="39"/>
        <v>382</v>
      </c>
      <c r="M165">
        <f t="shared" si="40"/>
        <v>15</v>
      </c>
      <c r="N165">
        <f t="shared" si="41"/>
        <v>3138840</v>
      </c>
      <c r="O165">
        <f t="shared" si="42"/>
        <v>7200</v>
      </c>
      <c r="P165">
        <f t="shared" si="43"/>
        <v>156</v>
      </c>
      <c r="Q165">
        <f t="shared" si="44"/>
        <v>1249</v>
      </c>
      <c r="R165">
        <f t="shared" si="45"/>
        <v>50</v>
      </c>
      <c r="S165">
        <f t="shared" si="46"/>
        <v>9567455</v>
      </c>
      <c r="T165">
        <f t="shared" si="47"/>
        <v>3114</v>
      </c>
      <c r="U165">
        <f t="shared" si="48"/>
        <v>135</v>
      </c>
      <c r="V165">
        <f t="shared" si="49"/>
        <v>23098985</v>
      </c>
      <c r="W165">
        <f>IF($A165="","",Allocation!CD165)</f>
        <v>181094</v>
      </c>
      <c r="X165">
        <f>IF($A165="","",Allocation!CE165)</f>
        <v>502062.96</v>
      </c>
      <c r="Y165">
        <f>IF($A165="","",Allocation!CF165)</f>
        <v>142140</v>
      </c>
      <c r="Z165">
        <f>IF($A165="","",Allocation!CG165)</f>
        <v>68291</v>
      </c>
      <c r="AA165">
        <f>IF($A165="","",Allocation!CH165)</f>
        <v>1205188.53</v>
      </c>
      <c r="AB165">
        <f>IF($A165="","",Allocation!CI165)</f>
        <v>2891983</v>
      </c>
      <c r="AC165">
        <f>IF($A165="","",IF(Allocation!$N$4="VOL_EFF",$G165,IF(Allocation!$N$4="VOL_CLASS",$H165,$I165)))</f>
        <v>3</v>
      </c>
      <c r="AD165">
        <f>IF($A165="","",IF(Allocation!$N$4="VOL_EFF",$L165,IF(Allocation!$N$4="VOL_CLASS",$M165,$N165)))</f>
        <v>15</v>
      </c>
      <c r="AE165">
        <f>IF($A165="","",IF(Allocation!$N$3="VOL_EFF",$L165,IF(Allocation!$N$3="VOL_CLASS",$M165,$N165)))</f>
        <v>382</v>
      </c>
      <c r="AF165">
        <f>IF($A165="","",IF(Allocation!$N$3="VOL_EFF",$Q165,IF(Allocation!$N$3="VOL_CLASS",$R165,$S165)))</f>
        <v>1249</v>
      </c>
      <c r="AG165">
        <f>IF($A165="","",IF(Allocation!$N$1="VOL_EFF",$Q165,IF(Allocation!$N$1="VOL_CLASS",$R165,$S165)))</f>
        <v>1249</v>
      </c>
      <c r="AH165">
        <f>IF($A165="","",IF(Allocation!$N$1="VOL_EFF",$T165,IF(Allocation!$N$1="VOL_CLASS",$U165,$V165)))</f>
        <v>3114</v>
      </c>
      <c r="AI165">
        <f t="shared" si="50"/>
        <v>31691.449999999997</v>
      </c>
      <c r="AJ165">
        <f t="shared" si="51"/>
        <v>87861.017999999996</v>
      </c>
      <c r="AK165">
        <f t="shared" si="52"/>
        <v>28279.162303664918</v>
      </c>
      <c r="AL165">
        <f t="shared" si="53"/>
        <v>241037.70600000001</v>
      </c>
      <c r="AM165">
        <f t="shared" si="54"/>
        <v>70952.954784842659</v>
      </c>
      <c r="AN165">
        <f t="shared" si="55"/>
        <v>161441.99932300346</v>
      </c>
      <c r="AO165">
        <f>IF($A165="","",Allocation!CJ165)</f>
        <v>676344</v>
      </c>
      <c r="AP165">
        <f>IF($A165="","",IF(Allocation!$N$2="VOL_EFF",$Q165,IF(Allocation!$N$2="VOL_CLASS",$R165,$S165)))</f>
        <v>9567455</v>
      </c>
      <c r="AQ165">
        <f>IF($A165="","",IF(Allocation!$N$2="VOL_EFF",$T165,IF(Allocation!$N$2="VOL_CLASS",$U165,$V165)))</f>
        <v>23098985</v>
      </c>
      <c r="AR165">
        <f t="shared" si="56"/>
        <v>17135.70958848891</v>
      </c>
      <c r="AS165" t="str">
        <f>IF($A165="","",$A165&amp;"|"&amp;Allocation!BG165)</f>
        <v>2026|ACT</v>
      </c>
    </row>
    <row r="166" spans="1:45" x14ac:dyDescent="0.45">
      <c r="A166" t="str">
        <f>IF(Allocation!BI166="","",Allocation!BI166)</f>
        <v>2026</v>
      </c>
      <c r="B166" t="str">
        <f>IF(Allocation!BJ166="","",Allocation!BJ166)</f>
        <v>PIGIER_BOR</v>
      </c>
      <c r="C166" t="str">
        <f>IF(Allocation!BK166="","",Allocation!BK166)</f>
        <v>PIGIER</v>
      </c>
      <c r="D166" t="str">
        <f>IF(Allocation!BL166="","",Allocation!BL166)</f>
        <v>BTS_GES</v>
      </c>
      <c r="E166" t="str">
        <f>IF(Allocation!BM166="","",Allocation!BM166)</f>
        <v>BTS1</v>
      </c>
      <c r="F166" t="str">
        <f>IF(Allocation!BN166="","",Allocation!BN166)</f>
        <v>ALT</v>
      </c>
      <c r="G166">
        <f>IF(Allocation!BO166="","",Allocation!BO166)</f>
        <v>36</v>
      </c>
      <c r="H166">
        <f>IF(Allocation!BP166="","",Allocation!BP166)</f>
        <v>2</v>
      </c>
      <c r="I166">
        <f>IF(Allocation!BQ166="","",Allocation!BQ166)</f>
        <v>212760</v>
      </c>
      <c r="J166">
        <f>IF(Allocation!CC166="","",Allocation!CC166)</f>
        <v>36</v>
      </c>
      <c r="K166">
        <f t="shared" si="38"/>
        <v>1400</v>
      </c>
      <c r="L166">
        <f t="shared" si="39"/>
        <v>176</v>
      </c>
      <c r="M166">
        <f t="shared" si="40"/>
        <v>10</v>
      </c>
      <c r="N166">
        <f t="shared" si="41"/>
        <v>1132650</v>
      </c>
      <c r="O166">
        <f t="shared" si="42"/>
        <v>5680</v>
      </c>
      <c r="P166">
        <f t="shared" si="43"/>
        <v>72</v>
      </c>
      <c r="Q166">
        <f t="shared" si="44"/>
        <v>402</v>
      </c>
      <c r="R166">
        <f t="shared" si="45"/>
        <v>20</v>
      </c>
      <c r="S166">
        <f t="shared" si="46"/>
        <v>2706480</v>
      </c>
      <c r="T166">
        <f t="shared" si="47"/>
        <v>3114</v>
      </c>
      <c r="U166">
        <f t="shared" si="48"/>
        <v>135</v>
      </c>
      <c r="V166">
        <f t="shared" si="49"/>
        <v>23098985</v>
      </c>
      <c r="W166">
        <f>IF($A166="","",Allocation!CD166)</f>
        <v>96583</v>
      </c>
      <c r="X166">
        <f>IF($A166="","",Allocation!CE166)</f>
        <v>182756.35</v>
      </c>
      <c r="Y166">
        <f>IF($A166="","",Allocation!CF166)</f>
        <v>52838</v>
      </c>
      <c r="Z166">
        <f>IF($A166="","",Allocation!CG166)</f>
        <v>21968</v>
      </c>
      <c r="AA166">
        <f>IF($A166="","",Allocation!CH166)</f>
        <v>348116.41</v>
      </c>
      <c r="AB166">
        <f>IF($A166="","",Allocation!CI166)</f>
        <v>2891983</v>
      </c>
      <c r="AC166">
        <f>IF($A166="","",IF(Allocation!$N$4="VOL_EFF",$G166,IF(Allocation!$N$4="VOL_CLASS",$H166,$I166)))</f>
        <v>2</v>
      </c>
      <c r="AD166">
        <f>IF($A166="","",IF(Allocation!$N$4="VOL_EFF",$L166,IF(Allocation!$N$4="VOL_CLASS",$M166,$N166)))</f>
        <v>10</v>
      </c>
      <c r="AE166">
        <f>IF($A166="","",IF(Allocation!$N$3="VOL_EFF",$L166,IF(Allocation!$N$3="VOL_CLASS",$M166,$N166)))</f>
        <v>176</v>
      </c>
      <c r="AF166">
        <f>IF($A166="","",IF(Allocation!$N$3="VOL_EFF",$Q166,IF(Allocation!$N$3="VOL_CLASS",$R166,$S166)))</f>
        <v>402</v>
      </c>
      <c r="AG166">
        <f>IF($A166="","",IF(Allocation!$N$1="VOL_EFF",$Q166,IF(Allocation!$N$1="VOL_CLASS",$R166,$S166)))</f>
        <v>402</v>
      </c>
      <c r="AH166">
        <f>IF($A166="","",IF(Allocation!$N$1="VOL_EFF",$T166,IF(Allocation!$N$1="VOL_CLASS",$U166,$V166)))</f>
        <v>3114</v>
      </c>
      <c r="AI166">
        <f t="shared" si="50"/>
        <v>23805.669014084506</v>
      </c>
      <c r="AJ166">
        <f t="shared" si="51"/>
        <v>45045.579225352114</v>
      </c>
      <c r="AK166">
        <f t="shared" si="52"/>
        <v>21791.772727272728</v>
      </c>
      <c r="AL166">
        <f t="shared" si="53"/>
        <v>69623.281999999992</v>
      </c>
      <c r="AM166">
        <f t="shared" si="54"/>
        <v>32690.366602440594</v>
      </c>
      <c r="AN166">
        <f t="shared" si="55"/>
        <v>12864.341777088062</v>
      </c>
      <c r="AO166">
        <f>IF($A166="","",Allocation!CJ166)</f>
        <v>676344</v>
      </c>
      <c r="AP166">
        <f>IF($A166="","",IF(Allocation!$N$2="VOL_EFF",$Q166,IF(Allocation!$N$2="VOL_CLASS",$R166,$S166)))</f>
        <v>2706480</v>
      </c>
      <c r="AQ166">
        <f>IF($A166="","",IF(Allocation!$N$2="VOL_EFF",$T166,IF(Allocation!$N$2="VOL_CLASS",$U166,$V166)))</f>
        <v>23098985</v>
      </c>
      <c r="AR166">
        <f t="shared" si="56"/>
        <v>6938.9886537619695</v>
      </c>
      <c r="AS166" t="str">
        <f>IF($A166="","",$A166&amp;"|"&amp;Allocation!BG166)</f>
        <v>2026|ACT</v>
      </c>
    </row>
    <row r="167" spans="1:45" x14ac:dyDescent="0.45">
      <c r="A167" t="str">
        <f>IF(Allocation!BI167="","",Allocation!BI167)</f>
        <v>2026</v>
      </c>
      <c r="B167" t="str">
        <f>IF(Allocation!BJ167="","",Allocation!BJ167)</f>
        <v>PIGIER_BOR</v>
      </c>
      <c r="C167" t="str">
        <f>IF(Allocation!BK167="","",Allocation!BK167)</f>
        <v>PIGIER</v>
      </c>
      <c r="D167" t="str">
        <f>IF(Allocation!BL167="","",Allocation!BL167)</f>
        <v>BTS_GES</v>
      </c>
      <c r="E167" t="str">
        <f>IF(Allocation!BM167="","",Allocation!BM167)</f>
        <v>BTS2</v>
      </c>
      <c r="F167" t="str">
        <f>IF(Allocation!BN167="","",Allocation!BN167)</f>
        <v>ALT</v>
      </c>
      <c r="G167">
        <f>IF(Allocation!BO167="","",Allocation!BO167)</f>
        <v>35</v>
      </c>
      <c r="H167">
        <f>IF(Allocation!BP167="","",Allocation!BP167)</f>
        <v>2</v>
      </c>
      <c r="I167">
        <f>IF(Allocation!BQ167="","",Allocation!BQ167)</f>
        <v>203700</v>
      </c>
      <c r="J167">
        <f>IF(Allocation!CC167="","",Allocation!CC167)</f>
        <v>0</v>
      </c>
      <c r="K167">
        <f t="shared" si="38"/>
        <v>1400</v>
      </c>
      <c r="L167">
        <f t="shared" si="39"/>
        <v>176</v>
      </c>
      <c r="M167">
        <f t="shared" si="40"/>
        <v>10</v>
      </c>
      <c r="N167">
        <f t="shared" si="41"/>
        <v>1132650</v>
      </c>
      <c r="O167">
        <f t="shared" si="42"/>
        <v>5680</v>
      </c>
      <c r="P167">
        <f t="shared" si="43"/>
        <v>72</v>
      </c>
      <c r="Q167">
        <f t="shared" si="44"/>
        <v>402</v>
      </c>
      <c r="R167">
        <f t="shared" si="45"/>
        <v>20</v>
      </c>
      <c r="S167">
        <f t="shared" si="46"/>
        <v>2706480</v>
      </c>
      <c r="T167">
        <f t="shared" si="47"/>
        <v>3114</v>
      </c>
      <c r="U167">
        <f t="shared" si="48"/>
        <v>135</v>
      </c>
      <c r="V167">
        <f t="shared" si="49"/>
        <v>23098985</v>
      </c>
      <c r="W167">
        <f>IF($A167="","",Allocation!CD167)</f>
        <v>96583</v>
      </c>
      <c r="X167">
        <f>IF($A167="","",Allocation!CE167)</f>
        <v>182756.35</v>
      </c>
      <c r="Y167">
        <f>IF($A167="","",Allocation!CF167)</f>
        <v>52838</v>
      </c>
      <c r="Z167">
        <f>IF($A167="","",Allocation!CG167)</f>
        <v>21968</v>
      </c>
      <c r="AA167">
        <f>IF($A167="","",Allocation!CH167)</f>
        <v>348116.41</v>
      </c>
      <c r="AB167">
        <f>IF($A167="","",Allocation!CI167)</f>
        <v>2891983</v>
      </c>
      <c r="AC167">
        <f>IF($A167="","",IF(Allocation!$N$4="VOL_EFF",$G167,IF(Allocation!$N$4="VOL_CLASS",$H167,$I167)))</f>
        <v>2</v>
      </c>
      <c r="AD167">
        <f>IF($A167="","",IF(Allocation!$N$4="VOL_EFF",$L167,IF(Allocation!$N$4="VOL_CLASS",$M167,$N167)))</f>
        <v>10</v>
      </c>
      <c r="AE167">
        <f>IF($A167="","",IF(Allocation!$N$3="VOL_EFF",$L167,IF(Allocation!$N$3="VOL_CLASS",$M167,$N167)))</f>
        <v>176</v>
      </c>
      <c r="AF167">
        <f>IF($A167="","",IF(Allocation!$N$3="VOL_EFF",$Q167,IF(Allocation!$N$3="VOL_CLASS",$R167,$S167)))</f>
        <v>402</v>
      </c>
      <c r="AG167">
        <f>IF($A167="","",IF(Allocation!$N$1="VOL_EFF",$Q167,IF(Allocation!$N$1="VOL_CLASS",$R167,$S167)))</f>
        <v>402</v>
      </c>
      <c r="AH167">
        <f>IF($A167="","",IF(Allocation!$N$1="VOL_EFF",$T167,IF(Allocation!$N$1="VOL_CLASS",$U167,$V167)))</f>
        <v>3114</v>
      </c>
      <c r="AI167">
        <f t="shared" si="50"/>
        <v>23805.669014084506</v>
      </c>
      <c r="AJ167">
        <f t="shared" si="51"/>
        <v>45045.579225352114</v>
      </c>
      <c r="AK167">
        <f t="shared" si="52"/>
        <v>10507.556818181818</v>
      </c>
      <c r="AL167">
        <f t="shared" si="53"/>
        <v>69623.281999999992</v>
      </c>
      <c r="AM167">
        <f t="shared" si="54"/>
        <v>32690.366602440594</v>
      </c>
      <c r="AN167">
        <f t="shared" si="55"/>
        <v>15088.557686179003</v>
      </c>
      <c r="AO167">
        <f>IF($A167="","",Allocation!CJ167)</f>
        <v>676344</v>
      </c>
      <c r="AP167">
        <f>IF($A167="","",IF(Allocation!$N$2="VOL_EFF",$Q167,IF(Allocation!$N$2="VOL_CLASS",$R167,$S167)))</f>
        <v>2706480</v>
      </c>
      <c r="AQ167">
        <f>IF($A167="","",IF(Allocation!$N$2="VOL_EFF",$T167,IF(Allocation!$N$2="VOL_CLASS",$U167,$V167)))</f>
        <v>23098985</v>
      </c>
      <c r="AR167">
        <f t="shared" si="56"/>
        <v>6938.9886537619695</v>
      </c>
      <c r="AS167" t="str">
        <f>IF($A167="","",$A167&amp;"|"&amp;Allocation!BG167)</f>
        <v>2026|ACT</v>
      </c>
    </row>
    <row r="168" spans="1:45" x14ac:dyDescent="0.45">
      <c r="A168" t="str">
        <f>IF(Allocation!BI168="","",Allocation!BI168)</f>
        <v>2026</v>
      </c>
      <c r="B168" t="str">
        <f>IF(Allocation!BJ168="","",Allocation!BJ168)</f>
        <v>PIGIER_BOR</v>
      </c>
      <c r="C168" t="str">
        <f>IF(Allocation!BK168="","",Allocation!BK168)</f>
        <v>PIGIER</v>
      </c>
      <c r="D168" t="str">
        <f>IF(Allocation!BL168="","",Allocation!BL168)</f>
        <v>BAC_RH</v>
      </c>
      <c r="E168" t="str">
        <f>IF(Allocation!BM168="","",Allocation!BM168)</f>
        <v>B1</v>
      </c>
      <c r="F168" t="str">
        <f>IF(Allocation!BN168="","",Allocation!BN168)</f>
        <v>ALT</v>
      </c>
      <c r="G168">
        <f>IF(Allocation!BO168="","",Allocation!BO168)</f>
        <v>36</v>
      </c>
      <c r="H168">
        <f>IF(Allocation!BP168="","",Allocation!BP168)</f>
        <v>2</v>
      </c>
      <c r="I168">
        <f>IF(Allocation!BQ168="","",Allocation!BQ168)</f>
        <v>247680</v>
      </c>
      <c r="J168">
        <f>IF(Allocation!CC168="","",Allocation!CC168)</f>
        <v>36</v>
      </c>
      <c r="K168">
        <f t="shared" si="38"/>
        <v>960</v>
      </c>
      <c r="L168">
        <f t="shared" si="39"/>
        <v>176</v>
      </c>
      <c r="M168">
        <f t="shared" si="40"/>
        <v>10</v>
      </c>
      <c r="N168">
        <f t="shared" si="41"/>
        <v>1132650</v>
      </c>
      <c r="O168">
        <f t="shared" si="42"/>
        <v>5680</v>
      </c>
      <c r="P168">
        <f t="shared" si="43"/>
        <v>72</v>
      </c>
      <c r="Q168">
        <f t="shared" si="44"/>
        <v>402</v>
      </c>
      <c r="R168">
        <f t="shared" si="45"/>
        <v>20</v>
      </c>
      <c r="S168">
        <f t="shared" si="46"/>
        <v>2706480</v>
      </c>
      <c r="T168">
        <f t="shared" si="47"/>
        <v>3114</v>
      </c>
      <c r="U168">
        <f t="shared" si="48"/>
        <v>135</v>
      </c>
      <c r="V168">
        <f t="shared" si="49"/>
        <v>23098985</v>
      </c>
      <c r="W168">
        <f>IF($A168="","",Allocation!CD168)</f>
        <v>96583</v>
      </c>
      <c r="X168">
        <f>IF($A168="","",Allocation!CE168)</f>
        <v>182756.35</v>
      </c>
      <c r="Y168">
        <f>IF($A168="","",Allocation!CF168)</f>
        <v>52838</v>
      </c>
      <c r="Z168">
        <f>IF($A168="","",Allocation!CG168)</f>
        <v>21968</v>
      </c>
      <c r="AA168">
        <f>IF($A168="","",Allocation!CH168)</f>
        <v>348116.41</v>
      </c>
      <c r="AB168">
        <f>IF($A168="","",Allocation!CI168)</f>
        <v>2891983</v>
      </c>
      <c r="AC168">
        <f>IF($A168="","",IF(Allocation!$N$4="VOL_EFF",$G168,IF(Allocation!$N$4="VOL_CLASS",$H168,$I168)))</f>
        <v>2</v>
      </c>
      <c r="AD168">
        <f>IF($A168="","",IF(Allocation!$N$4="VOL_EFF",$L168,IF(Allocation!$N$4="VOL_CLASS",$M168,$N168)))</f>
        <v>10</v>
      </c>
      <c r="AE168">
        <f>IF($A168="","",IF(Allocation!$N$3="VOL_EFF",$L168,IF(Allocation!$N$3="VOL_CLASS",$M168,$N168)))</f>
        <v>176</v>
      </c>
      <c r="AF168">
        <f>IF($A168="","",IF(Allocation!$N$3="VOL_EFF",$Q168,IF(Allocation!$N$3="VOL_CLASS",$R168,$S168)))</f>
        <v>402</v>
      </c>
      <c r="AG168">
        <f>IF($A168="","",IF(Allocation!$N$1="VOL_EFF",$Q168,IF(Allocation!$N$1="VOL_CLASS",$R168,$S168)))</f>
        <v>402</v>
      </c>
      <c r="AH168">
        <f>IF($A168="","",IF(Allocation!$N$1="VOL_EFF",$T168,IF(Allocation!$N$1="VOL_CLASS",$U168,$V168)))</f>
        <v>3114</v>
      </c>
      <c r="AI168">
        <f t="shared" si="50"/>
        <v>16323.887323943662</v>
      </c>
      <c r="AJ168">
        <f t="shared" si="51"/>
        <v>30888.39718309859</v>
      </c>
      <c r="AK168">
        <f t="shared" si="52"/>
        <v>21791.772727272728</v>
      </c>
      <c r="AL168">
        <f t="shared" si="53"/>
        <v>69623.281999999992</v>
      </c>
      <c r="AM168">
        <f t="shared" si="54"/>
        <v>32690.366602440594</v>
      </c>
      <c r="AN168">
        <f t="shared" si="55"/>
        <v>69423.305509482452</v>
      </c>
      <c r="AO168">
        <f>IF($A168="","",Allocation!CJ168)</f>
        <v>676344</v>
      </c>
      <c r="AP168">
        <f>IF($A168="","",IF(Allocation!$N$2="VOL_EFF",$Q168,IF(Allocation!$N$2="VOL_CLASS",$R168,$S168)))</f>
        <v>2706480</v>
      </c>
      <c r="AQ168">
        <f>IF($A168="","",IF(Allocation!$N$2="VOL_EFF",$T168,IF(Allocation!$N$2="VOL_CLASS",$U168,$V168)))</f>
        <v>23098985</v>
      </c>
      <c r="AR168">
        <f t="shared" si="56"/>
        <v>6938.9886537619695</v>
      </c>
      <c r="AS168" t="str">
        <f>IF($A168="","",$A168&amp;"|"&amp;Allocation!BG168)</f>
        <v>2026|ACT</v>
      </c>
    </row>
    <row r="169" spans="1:45" x14ac:dyDescent="0.45">
      <c r="A169" t="str">
        <f>IF(Allocation!BI169="","",Allocation!BI169)</f>
        <v>2026</v>
      </c>
      <c r="B169" t="str">
        <f>IF(Allocation!BJ169="","",Allocation!BJ169)</f>
        <v>PIGIER_BOR</v>
      </c>
      <c r="C169" t="str">
        <f>IF(Allocation!BK169="","",Allocation!BK169)</f>
        <v>PIGIER</v>
      </c>
      <c r="D169" t="str">
        <f>IF(Allocation!BL169="","",Allocation!BL169)</f>
        <v>BAC_RH</v>
      </c>
      <c r="E169" t="str">
        <f>IF(Allocation!BM169="","",Allocation!BM169)</f>
        <v>B2</v>
      </c>
      <c r="F169" t="str">
        <f>IF(Allocation!BN169="","",Allocation!BN169)</f>
        <v>ALT</v>
      </c>
      <c r="G169">
        <f>IF(Allocation!BO169="","",Allocation!BO169)</f>
        <v>35</v>
      </c>
      <c r="H169">
        <f>IF(Allocation!BP169="","",Allocation!BP169)</f>
        <v>2</v>
      </c>
      <c r="I169">
        <f>IF(Allocation!BQ169="","",Allocation!BQ169)</f>
        <v>237650</v>
      </c>
      <c r="J169">
        <f>IF(Allocation!CC169="","",Allocation!CC169)</f>
        <v>0</v>
      </c>
      <c r="K169">
        <f t="shared" si="38"/>
        <v>960</v>
      </c>
      <c r="L169">
        <f t="shared" si="39"/>
        <v>176</v>
      </c>
      <c r="M169">
        <f t="shared" si="40"/>
        <v>10</v>
      </c>
      <c r="N169">
        <f t="shared" si="41"/>
        <v>1132650</v>
      </c>
      <c r="O169">
        <f t="shared" si="42"/>
        <v>5680</v>
      </c>
      <c r="P169">
        <f t="shared" si="43"/>
        <v>72</v>
      </c>
      <c r="Q169">
        <f t="shared" si="44"/>
        <v>402</v>
      </c>
      <c r="R169">
        <f t="shared" si="45"/>
        <v>20</v>
      </c>
      <c r="S169">
        <f t="shared" si="46"/>
        <v>2706480</v>
      </c>
      <c r="T169">
        <f t="shared" si="47"/>
        <v>3114</v>
      </c>
      <c r="U169">
        <f t="shared" si="48"/>
        <v>135</v>
      </c>
      <c r="V169">
        <f t="shared" si="49"/>
        <v>23098985</v>
      </c>
      <c r="W169">
        <f>IF($A169="","",Allocation!CD169)</f>
        <v>96583</v>
      </c>
      <c r="X169">
        <f>IF($A169="","",Allocation!CE169)</f>
        <v>182756.35</v>
      </c>
      <c r="Y169">
        <f>IF($A169="","",Allocation!CF169)</f>
        <v>52838</v>
      </c>
      <c r="Z169">
        <f>IF($A169="","",Allocation!CG169)</f>
        <v>21968</v>
      </c>
      <c r="AA169">
        <f>IF($A169="","",Allocation!CH169)</f>
        <v>348116.41</v>
      </c>
      <c r="AB169">
        <f>IF($A169="","",Allocation!CI169)</f>
        <v>2891983</v>
      </c>
      <c r="AC169">
        <f>IF($A169="","",IF(Allocation!$N$4="VOL_EFF",$G169,IF(Allocation!$N$4="VOL_CLASS",$H169,$I169)))</f>
        <v>2</v>
      </c>
      <c r="AD169">
        <f>IF($A169="","",IF(Allocation!$N$4="VOL_EFF",$L169,IF(Allocation!$N$4="VOL_CLASS",$M169,$N169)))</f>
        <v>10</v>
      </c>
      <c r="AE169">
        <f>IF($A169="","",IF(Allocation!$N$3="VOL_EFF",$L169,IF(Allocation!$N$3="VOL_CLASS",$M169,$N169)))</f>
        <v>176</v>
      </c>
      <c r="AF169">
        <f>IF($A169="","",IF(Allocation!$N$3="VOL_EFF",$Q169,IF(Allocation!$N$3="VOL_CLASS",$R169,$S169)))</f>
        <v>402</v>
      </c>
      <c r="AG169">
        <f>IF($A169="","",IF(Allocation!$N$1="VOL_EFF",$Q169,IF(Allocation!$N$1="VOL_CLASS",$R169,$S169)))</f>
        <v>402</v>
      </c>
      <c r="AH169">
        <f>IF($A169="","",IF(Allocation!$N$1="VOL_EFF",$T169,IF(Allocation!$N$1="VOL_CLASS",$U169,$V169)))</f>
        <v>3114</v>
      </c>
      <c r="AI169">
        <f t="shared" si="50"/>
        <v>16323.887323943662</v>
      </c>
      <c r="AJ169">
        <f t="shared" si="51"/>
        <v>30888.39718309859</v>
      </c>
      <c r="AK169">
        <f t="shared" si="52"/>
        <v>10507.556818181818</v>
      </c>
      <c r="AL169">
        <f t="shared" si="53"/>
        <v>69623.281999999992</v>
      </c>
      <c r="AM169">
        <f t="shared" si="54"/>
        <v>32690.366602440594</v>
      </c>
      <c r="AN169">
        <f t="shared" si="55"/>
        <v>70677.521418573364</v>
      </c>
      <c r="AO169">
        <f>IF($A169="","",Allocation!CJ169)</f>
        <v>676344</v>
      </c>
      <c r="AP169">
        <f>IF($A169="","",IF(Allocation!$N$2="VOL_EFF",$Q169,IF(Allocation!$N$2="VOL_CLASS",$R169,$S169)))</f>
        <v>2706480</v>
      </c>
      <c r="AQ169">
        <f>IF($A169="","",IF(Allocation!$N$2="VOL_EFF",$T169,IF(Allocation!$N$2="VOL_CLASS",$U169,$V169)))</f>
        <v>23098985</v>
      </c>
      <c r="AR169">
        <f t="shared" si="56"/>
        <v>6938.9886537619695</v>
      </c>
      <c r="AS169" t="str">
        <f>IF($A169="","",$A169&amp;"|"&amp;Allocation!BG169)</f>
        <v>2026|ACT</v>
      </c>
    </row>
    <row r="170" spans="1:45" x14ac:dyDescent="0.45">
      <c r="A170" t="str">
        <f>IF(Allocation!BI170="","",Allocation!BI170)</f>
        <v>2026</v>
      </c>
      <c r="B170" t="str">
        <f>IF(Allocation!BJ170="","",Allocation!BJ170)</f>
        <v>PIGIER_BOR</v>
      </c>
      <c r="C170" t="str">
        <f>IF(Allocation!BK170="","",Allocation!BK170)</f>
        <v>PIGIER</v>
      </c>
      <c r="D170" t="str">
        <f>IF(Allocation!BL170="","",Allocation!BL170)</f>
        <v>BAC_RH</v>
      </c>
      <c r="E170" t="str">
        <f>IF(Allocation!BM170="","",Allocation!BM170)</f>
        <v>B3</v>
      </c>
      <c r="F170" t="str">
        <f>IF(Allocation!BN170="","",Allocation!BN170)</f>
        <v>ALT</v>
      </c>
      <c r="G170">
        <f>IF(Allocation!BO170="","",Allocation!BO170)</f>
        <v>34</v>
      </c>
      <c r="H170">
        <f>IF(Allocation!BP170="","",Allocation!BP170)</f>
        <v>2</v>
      </c>
      <c r="I170">
        <f>IF(Allocation!BQ170="","",Allocation!BQ170)</f>
        <v>230860</v>
      </c>
      <c r="J170">
        <f>IF(Allocation!CC170="","",Allocation!CC170)</f>
        <v>0</v>
      </c>
      <c r="K170">
        <f t="shared" si="38"/>
        <v>960</v>
      </c>
      <c r="L170">
        <f t="shared" si="39"/>
        <v>176</v>
      </c>
      <c r="M170">
        <f t="shared" si="40"/>
        <v>10</v>
      </c>
      <c r="N170">
        <f t="shared" si="41"/>
        <v>1132650</v>
      </c>
      <c r="O170">
        <f t="shared" si="42"/>
        <v>5680</v>
      </c>
      <c r="P170">
        <f t="shared" si="43"/>
        <v>72</v>
      </c>
      <c r="Q170">
        <f t="shared" si="44"/>
        <v>402</v>
      </c>
      <c r="R170">
        <f t="shared" si="45"/>
        <v>20</v>
      </c>
      <c r="S170">
        <f t="shared" si="46"/>
        <v>2706480</v>
      </c>
      <c r="T170">
        <f t="shared" si="47"/>
        <v>3114</v>
      </c>
      <c r="U170">
        <f t="shared" si="48"/>
        <v>135</v>
      </c>
      <c r="V170">
        <f t="shared" si="49"/>
        <v>23098985</v>
      </c>
      <c r="W170">
        <f>IF($A170="","",Allocation!CD170)</f>
        <v>96583</v>
      </c>
      <c r="X170">
        <f>IF($A170="","",Allocation!CE170)</f>
        <v>182756.35</v>
      </c>
      <c r="Y170">
        <f>IF($A170="","",Allocation!CF170)</f>
        <v>52838</v>
      </c>
      <c r="Z170">
        <f>IF($A170="","",Allocation!CG170)</f>
        <v>21968</v>
      </c>
      <c r="AA170">
        <f>IF($A170="","",Allocation!CH170)</f>
        <v>348116.41</v>
      </c>
      <c r="AB170">
        <f>IF($A170="","",Allocation!CI170)</f>
        <v>2891983</v>
      </c>
      <c r="AC170">
        <f>IF($A170="","",IF(Allocation!$N$4="VOL_EFF",$G170,IF(Allocation!$N$4="VOL_CLASS",$H170,$I170)))</f>
        <v>2</v>
      </c>
      <c r="AD170">
        <f>IF($A170="","",IF(Allocation!$N$4="VOL_EFF",$L170,IF(Allocation!$N$4="VOL_CLASS",$M170,$N170)))</f>
        <v>10</v>
      </c>
      <c r="AE170">
        <f>IF($A170="","",IF(Allocation!$N$3="VOL_EFF",$L170,IF(Allocation!$N$3="VOL_CLASS",$M170,$N170)))</f>
        <v>176</v>
      </c>
      <c r="AF170">
        <f>IF($A170="","",IF(Allocation!$N$3="VOL_EFF",$Q170,IF(Allocation!$N$3="VOL_CLASS",$R170,$S170)))</f>
        <v>402</v>
      </c>
      <c r="AG170">
        <f>IF($A170="","",IF(Allocation!$N$1="VOL_EFF",$Q170,IF(Allocation!$N$1="VOL_CLASS",$R170,$S170)))</f>
        <v>402</v>
      </c>
      <c r="AH170">
        <f>IF($A170="","",IF(Allocation!$N$1="VOL_EFF",$T170,IF(Allocation!$N$1="VOL_CLASS",$U170,$V170)))</f>
        <v>3114</v>
      </c>
      <c r="AI170">
        <f t="shared" si="50"/>
        <v>16323.887323943662</v>
      </c>
      <c r="AJ170">
        <f t="shared" si="51"/>
        <v>30888.39718309859</v>
      </c>
      <c r="AK170">
        <f t="shared" si="52"/>
        <v>10207.340909090908</v>
      </c>
      <c r="AL170">
        <f t="shared" si="53"/>
        <v>69623.281999999992</v>
      </c>
      <c r="AM170">
        <f t="shared" si="54"/>
        <v>32690.366602440594</v>
      </c>
      <c r="AN170">
        <f t="shared" si="55"/>
        <v>64187.737327664276</v>
      </c>
      <c r="AO170">
        <f>IF($A170="","",Allocation!CJ170)</f>
        <v>676344</v>
      </c>
      <c r="AP170">
        <f>IF($A170="","",IF(Allocation!$N$2="VOL_EFF",$Q170,IF(Allocation!$N$2="VOL_CLASS",$R170,$S170)))</f>
        <v>2706480</v>
      </c>
      <c r="AQ170">
        <f>IF($A170="","",IF(Allocation!$N$2="VOL_EFF",$T170,IF(Allocation!$N$2="VOL_CLASS",$U170,$V170)))</f>
        <v>23098985</v>
      </c>
      <c r="AR170">
        <f t="shared" si="56"/>
        <v>6938.9886537619695</v>
      </c>
      <c r="AS170" t="str">
        <f>IF($A170="","",$A170&amp;"|"&amp;Allocation!BG170)</f>
        <v>2026|ACT</v>
      </c>
    </row>
    <row r="171" spans="1:45" x14ac:dyDescent="0.45">
      <c r="A171" t="str">
        <f>IF(Allocation!BI171="","",Allocation!BI171)</f>
        <v>2026</v>
      </c>
      <c r="B171" t="str">
        <f>IF(Allocation!BJ171="","",Allocation!BJ171)</f>
        <v>PIGIER_LYO</v>
      </c>
      <c r="C171" t="str">
        <f>IF(Allocation!BK171="","",Allocation!BK171)</f>
        <v>PIGIER</v>
      </c>
      <c r="D171" t="str">
        <f>IF(Allocation!BL171="","",Allocation!BL171)</f>
        <v>BAC_RH</v>
      </c>
      <c r="E171" t="str">
        <f>IF(Allocation!BM171="","",Allocation!BM171)</f>
        <v>B3</v>
      </c>
      <c r="F171" t="str">
        <f>IF(Allocation!BN171="","",Allocation!BN171)</f>
        <v>ALT</v>
      </c>
      <c r="G171">
        <f>IF(Allocation!BO171="","",Allocation!BO171)</f>
        <v>44</v>
      </c>
      <c r="H171">
        <f>IF(Allocation!BP171="","",Allocation!BP171)</f>
        <v>2</v>
      </c>
      <c r="I171">
        <f>IF(Allocation!BQ171="","",Allocation!BQ171)</f>
        <v>323400</v>
      </c>
      <c r="J171">
        <f>IF(Allocation!CC171="","",Allocation!CC171)</f>
        <v>0</v>
      </c>
      <c r="K171">
        <f t="shared" si="38"/>
        <v>960</v>
      </c>
      <c r="L171">
        <f t="shared" si="39"/>
        <v>226</v>
      </c>
      <c r="M171">
        <f t="shared" si="40"/>
        <v>10</v>
      </c>
      <c r="N171">
        <f t="shared" si="41"/>
        <v>1573830</v>
      </c>
      <c r="O171">
        <f t="shared" si="42"/>
        <v>5680</v>
      </c>
      <c r="P171">
        <f t="shared" si="43"/>
        <v>92</v>
      </c>
      <c r="Q171">
        <f t="shared" si="44"/>
        <v>402</v>
      </c>
      <c r="R171">
        <f t="shared" si="45"/>
        <v>20</v>
      </c>
      <c r="S171">
        <f t="shared" si="46"/>
        <v>2706480</v>
      </c>
      <c r="T171">
        <f t="shared" si="47"/>
        <v>3114</v>
      </c>
      <c r="U171">
        <f t="shared" si="48"/>
        <v>135</v>
      </c>
      <c r="V171">
        <f t="shared" si="49"/>
        <v>23098985</v>
      </c>
      <c r="W171">
        <f>IF($A171="","",Allocation!CD171)</f>
        <v>96583</v>
      </c>
      <c r="X171">
        <f>IF($A171="","",Allocation!CE171)</f>
        <v>241308.7</v>
      </c>
      <c r="Y171">
        <f>IF($A171="","",Allocation!CF171)</f>
        <v>67722</v>
      </c>
      <c r="Z171">
        <f>IF($A171="","",Allocation!CG171)</f>
        <v>36612</v>
      </c>
      <c r="AA171">
        <f>IF($A171="","",Allocation!CH171)</f>
        <v>537148.21</v>
      </c>
      <c r="AB171">
        <f>IF($A171="","",Allocation!CI171)</f>
        <v>2891983</v>
      </c>
      <c r="AC171">
        <f>IF($A171="","",IF(Allocation!$N$4="VOL_EFF",$G171,IF(Allocation!$N$4="VOL_CLASS",$H171,$I171)))</f>
        <v>2</v>
      </c>
      <c r="AD171">
        <f>IF($A171="","",IF(Allocation!$N$4="VOL_EFF",$L171,IF(Allocation!$N$4="VOL_CLASS",$M171,$N171)))</f>
        <v>10</v>
      </c>
      <c r="AE171">
        <f>IF($A171="","",IF(Allocation!$N$3="VOL_EFF",$L171,IF(Allocation!$N$3="VOL_CLASS",$M171,$N171)))</f>
        <v>226</v>
      </c>
      <c r="AF171">
        <f>IF($A171="","",IF(Allocation!$N$3="VOL_EFF",$Q171,IF(Allocation!$N$3="VOL_CLASS",$R171,$S171)))</f>
        <v>402</v>
      </c>
      <c r="AG171">
        <f>IF($A171="","",IF(Allocation!$N$1="VOL_EFF",$Q171,IF(Allocation!$N$1="VOL_CLASS",$R171,$S171)))</f>
        <v>402</v>
      </c>
      <c r="AH171">
        <f>IF($A171="","",IF(Allocation!$N$1="VOL_EFF",$T171,IF(Allocation!$N$1="VOL_CLASS",$U171,$V171)))</f>
        <v>3114</v>
      </c>
      <c r="AI171">
        <f t="shared" si="50"/>
        <v>16323.887323943662</v>
      </c>
      <c r="AJ171">
        <f t="shared" si="51"/>
        <v>40784.569014084511</v>
      </c>
      <c r="AK171">
        <f t="shared" si="52"/>
        <v>13184.814159292035</v>
      </c>
      <c r="AL171">
        <f t="shared" si="53"/>
        <v>107429.64199999999</v>
      </c>
      <c r="AM171">
        <f t="shared" si="54"/>
        <v>41977.402569043043</v>
      </c>
      <c r="AN171">
        <f t="shared" si="55"/>
        <v>94789.392685056024</v>
      </c>
      <c r="AO171">
        <f>IF($A171="","",Allocation!CJ171)</f>
        <v>676344</v>
      </c>
      <c r="AP171">
        <f>IF($A171="","",IF(Allocation!$N$2="VOL_EFF",$Q171,IF(Allocation!$N$2="VOL_CLASS",$R171,$S171)))</f>
        <v>2706480</v>
      </c>
      <c r="AQ171">
        <f>IF($A171="","",IF(Allocation!$N$2="VOL_EFF",$T171,IF(Allocation!$N$2="VOL_CLASS",$U171,$V171)))</f>
        <v>23098985</v>
      </c>
      <c r="AR171">
        <f t="shared" si="56"/>
        <v>8910.2922485807103</v>
      </c>
      <c r="AS171" t="str">
        <f>IF($A171="","",$A171&amp;"|"&amp;Allocation!BG171)</f>
        <v>2026|ACT</v>
      </c>
    </row>
    <row r="172" spans="1:45" x14ac:dyDescent="0.45">
      <c r="A172" t="str">
        <f>IF(Allocation!BI172="","",Allocation!BI172)</f>
        <v>2026</v>
      </c>
      <c r="B172" t="str">
        <f>IF(Allocation!BJ172="","",Allocation!BJ172)</f>
        <v>PIGIER_LYO</v>
      </c>
      <c r="C172" t="str">
        <f>IF(Allocation!BK172="","",Allocation!BK172)</f>
        <v>PIGIER</v>
      </c>
      <c r="D172" t="str">
        <f>IF(Allocation!BL172="","",Allocation!BL172)</f>
        <v>BAC_RH</v>
      </c>
      <c r="E172" t="str">
        <f>IF(Allocation!BM172="","",Allocation!BM172)</f>
        <v>B2</v>
      </c>
      <c r="F172" t="str">
        <f>IF(Allocation!BN172="","",Allocation!BN172)</f>
        <v>ALT</v>
      </c>
      <c r="G172">
        <f>IF(Allocation!BO172="","",Allocation!BO172)</f>
        <v>45</v>
      </c>
      <c r="H172">
        <f>IF(Allocation!BP172="","",Allocation!BP172)</f>
        <v>2</v>
      </c>
      <c r="I172">
        <f>IF(Allocation!BQ172="","",Allocation!BQ172)</f>
        <v>330750</v>
      </c>
      <c r="J172">
        <f>IF(Allocation!CC172="","",Allocation!CC172)</f>
        <v>0</v>
      </c>
      <c r="K172">
        <f t="shared" si="38"/>
        <v>960</v>
      </c>
      <c r="L172">
        <f t="shared" si="39"/>
        <v>226</v>
      </c>
      <c r="M172">
        <f t="shared" si="40"/>
        <v>10</v>
      </c>
      <c r="N172">
        <f t="shared" si="41"/>
        <v>1573830</v>
      </c>
      <c r="O172">
        <f t="shared" si="42"/>
        <v>5680</v>
      </c>
      <c r="P172">
        <f t="shared" si="43"/>
        <v>92</v>
      </c>
      <c r="Q172">
        <f t="shared" si="44"/>
        <v>402</v>
      </c>
      <c r="R172">
        <f t="shared" si="45"/>
        <v>20</v>
      </c>
      <c r="S172">
        <f t="shared" si="46"/>
        <v>2706480</v>
      </c>
      <c r="T172">
        <f t="shared" si="47"/>
        <v>3114</v>
      </c>
      <c r="U172">
        <f t="shared" si="48"/>
        <v>135</v>
      </c>
      <c r="V172">
        <f t="shared" si="49"/>
        <v>23098985</v>
      </c>
      <c r="W172">
        <f>IF($A172="","",Allocation!CD172)</f>
        <v>96583</v>
      </c>
      <c r="X172">
        <f>IF($A172="","",Allocation!CE172)</f>
        <v>241308.7</v>
      </c>
      <c r="Y172">
        <f>IF($A172="","",Allocation!CF172)</f>
        <v>67722</v>
      </c>
      <c r="Z172">
        <f>IF($A172="","",Allocation!CG172)</f>
        <v>36612</v>
      </c>
      <c r="AA172">
        <f>IF($A172="","",Allocation!CH172)</f>
        <v>537148.21</v>
      </c>
      <c r="AB172">
        <f>IF($A172="","",Allocation!CI172)</f>
        <v>2891983</v>
      </c>
      <c r="AC172">
        <f>IF($A172="","",IF(Allocation!$N$4="VOL_EFF",$G172,IF(Allocation!$N$4="VOL_CLASS",$H172,$I172)))</f>
        <v>2</v>
      </c>
      <c r="AD172">
        <f>IF($A172="","",IF(Allocation!$N$4="VOL_EFF",$L172,IF(Allocation!$N$4="VOL_CLASS",$M172,$N172)))</f>
        <v>10</v>
      </c>
      <c r="AE172">
        <f>IF($A172="","",IF(Allocation!$N$3="VOL_EFF",$L172,IF(Allocation!$N$3="VOL_CLASS",$M172,$N172)))</f>
        <v>226</v>
      </c>
      <c r="AF172">
        <f>IF($A172="","",IF(Allocation!$N$3="VOL_EFF",$Q172,IF(Allocation!$N$3="VOL_CLASS",$R172,$S172)))</f>
        <v>402</v>
      </c>
      <c r="AG172">
        <f>IF($A172="","",IF(Allocation!$N$1="VOL_EFF",$Q172,IF(Allocation!$N$1="VOL_CLASS",$R172,$S172)))</f>
        <v>402</v>
      </c>
      <c r="AH172">
        <f>IF($A172="","",IF(Allocation!$N$1="VOL_EFF",$T172,IF(Allocation!$N$1="VOL_CLASS",$U172,$V172)))</f>
        <v>3114</v>
      </c>
      <c r="AI172">
        <f t="shared" si="50"/>
        <v>16323.887323943662</v>
      </c>
      <c r="AJ172">
        <f t="shared" si="51"/>
        <v>40784.569014084511</v>
      </c>
      <c r="AK172">
        <f t="shared" si="52"/>
        <v>13484.469026548673</v>
      </c>
      <c r="AL172">
        <f t="shared" si="53"/>
        <v>107429.64199999999</v>
      </c>
      <c r="AM172">
        <f t="shared" si="54"/>
        <v>41977.402569043043</v>
      </c>
      <c r="AN172">
        <f t="shared" si="55"/>
        <v>101839.73781779938</v>
      </c>
      <c r="AO172">
        <f>IF($A172="","",Allocation!CJ172)</f>
        <v>676344</v>
      </c>
      <c r="AP172">
        <f>IF($A172="","",IF(Allocation!$N$2="VOL_EFF",$Q172,IF(Allocation!$N$2="VOL_CLASS",$R172,$S172)))</f>
        <v>2706480</v>
      </c>
      <c r="AQ172">
        <f>IF($A172="","",IF(Allocation!$N$2="VOL_EFF",$T172,IF(Allocation!$N$2="VOL_CLASS",$U172,$V172)))</f>
        <v>23098985</v>
      </c>
      <c r="AR172">
        <f t="shared" si="56"/>
        <v>8910.2922485807103</v>
      </c>
      <c r="AS172" t="str">
        <f>IF($A172="","",$A172&amp;"|"&amp;Allocation!BG172)</f>
        <v>2026|ACT</v>
      </c>
    </row>
    <row r="173" spans="1:45" x14ac:dyDescent="0.45">
      <c r="A173" t="str">
        <f>IF(Allocation!BI173="","",Allocation!BI173)</f>
        <v>2026</v>
      </c>
      <c r="B173" t="str">
        <f>IF(Allocation!BJ173="","",Allocation!BJ173)</f>
        <v>PIGIER_LYO</v>
      </c>
      <c r="C173" t="str">
        <f>IF(Allocation!BK173="","",Allocation!BK173)</f>
        <v>PIGIER</v>
      </c>
      <c r="D173" t="str">
        <f>IF(Allocation!BL173="","",Allocation!BL173)</f>
        <v>BTS_GES</v>
      </c>
      <c r="E173" t="str">
        <f>IF(Allocation!BM173="","",Allocation!BM173)</f>
        <v>BTS1</v>
      </c>
      <c r="F173" t="str">
        <f>IF(Allocation!BN173="","",Allocation!BN173)</f>
        <v>ALT</v>
      </c>
      <c r="G173">
        <f>IF(Allocation!BO173="","",Allocation!BO173)</f>
        <v>46</v>
      </c>
      <c r="H173">
        <f>IF(Allocation!BP173="","",Allocation!BP173)</f>
        <v>2</v>
      </c>
      <c r="I173">
        <f>IF(Allocation!BQ173="","",Allocation!BQ173)</f>
        <v>293940</v>
      </c>
      <c r="J173">
        <f>IF(Allocation!CC173="","",Allocation!CC173)</f>
        <v>46</v>
      </c>
      <c r="K173">
        <f t="shared" si="38"/>
        <v>1400</v>
      </c>
      <c r="L173">
        <f t="shared" si="39"/>
        <v>226</v>
      </c>
      <c r="M173">
        <f t="shared" si="40"/>
        <v>10</v>
      </c>
      <c r="N173">
        <f t="shared" si="41"/>
        <v>1573830</v>
      </c>
      <c r="O173">
        <f t="shared" si="42"/>
        <v>5680</v>
      </c>
      <c r="P173">
        <f t="shared" si="43"/>
        <v>92</v>
      </c>
      <c r="Q173">
        <f t="shared" si="44"/>
        <v>402</v>
      </c>
      <c r="R173">
        <f t="shared" si="45"/>
        <v>20</v>
      </c>
      <c r="S173">
        <f t="shared" si="46"/>
        <v>2706480</v>
      </c>
      <c r="T173">
        <f t="shared" si="47"/>
        <v>3114</v>
      </c>
      <c r="U173">
        <f t="shared" si="48"/>
        <v>135</v>
      </c>
      <c r="V173">
        <f t="shared" si="49"/>
        <v>23098985</v>
      </c>
      <c r="W173">
        <f>IF($A173="","",Allocation!CD173)</f>
        <v>96583</v>
      </c>
      <c r="X173">
        <f>IF($A173="","",Allocation!CE173)</f>
        <v>241308.7</v>
      </c>
      <c r="Y173">
        <f>IF($A173="","",Allocation!CF173)</f>
        <v>67722</v>
      </c>
      <c r="Z173">
        <f>IF($A173="","",Allocation!CG173)</f>
        <v>36612</v>
      </c>
      <c r="AA173">
        <f>IF($A173="","",Allocation!CH173)</f>
        <v>537148.21</v>
      </c>
      <c r="AB173">
        <f>IF($A173="","",Allocation!CI173)</f>
        <v>2891983</v>
      </c>
      <c r="AC173">
        <f>IF($A173="","",IF(Allocation!$N$4="VOL_EFF",$G173,IF(Allocation!$N$4="VOL_CLASS",$H173,$I173)))</f>
        <v>2</v>
      </c>
      <c r="AD173">
        <f>IF($A173="","",IF(Allocation!$N$4="VOL_EFF",$L173,IF(Allocation!$N$4="VOL_CLASS",$M173,$N173)))</f>
        <v>10</v>
      </c>
      <c r="AE173">
        <f>IF($A173="","",IF(Allocation!$N$3="VOL_EFF",$L173,IF(Allocation!$N$3="VOL_CLASS",$M173,$N173)))</f>
        <v>226</v>
      </c>
      <c r="AF173">
        <f>IF($A173="","",IF(Allocation!$N$3="VOL_EFF",$Q173,IF(Allocation!$N$3="VOL_CLASS",$R173,$S173)))</f>
        <v>402</v>
      </c>
      <c r="AG173">
        <f>IF($A173="","",IF(Allocation!$N$1="VOL_EFF",$Q173,IF(Allocation!$N$1="VOL_CLASS",$R173,$S173)))</f>
        <v>402</v>
      </c>
      <c r="AH173">
        <f>IF($A173="","",IF(Allocation!$N$1="VOL_EFF",$T173,IF(Allocation!$N$1="VOL_CLASS",$U173,$V173)))</f>
        <v>3114</v>
      </c>
      <c r="AI173">
        <f t="shared" si="50"/>
        <v>23805.669014084506</v>
      </c>
      <c r="AJ173">
        <f t="shared" si="51"/>
        <v>59477.496478873247</v>
      </c>
      <c r="AK173">
        <f t="shared" si="52"/>
        <v>32090.12389380531</v>
      </c>
      <c r="AL173">
        <f t="shared" si="53"/>
        <v>107429.64199999999</v>
      </c>
      <c r="AM173">
        <f t="shared" si="54"/>
        <v>41977.402569043043</v>
      </c>
      <c r="AN173">
        <f t="shared" si="55"/>
        <v>20249.373795613181</v>
      </c>
      <c r="AO173">
        <f>IF($A173="","",Allocation!CJ173)</f>
        <v>676344</v>
      </c>
      <c r="AP173">
        <f>IF($A173="","",IF(Allocation!$N$2="VOL_EFF",$Q173,IF(Allocation!$N$2="VOL_CLASS",$R173,$S173)))</f>
        <v>2706480</v>
      </c>
      <c r="AQ173">
        <f>IF($A173="","",IF(Allocation!$N$2="VOL_EFF",$T173,IF(Allocation!$N$2="VOL_CLASS",$U173,$V173)))</f>
        <v>23098985</v>
      </c>
      <c r="AR173">
        <f t="shared" si="56"/>
        <v>8910.2922485807103</v>
      </c>
      <c r="AS173" t="str">
        <f>IF($A173="","",$A173&amp;"|"&amp;Allocation!BG173)</f>
        <v>2026|ACT</v>
      </c>
    </row>
    <row r="174" spans="1:45" x14ac:dyDescent="0.45">
      <c r="A174" t="str">
        <f>IF(Allocation!BI174="","",Allocation!BI174)</f>
        <v>2026</v>
      </c>
      <c r="B174" t="str">
        <f>IF(Allocation!BJ174="","",Allocation!BJ174)</f>
        <v>PIGIER_LYO</v>
      </c>
      <c r="C174" t="str">
        <f>IF(Allocation!BK174="","",Allocation!BK174)</f>
        <v>PIGIER</v>
      </c>
      <c r="D174" t="str">
        <f>IF(Allocation!BL174="","",Allocation!BL174)</f>
        <v>BTS_GES</v>
      </c>
      <c r="E174" t="str">
        <f>IF(Allocation!BM174="","",Allocation!BM174)</f>
        <v>BTS2</v>
      </c>
      <c r="F174" t="str">
        <f>IF(Allocation!BN174="","",Allocation!BN174)</f>
        <v>ALT</v>
      </c>
      <c r="G174">
        <f>IF(Allocation!BO174="","",Allocation!BO174)</f>
        <v>45</v>
      </c>
      <c r="H174">
        <f>IF(Allocation!BP174="","",Allocation!BP174)</f>
        <v>2</v>
      </c>
      <c r="I174">
        <f>IF(Allocation!BQ174="","",Allocation!BQ174)</f>
        <v>283500</v>
      </c>
      <c r="J174">
        <f>IF(Allocation!CC174="","",Allocation!CC174)</f>
        <v>0</v>
      </c>
      <c r="K174">
        <f t="shared" si="38"/>
        <v>1400</v>
      </c>
      <c r="L174">
        <f t="shared" si="39"/>
        <v>226</v>
      </c>
      <c r="M174">
        <f t="shared" si="40"/>
        <v>10</v>
      </c>
      <c r="N174">
        <f t="shared" si="41"/>
        <v>1573830</v>
      </c>
      <c r="O174">
        <f t="shared" si="42"/>
        <v>5680</v>
      </c>
      <c r="P174">
        <f t="shared" si="43"/>
        <v>92</v>
      </c>
      <c r="Q174">
        <f t="shared" si="44"/>
        <v>402</v>
      </c>
      <c r="R174">
        <f t="shared" si="45"/>
        <v>20</v>
      </c>
      <c r="S174">
        <f t="shared" si="46"/>
        <v>2706480</v>
      </c>
      <c r="T174">
        <f t="shared" si="47"/>
        <v>3114</v>
      </c>
      <c r="U174">
        <f t="shared" si="48"/>
        <v>135</v>
      </c>
      <c r="V174">
        <f t="shared" si="49"/>
        <v>23098985</v>
      </c>
      <c r="W174">
        <f>IF($A174="","",Allocation!CD174)</f>
        <v>96583</v>
      </c>
      <c r="X174">
        <f>IF($A174="","",Allocation!CE174)</f>
        <v>241308.7</v>
      </c>
      <c r="Y174">
        <f>IF($A174="","",Allocation!CF174)</f>
        <v>67722</v>
      </c>
      <c r="Z174">
        <f>IF($A174="","",Allocation!CG174)</f>
        <v>36612</v>
      </c>
      <c r="AA174">
        <f>IF($A174="","",Allocation!CH174)</f>
        <v>537148.21</v>
      </c>
      <c r="AB174">
        <f>IF($A174="","",Allocation!CI174)</f>
        <v>2891983</v>
      </c>
      <c r="AC174">
        <f>IF($A174="","",IF(Allocation!$N$4="VOL_EFF",$G174,IF(Allocation!$N$4="VOL_CLASS",$H174,$I174)))</f>
        <v>2</v>
      </c>
      <c r="AD174">
        <f>IF($A174="","",IF(Allocation!$N$4="VOL_EFF",$L174,IF(Allocation!$N$4="VOL_CLASS",$M174,$N174)))</f>
        <v>10</v>
      </c>
      <c r="AE174">
        <f>IF($A174="","",IF(Allocation!$N$3="VOL_EFF",$L174,IF(Allocation!$N$3="VOL_CLASS",$M174,$N174)))</f>
        <v>226</v>
      </c>
      <c r="AF174">
        <f>IF($A174="","",IF(Allocation!$N$3="VOL_EFF",$Q174,IF(Allocation!$N$3="VOL_CLASS",$R174,$S174)))</f>
        <v>402</v>
      </c>
      <c r="AG174">
        <f>IF($A174="","",IF(Allocation!$N$1="VOL_EFF",$Q174,IF(Allocation!$N$1="VOL_CLASS",$R174,$S174)))</f>
        <v>402</v>
      </c>
      <c r="AH174">
        <f>IF($A174="","",IF(Allocation!$N$1="VOL_EFF",$T174,IF(Allocation!$N$1="VOL_CLASS",$U174,$V174)))</f>
        <v>3114</v>
      </c>
      <c r="AI174">
        <f t="shared" si="50"/>
        <v>23805.669014084506</v>
      </c>
      <c r="AJ174">
        <f t="shared" si="51"/>
        <v>59477.496478873247</v>
      </c>
      <c r="AK174">
        <f t="shared" si="52"/>
        <v>13484.469026548673</v>
      </c>
      <c r="AL174">
        <f t="shared" si="53"/>
        <v>107429.64199999999</v>
      </c>
      <c r="AM174">
        <f t="shared" si="54"/>
        <v>41977.402569043043</v>
      </c>
      <c r="AN174">
        <f t="shared" si="55"/>
        <v>28415.028662869823</v>
      </c>
      <c r="AO174">
        <f>IF($A174="","",Allocation!CJ174)</f>
        <v>676344</v>
      </c>
      <c r="AP174">
        <f>IF($A174="","",IF(Allocation!$N$2="VOL_EFF",$Q174,IF(Allocation!$N$2="VOL_CLASS",$R174,$S174)))</f>
        <v>2706480</v>
      </c>
      <c r="AQ174">
        <f>IF($A174="","",IF(Allocation!$N$2="VOL_EFF",$T174,IF(Allocation!$N$2="VOL_CLASS",$U174,$V174)))</f>
        <v>23098985</v>
      </c>
      <c r="AR174">
        <f t="shared" si="56"/>
        <v>8910.2922485807103</v>
      </c>
      <c r="AS174" t="str">
        <f>IF($A174="","",$A174&amp;"|"&amp;Allocation!BG174)</f>
        <v>2026|ACT</v>
      </c>
    </row>
    <row r="175" spans="1:45" x14ac:dyDescent="0.45">
      <c r="A175" t="str">
        <f>IF(Allocation!BI175="","",Allocation!BI175)</f>
        <v>2026</v>
      </c>
      <c r="B175" t="str">
        <f>IF(Allocation!BJ175="","",Allocation!BJ175)</f>
        <v>PIGIER_LYO</v>
      </c>
      <c r="C175" t="str">
        <f>IF(Allocation!BK175="","",Allocation!BK175)</f>
        <v>PIGIER</v>
      </c>
      <c r="D175" t="str">
        <f>IF(Allocation!BL175="","",Allocation!BL175)</f>
        <v>BAC_RH</v>
      </c>
      <c r="E175" t="str">
        <f>IF(Allocation!BM175="","",Allocation!BM175)</f>
        <v>B1</v>
      </c>
      <c r="F175" t="str">
        <f>IF(Allocation!BN175="","",Allocation!BN175)</f>
        <v>ALT</v>
      </c>
      <c r="G175">
        <f>IF(Allocation!BO175="","",Allocation!BO175)</f>
        <v>46</v>
      </c>
      <c r="H175">
        <f>IF(Allocation!BP175="","",Allocation!BP175)</f>
        <v>2</v>
      </c>
      <c r="I175">
        <f>IF(Allocation!BQ175="","",Allocation!BQ175)</f>
        <v>342240</v>
      </c>
      <c r="J175">
        <f>IF(Allocation!CC175="","",Allocation!CC175)</f>
        <v>46</v>
      </c>
      <c r="K175">
        <f t="shared" si="38"/>
        <v>960</v>
      </c>
      <c r="L175">
        <f t="shared" si="39"/>
        <v>226</v>
      </c>
      <c r="M175">
        <f t="shared" si="40"/>
        <v>10</v>
      </c>
      <c r="N175">
        <f t="shared" si="41"/>
        <v>1573830</v>
      </c>
      <c r="O175">
        <f t="shared" si="42"/>
        <v>5680</v>
      </c>
      <c r="P175">
        <f t="shared" si="43"/>
        <v>92</v>
      </c>
      <c r="Q175">
        <f t="shared" si="44"/>
        <v>402</v>
      </c>
      <c r="R175">
        <f t="shared" si="45"/>
        <v>20</v>
      </c>
      <c r="S175">
        <f t="shared" si="46"/>
        <v>2706480</v>
      </c>
      <c r="T175">
        <f t="shared" si="47"/>
        <v>3114</v>
      </c>
      <c r="U175">
        <f t="shared" si="48"/>
        <v>135</v>
      </c>
      <c r="V175">
        <f t="shared" si="49"/>
        <v>23098985</v>
      </c>
      <c r="W175">
        <f>IF($A175="","",Allocation!CD175)</f>
        <v>96583</v>
      </c>
      <c r="X175">
        <f>IF($A175="","",Allocation!CE175)</f>
        <v>241308.7</v>
      </c>
      <c r="Y175">
        <f>IF($A175="","",Allocation!CF175)</f>
        <v>67722</v>
      </c>
      <c r="Z175">
        <f>IF($A175="","",Allocation!CG175)</f>
        <v>36612</v>
      </c>
      <c r="AA175">
        <f>IF($A175="","",Allocation!CH175)</f>
        <v>537148.21</v>
      </c>
      <c r="AB175">
        <f>IF($A175="","",Allocation!CI175)</f>
        <v>2891983</v>
      </c>
      <c r="AC175">
        <f>IF($A175="","",IF(Allocation!$N$4="VOL_EFF",$G175,IF(Allocation!$N$4="VOL_CLASS",$H175,$I175)))</f>
        <v>2</v>
      </c>
      <c r="AD175">
        <f>IF($A175="","",IF(Allocation!$N$4="VOL_EFF",$L175,IF(Allocation!$N$4="VOL_CLASS",$M175,$N175)))</f>
        <v>10</v>
      </c>
      <c r="AE175">
        <f>IF($A175="","",IF(Allocation!$N$3="VOL_EFF",$L175,IF(Allocation!$N$3="VOL_CLASS",$M175,$N175)))</f>
        <v>226</v>
      </c>
      <c r="AF175">
        <f>IF($A175="","",IF(Allocation!$N$3="VOL_EFF",$Q175,IF(Allocation!$N$3="VOL_CLASS",$R175,$S175)))</f>
        <v>402</v>
      </c>
      <c r="AG175">
        <f>IF($A175="","",IF(Allocation!$N$1="VOL_EFF",$Q175,IF(Allocation!$N$1="VOL_CLASS",$R175,$S175)))</f>
        <v>402</v>
      </c>
      <c r="AH175">
        <f>IF($A175="","",IF(Allocation!$N$1="VOL_EFF",$T175,IF(Allocation!$N$1="VOL_CLASS",$U175,$V175)))</f>
        <v>3114</v>
      </c>
      <c r="AI175">
        <f t="shared" si="50"/>
        <v>16323.887323943662</v>
      </c>
      <c r="AJ175">
        <f t="shared" si="51"/>
        <v>40784.569014084511</v>
      </c>
      <c r="AK175">
        <f t="shared" si="52"/>
        <v>32090.12389380531</v>
      </c>
      <c r="AL175">
        <f t="shared" si="53"/>
        <v>107429.64199999999</v>
      </c>
      <c r="AM175">
        <f t="shared" si="54"/>
        <v>41977.402569043043</v>
      </c>
      <c r="AN175">
        <f t="shared" si="55"/>
        <v>94724.082950542739</v>
      </c>
      <c r="AO175">
        <f>IF($A175="","",Allocation!CJ175)</f>
        <v>676344</v>
      </c>
      <c r="AP175">
        <f>IF($A175="","",IF(Allocation!$N$2="VOL_EFF",$Q175,IF(Allocation!$N$2="VOL_CLASS",$R175,$S175)))</f>
        <v>2706480</v>
      </c>
      <c r="AQ175">
        <f>IF($A175="","",IF(Allocation!$N$2="VOL_EFF",$T175,IF(Allocation!$N$2="VOL_CLASS",$U175,$V175)))</f>
        <v>23098985</v>
      </c>
      <c r="AR175">
        <f t="shared" si="56"/>
        <v>8910.2922485807103</v>
      </c>
      <c r="AS175" t="str">
        <f>IF($A175="","",$A175&amp;"|"&amp;Allocation!BG175)</f>
        <v>2026|ACT</v>
      </c>
    </row>
    <row r="176" spans="1:45" x14ac:dyDescent="0.45">
      <c r="A176" t="str">
        <f>IF(Allocation!BI176="","",Allocation!BI176)</f>
        <v>2026</v>
      </c>
      <c r="B176" t="str">
        <f>IF(Allocation!BJ176="","",Allocation!BJ176)</f>
        <v>TUNON_LYO</v>
      </c>
      <c r="C176" t="str">
        <f>IF(Allocation!BK176="","",Allocation!BK176)</f>
        <v>TUNON</v>
      </c>
      <c r="D176" t="str">
        <f>IF(Allocation!BL176="","",Allocation!BL176)</f>
        <v>BAC_TOU</v>
      </c>
      <c r="E176" t="str">
        <f>IF(Allocation!BM176="","",Allocation!BM176)</f>
        <v>B1</v>
      </c>
      <c r="F176" t="str">
        <f>IF(Allocation!BN176="","",Allocation!BN176)</f>
        <v>ALT</v>
      </c>
      <c r="G176">
        <f>IF(Allocation!BO176="","",Allocation!BO176)</f>
        <v>40</v>
      </c>
      <c r="H176">
        <f>IF(Allocation!BP176="","",Allocation!BP176)</f>
        <v>2</v>
      </c>
      <c r="I176">
        <f>IF(Allocation!BQ176="","",Allocation!BQ176)</f>
        <v>297600</v>
      </c>
      <c r="J176">
        <f>IF(Allocation!CC176="","",Allocation!CC176)</f>
        <v>40</v>
      </c>
      <c r="K176">
        <f t="shared" si="38"/>
        <v>960</v>
      </c>
      <c r="L176">
        <f t="shared" si="39"/>
        <v>117</v>
      </c>
      <c r="M176">
        <f t="shared" si="40"/>
        <v>6</v>
      </c>
      <c r="N176">
        <f t="shared" si="41"/>
        <v>863550</v>
      </c>
      <c r="O176">
        <f t="shared" si="42"/>
        <v>2880</v>
      </c>
      <c r="P176">
        <f t="shared" si="43"/>
        <v>40</v>
      </c>
      <c r="Q176">
        <f t="shared" si="44"/>
        <v>255</v>
      </c>
      <c r="R176">
        <f t="shared" si="45"/>
        <v>12</v>
      </c>
      <c r="S176">
        <f t="shared" si="46"/>
        <v>1949700</v>
      </c>
      <c r="T176">
        <f t="shared" si="47"/>
        <v>3114</v>
      </c>
      <c r="U176">
        <f t="shared" si="48"/>
        <v>135</v>
      </c>
      <c r="V176">
        <f t="shared" si="49"/>
        <v>23098985</v>
      </c>
      <c r="W176">
        <f>IF($A176="","",Allocation!CD176)</f>
        <v>72438</v>
      </c>
      <c r="X176">
        <f>IF($A176="","",Allocation!CE176)</f>
        <v>185947.72</v>
      </c>
      <c r="Y176">
        <f>IF($A176="","",Allocation!CF176)</f>
        <v>43535</v>
      </c>
      <c r="Z176">
        <f>IF($A176="","",Allocation!CG176)</f>
        <v>18850</v>
      </c>
      <c r="AA176">
        <f>IF($A176="","",Allocation!CH176)</f>
        <v>375098.56</v>
      </c>
      <c r="AB176">
        <f>IF($A176="","",Allocation!CI176)</f>
        <v>2891983</v>
      </c>
      <c r="AC176">
        <f>IF($A176="","",IF(Allocation!$N$4="VOL_EFF",$G176,IF(Allocation!$N$4="VOL_CLASS",$H176,$I176)))</f>
        <v>2</v>
      </c>
      <c r="AD176">
        <f>IF($A176="","",IF(Allocation!$N$4="VOL_EFF",$L176,IF(Allocation!$N$4="VOL_CLASS",$M176,$N176)))</f>
        <v>6</v>
      </c>
      <c r="AE176">
        <f>IF($A176="","",IF(Allocation!$N$3="VOL_EFF",$L176,IF(Allocation!$N$3="VOL_CLASS",$M176,$N176)))</f>
        <v>117</v>
      </c>
      <c r="AF176">
        <f>IF($A176="","",IF(Allocation!$N$3="VOL_EFF",$Q176,IF(Allocation!$N$3="VOL_CLASS",$R176,$S176)))</f>
        <v>255</v>
      </c>
      <c r="AG176">
        <f>IF($A176="","",IF(Allocation!$N$1="VOL_EFF",$Q176,IF(Allocation!$N$1="VOL_CLASS",$R176,$S176)))</f>
        <v>255</v>
      </c>
      <c r="AH176">
        <f>IF($A176="","",IF(Allocation!$N$1="VOL_EFF",$T176,IF(Allocation!$N$1="VOL_CLASS",$U176,$V176)))</f>
        <v>3114</v>
      </c>
      <c r="AI176">
        <f t="shared" si="50"/>
        <v>24146</v>
      </c>
      <c r="AJ176">
        <f t="shared" si="51"/>
        <v>61982.573333333334</v>
      </c>
      <c r="AK176">
        <f t="shared" si="52"/>
        <v>33733.760683760687</v>
      </c>
      <c r="AL176">
        <f t="shared" si="53"/>
        <v>125032.85333333333</v>
      </c>
      <c r="AM176">
        <f t="shared" si="54"/>
        <v>36219.44026974951</v>
      </c>
      <c r="AN176">
        <f t="shared" si="55"/>
        <v>7754.3125730572501</v>
      </c>
      <c r="AO176">
        <f>IF($A176="","",Allocation!CJ176)</f>
        <v>676344</v>
      </c>
      <c r="AP176">
        <f>IF($A176="","",IF(Allocation!$N$2="VOL_EFF",$Q176,IF(Allocation!$N$2="VOL_CLASS",$R176,$S176)))</f>
        <v>1949700</v>
      </c>
      <c r="AQ176">
        <f>IF($A176="","",IF(Allocation!$N$2="VOL_EFF",$T176,IF(Allocation!$N$2="VOL_CLASS",$U176,$V176)))</f>
        <v>23098985</v>
      </c>
      <c r="AR176">
        <f t="shared" si="56"/>
        <v>8731.0598067658902</v>
      </c>
      <c r="AS176" t="str">
        <f>IF($A176="","",$A176&amp;"|"&amp;Allocation!BG176)</f>
        <v>2026|ACT</v>
      </c>
    </row>
    <row r="177" spans="1:45" x14ac:dyDescent="0.45">
      <c r="A177" t="str">
        <f>IF(Allocation!BI177="","",Allocation!BI177)</f>
        <v>2026</v>
      </c>
      <c r="B177" t="str">
        <f>IF(Allocation!BJ177="","",Allocation!BJ177)</f>
        <v>TUNON_LYO</v>
      </c>
      <c r="C177" t="str">
        <f>IF(Allocation!BK177="","",Allocation!BK177)</f>
        <v>TUNON</v>
      </c>
      <c r="D177" t="str">
        <f>IF(Allocation!BL177="","",Allocation!BL177)</f>
        <v>BAC_TOU</v>
      </c>
      <c r="E177" t="str">
        <f>IF(Allocation!BM177="","",Allocation!BM177)</f>
        <v>B2</v>
      </c>
      <c r="F177" t="str">
        <f>IF(Allocation!BN177="","",Allocation!BN177)</f>
        <v>ALT</v>
      </c>
      <c r="G177">
        <f>IF(Allocation!BO177="","",Allocation!BO177)</f>
        <v>39</v>
      </c>
      <c r="H177">
        <f>IF(Allocation!BP177="","",Allocation!BP177)</f>
        <v>2</v>
      </c>
      <c r="I177">
        <f>IF(Allocation!BQ177="","",Allocation!BQ177)</f>
        <v>286650</v>
      </c>
      <c r="J177">
        <f>IF(Allocation!CC177="","",Allocation!CC177)</f>
        <v>0</v>
      </c>
      <c r="K177">
        <f t="shared" si="38"/>
        <v>960</v>
      </c>
      <c r="L177">
        <f t="shared" si="39"/>
        <v>117</v>
      </c>
      <c r="M177">
        <f t="shared" si="40"/>
        <v>6</v>
      </c>
      <c r="N177">
        <f t="shared" si="41"/>
        <v>863550</v>
      </c>
      <c r="O177">
        <f t="shared" si="42"/>
        <v>2880</v>
      </c>
      <c r="P177">
        <f t="shared" si="43"/>
        <v>40</v>
      </c>
      <c r="Q177">
        <f t="shared" si="44"/>
        <v>255</v>
      </c>
      <c r="R177">
        <f t="shared" si="45"/>
        <v>12</v>
      </c>
      <c r="S177">
        <f t="shared" si="46"/>
        <v>1949700</v>
      </c>
      <c r="T177">
        <f t="shared" si="47"/>
        <v>3114</v>
      </c>
      <c r="U177">
        <f t="shared" si="48"/>
        <v>135</v>
      </c>
      <c r="V177">
        <f t="shared" si="49"/>
        <v>23098985</v>
      </c>
      <c r="W177">
        <f>IF($A177="","",Allocation!CD177)</f>
        <v>72438</v>
      </c>
      <c r="X177">
        <f>IF($A177="","",Allocation!CE177)</f>
        <v>185947.72</v>
      </c>
      <c r="Y177">
        <f>IF($A177="","",Allocation!CF177)</f>
        <v>43535</v>
      </c>
      <c r="Z177">
        <f>IF($A177="","",Allocation!CG177)</f>
        <v>18850</v>
      </c>
      <c r="AA177">
        <f>IF($A177="","",Allocation!CH177)</f>
        <v>375098.56</v>
      </c>
      <c r="AB177">
        <f>IF($A177="","",Allocation!CI177)</f>
        <v>2891983</v>
      </c>
      <c r="AC177">
        <f>IF($A177="","",IF(Allocation!$N$4="VOL_EFF",$G177,IF(Allocation!$N$4="VOL_CLASS",$H177,$I177)))</f>
        <v>2</v>
      </c>
      <c r="AD177">
        <f>IF($A177="","",IF(Allocation!$N$4="VOL_EFF",$L177,IF(Allocation!$N$4="VOL_CLASS",$M177,$N177)))</f>
        <v>6</v>
      </c>
      <c r="AE177">
        <f>IF($A177="","",IF(Allocation!$N$3="VOL_EFF",$L177,IF(Allocation!$N$3="VOL_CLASS",$M177,$N177)))</f>
        <v>117</v>
      </c>
      <c r="AF177">
        <f>IF($A177="","",IF(Allocation!$N$3="VOL_EFF",$Q177,IF(Allocation!$N$3="VOL_CLASS",$R177,$S177)))</f>
        <v>255</v>
      </c>
      <c r="AG177">
        <f>IF($A177="","",IF(Allocation!$N$1="VOL_EFF",$Q177,IF(Allocation!$N$1="VOL_CLASS",$R177,$S177)))</f>
        <v>255</v>
      </c>
      <c r="AH177">
        <f>IF($A177="","",IF(Allocation!$N$1="VOL_EFF",$T177,IF(Allocation!$N$1="VOL_CLASS",$U177,$V177)))</f>
        <v>3114</v>
      </c>
      <c r="AI177">
        <f t="shared" si="50"/>
        <v>24146</v>
      </c>
      <c r="AJ177">
        <f t="shared" si="51"/>
        <v>61982.573333333334</v>
      </c>
      <c r="AK177">
        <f t="shared" si="52"/>
        <v>14511.666666666666</v>
      </c>
      <c r="AL177">
        <f t="shared" si="53"/>
        <v>125032.85333333333</v>
      </c>
      <c r="AM177">
        <f t="shared" si="54"/>
        <v>36219.44026974951</v>
      </c>
      <c r="AN177">
        <f t="shared" si="55"/>
        <v>16026.40659015131</v>
      </c>
      <c r="AO177">
        <f>IF($A177="","",Allocation!CJ177)</f>
        <v>676344</v>
      </c>
      <c r="AP177">
        <f>IF($A177="","",IF(Allocation!$N$2="VOL_EFF",$Q177,IF(Allocation!$N$2="VOL_CLASS",$R177,$S177)))</f>
        <v>1949700</v>
      </c>
      <c r="AQ177">
        <f>IF($A177="","",IF(Allocation!$N$2="VOL_EFF",$T177,IF(Allocation!$N$2="VOL_CLASS",$U177,$V177)))</f>
        <v>23098985</v>
      </c>
      <c r="AR177">
        <f t="shared" si="56"/>
        <v>8731.0598067658902</v>
      </c>
      <c r="AS177" t="str">
        <f>IF($A177="","",$A177&amp;"|"&amp;Allocation!BG177)</f>
        <v>2026|ACT</v>
      </c>
    </row>
    <row r="178" spans="1:45" x14ac:dyDescent="0.45">
      <c r="A178" t="str">
        <f>IF(Allocation!BI178="","",Allocation!BI178)</f>
        <v>2026</v>
      </c>
      <c r="B178" t="str">
        <f>IF(Allocation!BJ178="","",Allocation!BJ178)</f>
        <v>TUNON_LYO</v>
      </c>
      <c r="C178" t="str">
        <f>IF(Allocation!BK178="","",Allocation!BK178)</f>
        <v>TUNON</v>
      </c>
      <c r="D178" t="str">
        <f>IF(Allocation!BL178="","",Allocation!BL178)</f>
        <v>BAC_TOU</v>
      </c>
      <c r="E178" t="str">
        <f>IF(Allocation!BM178="","",Allocation!BM178)</f>
        <v>B3</v>
      </c>
      <c r="F178" t="str">
        <f>IF(Allocation!BN178="","",Allocation!BN178)</f>
        <v>ALT</v>
      </c>
      <c r="G178">
        <f>IF(Allocation!BO178="","",Allocation!BO178)</f>
        <v>38</v>
      </c>
      <c r="H178">
        <f>IF(Allocation!BP178="","",Allocation!BP178)</f>
        <v>2</v>
      </c>
      <c r="I178">
        <f>IF(Allocation!BQ178="","",Allocation!BQ178)</f>
        <v>279300</v>
      </c>
      <c r="J178">
        <f>IF(Allocation!CC178="","",Allocation!CC178)</f>
        <v>0</v>
      </c>
      <c r="K178">
        <f t="shared" si="38"/>
        <v>960</v>
      </c>
      <c r="L178">
        <f t="shared" si="39"/>
        <v>117</v>
      </c>
      <c r="M178">
        <f t="shared" si="40"/>
        <v>6</v>
      </c>
      <c r="N178">
        <f t="shared" si="41"/>
        <v>863550</v>
      </c>
      <c r="O178">
        <f t="shared" si="42"/>
        <v>2880</v>
      </c>
      <c r="P178">
        <f t="shared" si="43"/>
        <v>40</v>
      </c>
      <c r="Q178">
        <f t="shared" si="44"/>
        <v>255</v>
      </c>
      <c r="R178">
        <f t="shared" si="45"/>
        <v>12</v>
      </c>
      <c r="S178">
        <f t="shared" si="46"/>
        <v>1949700</v>
      </c>
      <c r="T178">
        <f t="shared" si="47"/>
        <v>3114</v>
      </c>
      <c r="U178">
        <f t="shared" si="48"/>
        <v>135</v>
      </c>
      <c r="V178">
        <f t="shared" si="49"/>
        <v>23098985</v>
      </c>
      <c r="W178">
        <f>IF($A178="","",Allocation!CD178)</f>
        <v>72438</v>
      </c>
      <c r="X178">
        <f>IF($A178="","",Allocation!CE178)</f>
        <v>185947.72</v>
      </c>
      <c r="Y178">
        <f>IF($A178="","",Allocation!CF178)</f>
        <v>43535</v>
      </c>
      <c r="Z178">
        <f>IF($A178="","",Allocation!CG178)</f>
        <v>18850</v>
      </c>
      <c r="AA178">
        <f>IF($A178="","",Allocation!CH178)</f>
        <v>375098.56</v>
      </c>
      <c r="AB178">
        <f>IF($A178="","",Allocation!CI178)</f>
        <v>2891983</v>
      </c>
      <c r="AC178">
        <f>IF($A178="","",IF(Allocation!$N$4="VOL_EFF",$G178,IF(Allocation!$N$4="VOL_CLASS",$H178,$I178)))</f>
        <v>2</v>
      </c>
      <c r="AD178">
        <f>IF($A178="","",IF(Allocation!$N$4="VOL_EFF",$L178,IF(Allocation!$N$4="VOL_CLASS",$M178,$N178)))</f>
        <v>6</v>
      </c>
      <c r="AE178">
        <f>IF($A178="","",IF(Allocation!$N$3="VOL_EFF",$L178,IF(Allocation!$N$3="VOL_CLASS",$M178,$N178)))</f>
        <v>117</v>
      </c>
      <c r="AF178">
        <f>IF($A178="","",IF(Allocation!$N$3="VOL_EFF",$Q178,IF(Allocation!$N$3="VOL_CLASS",$R178,$S178)))</f>
        <v>255</v>
      </c>
      <c r="AG178">
        <f>IF($A178="","",IF(Allocation!$N$1="VOL_EFF",$Q178,IF(Allocation!$N$1="VOL_CLASS",$R178,$S178)))</f>
        <v>255</v>
      </c>
      <c r="AH178">
        <f>IF($A178="","",IF(Allocation!$N$1="VOL_EFF",$T178,IF(Allocation!$N$1="VOL_CLASS",$U178,$V178)))</f>
        <v>3114</v>
      </c>
      <c r="AI178">
        <f t="shared" si="50"/>
        <v>24146</v>
      </c>
      <c r="AJ178">
        <f t="shared" si="51"/>
        <v>61982.573333333334</v>
      </c>
      <c r="AK178">
        <f t="shared" si="52"/>
        <v>14139.57264957265</v>
      </c>
      <c r="AL178">
        <f t="shared" si="53"/>
        <v>125032.85333333333</v>
      </c>
      <c r="AM178">
        <f t="shared" si="54"/>
        <v>36219.44026974951</v>
      </c>
      <c r="AN178">
        <f t="shared" si="55"/>
        <v>9048.5006072453107</v>
      </c>
      <c r="AO178">
        <f>IF($A178="","",Allocation!CJ178)</f>
        <v>676344</v>
      </c>
      <c r="AP178">
        <f>IF($A178="","",IF(Allocation!$N$2="VOL_EFF",$Q178,IF(Allocation!$N$2="VOL_CLASS",$R178,$S178)))</f>
        <v>1949700</v>
      </c>
      <c r="AQ178">
        <f>IF($A178="","",IF(Allocation!$N$2="VOL_EFF",$T178,IF(Allocation!$N$2="VOL_CLASS",$U178,$V178)))</f>
        <v>23098985</v>
      </c>
      <c r="AR178">
        <f t="shared" si="56"/>
        <v>8731.0598067658902</v>
      </c>
      <c r="AS178" t="str">
        <f>IF($A178="","",$A178&amp;"|"&amp;Allocation!BG178)</f>
        <v>2026|ACT</v>
      </c>
    </row>
    <row r="179" spans="1:45" x14ac:dyDescent="0.45">
      <c r="A179" t="str">
        <f>IF(Allocation!BI179="","",Allocation!BI179)</f>
        <v>2026</v>
      </c>
      <c r="B179" t="str">
        <f>IF(Allocation!BJ179="","",Allocation!BJ179)</f>
        <v>TUNON_PAR</v>
      </c>
      <c r="C179" t="str">
        <f>IF(Allocation!BK179="","",Allocation!BK179)</f>
        <v>TUNON</v>
      </c>
      <c r="D179" t="str">
        <f>IF(Allocation!BL179="","",Allocation!BL179)</f>
        <v>BAC_TOU</v>
      </c>
      <c r="E179" t="str">
        <f>IF(Allocation!BM179="","",Allocation!BM179)</f>
        <v>B1</v>
      </c>
      <c r="F179" t="str">
        <f>IF(Allocation!BN179="","",Allocation!BN179)</f>
        <v>ALT</v>
      </c>
      <c r="G179">
        <f>IF(Allocation!BO179="","",Allocation!BO179)</f>
        <v>47</v>
      </c>
      <c r="H179">
        <f>IF(Allocation!BP179="","",Allocation!BP179)</f>
        <v>2</v>
      </c>
      <c r="I179">
        <f>IF(Allocation!BQ179="","",Allocation!BQ179)</f>
        <v>372710</v>
      </c>
      <c r="J179">
        <f>IF(Allocation!CC179="","",Allocation!CC179)</f>
        <v>47</v>
      </c>
      <c r="K179">
        <f t="shared" si="38"/>
        <v>960</v>
      </c>
      <c r="L179">
        <f t="shared" si="39"/>
        <v>138</v>
      </c>
      <c r="M179">
        <f t="shared" si="40"/>
        <v>6</v>
      </c>
      <c r="N179">
        <f t="shared" si="41"/>
        <v>1086150</v>
      </c>
      <c r="O179">
        <f t="shared" si="42"/>
        <v>2880</v>
      </c>
      <c r="P179">
        <f t="shared" si="43"/>
        <v>47</v>
      </c>
      <c r="Q179">
        <f t="shared" si="44"/>
        <v>255</v>
      </c>
      <c r="R179">
        <f t="shared" si="45"/>
        <v>12</v>
      </c>
      <c r="S179">
        <f t="shared" si="46"/>
        <v>1949700</v>
      </c>
      <c r="T179">
        <f t="shared" si="47"/>
        <v>3114</v>
      </c>
      <c r="U179">
        <f t="shared" si="48"/>
        <v>135</v>
      </c>
      <c r="V179">
        <f t="shared" si="49"/>
        <v>23098985</v>
      </c>
      <c r="W179">
        <f>IF($A179="","",Allocation!CD179)</f>
        <v>72438</v>
      </c>
      <c r="X179">
        <f>IF($A179="","",Allocation!CE179)</f>
        <v>223369.51</v>
      </c>
      <c r="Y179">
        <f>IF($A179="","",Allocation!CF179)</f>
        <v>51349</v>
      </c>
      <c r="Z179">
        <f>IF($A179="","",Allocation!CG179)</f>
        <v>30240</v>
      </c>
      <c r="AA179">
        <f>IF($A179="","",Allocation!CH179)</f>
        <v>500802.19</v>
      </c>
      <c r="AB179">
        <f>IF($A179="","",Allocation!CI179)</f>
        <v>2891983</v>
      </c>
      <c r="AC179">
        <f>IF($A179="","",IF(Allocation!$N$4="VOL_EFF",$G179,IF(Allocation!$N$4="VOL_CLASS",$H179,$I179)))</f>
        <v>2</v>
      </c>
      <c r="AD179">
        <f>IF($A179="","",IF(Allocation!$N$4="VOL_EFF",$L179,IF(Allocation!$N$4="VOL_CLASS",$M179,$N179)))</f>
        <v>6</v>
      </c>
      <c r="AE179">
        <f>IF($A179="","",IF(Allocation!$N$3="VOL_EFF",$L179,IF(Allocation!$N$3="VOL_CLASS",$M179,$N179)))</f>
        <v>138</v>
      </c>
      <c r="AF179">
        <f>IF($A179="","",IF(Allocation!$N$3="VOL_EFF",$Q179,IF(Allocation!$N$3="VOL_CLASS",$R179,$S179)))</f>
        <v>255</v>
      </c>
      <c r="AG179">
        <f>IF($A179="","",IF(Allocation!$N$1="VOL_EFF",$Q179,IF(Allocation!$N$1="VOL_CLASS",$R179,$S179)))</f>
        <v>255</v>
      </c>
      <c r="AH179">
        <f>IF($A179="","",IF(Allocation!$N$1="VOL_EFF",$T179,IF(Allocation!$N$1="VOL_CLASS",$U179,$V179)))</f>
        <v>3114</v>
      </c>
      <c r="AI179">
        <f t="shared" si="50"/>
        <v>24146</v>
      </c>
      <c r="AJ179">
        <f t="shared" si="51"/>
        <v>74456.503333333327</v>
      </c>
      <c r="AK179">
        <f t="shared" si="52"/>
        <v>47728.427536231888</v>
      </c>
      <c r="AL179">
        <f t="shared" si="53"/>
        <v>166934.06333333332</v>
      </c>
      <c r="AM179">
        <f t="shared" si="54"/>
        <v>42720.365446371223</v>
      </c>
      <c r="AN179">
        <f t="shared" si="55"/>
        <v>6426.4672453140374</v>
      </c>
      <c r="AO179">
        <f>IF($A179="","",Allocation!CJ179)</f>
        <v>676344</v>
      </c>
      <c r="AP179">
        <f>IF($A179="","",IF(Allocation!$N$2="VOL_EFF",$Q179,IF(Allocation!$N$2="VOL_CLASS",$R179,$S179)))</f>
        <v>1949700</v>
      </c>
      <c r="AQ179">
        <f>IF($A179="","",IF(Allocation!$N$2="VOL_EFF",$T179,IF(Allocation!$N$2="VOL_CLASS",$U179,$V179)))</f>
        <v>23098985</v>
      </c>
      <c r="AR179">
        <f t="shared" si="56"/>
        <v>10298.173105416179</v>
      </c>
      <c r="AS179" t="str">
        <f>IF($A179="","",$A179&amp;"|"&amp;Allocation!BG179)</f>
        <v>2026|ACT</v>
      </c>
    </row>
    <row r="180" spans="1:45" x14ac:dyDescent="0.45">
      <c r="A180" t="str">
        <f>IF(Allocation!BI180="","",Allocation!BI180)</f>
        <v>2026</v>
      </c>
      <c r="B180" t="str">
        <f>IF(Allocation!BJ180="","",Allocation!BJ180)</f>
        <v>TUNON_PAR</v>
      </c>
      <c r="C180" t="str">
        <f>IF(Allocation!BK180="","",Allocation!BK180)</f>
        <v>TUNON</v>
      </c>
      <c r="D180" t="str">
        <f>IF(Allocation!BL180="","",Allocation!BL180)</f>
        <v>BAC_TOU</v>
      </c>
      <c r="E180" t="str">
        <f>IF(Allocation!BM180="","",Allocation!BM180)</f>
        <v>B2</v>
      </c>
      <c r="F180" t="str">
        <f>IF(Allocation!BN180="","",Allocation!BN180)</f>
        <v>ALT</v>
      </c>
      <c r="G180">
        <f>IF(Allocation!BO180="","",Allocation!BO180)</f>
        <v>46</v>
      </c>
      <c r="H180">
        <f>IF(Allocation!BP180="","",Allocation!BP180)</f>
        <v>2</v>
      </c>
      <c r="I180">
        <f>IF(Allocation!BQ180="","",Allocation!BQ180)</f>
        <v>360640</v>
      </c>
      <c r="J180">
        <f>IF(Allocation!CC180="","",Allocation!CC180)</f>
        <v>0</v>
      </c>
      <c r="K180">
        <f t="shared" si="38"/>
        <v>960</v>
      </c>
      <c r="L180">
        <f t="shared" si="39"/>
        <v>138</v>
      </c>
      <c r="M180">
        <f t="shared" si="40"/>
        <v>6</v>
      </c>
      <c r="N180">
        <f t="shared" si="41"/>
        <v>1086150</v>
      </c>
      <c r="O180">
        <f t="shared" si="42"/>
        <v>2880</v>
      </c>
      <c r="P180">
        <f t="shared" si="43"/>
        <v>47</v>
      </c>
      <c r="Q180">
        <f t="shared" si="44"/>
        <v>255</v>
      </c>
      <c r="R180">
        <f t="shared" si="45"/>
        <v>12</v>
      </c>
      <c r="S180">
        <f t="shared" si="46"/>
        <v>1949700</v>
      </c>
      <c r="T180">
        <f t="shared" si="47"/>
        <v>3114</v>
      </c>
      <c r="U180">
        <f t="shared" si="48"/>
        <v>135</v>
      </c>
      <c r="V180">
        <f t="shared" si="49"/>
        <v>23098985</v>
      </c>
      <c r="W180">
        <f>IF($A180="","",Allocation!CD180)</f>
        <v>72438</v>
      </c>
      <c r="X180">
        <f>IF($A180="","",Allocation!CE180)</f>
        <v>223369.51</v>
      </c>
      <c r="Y180">
        <f>IF($A180="","",Allocation!CF180)</f>
        <v>51349</v>
      </c>
      <c r="Z180">
        <f>IF($A180="","",Allocation!CG180)</f>
        <v>30240</v>
      </c>
      <c r="AA180">
        <f>IF($A180="","",Allocation!CH180)</f>
        <v>500802.19</v>
      </c>
      <c r="AB180">
        <f>IF($A180="","",Allocation!CI180)</f>
        <v>2891983</v>
      </c>
      <c r="AC180">
        <f>IF($A180="","",IF(Allocation!$N$4="VOL_EFF",$G180,IF(Allocation!$N$4="VOL_CLASS",$H180,$I180)))</f>
        <v>2</v>
      </c>
      <c r="AD180">
        <f>IF($A180="","",IF(Allocation!$N$4="VOL_EFF",$L180,IF(Allocation!$N$4="VOL_CLASS",$M180,$N180)))</f>
        <v>6</v>
      </c>
      <c r="AE180">
        <f>IF($A180="","",IF(Allocation!$N$3="VOL_EFF",$L180,IF(Allocation!$N$3="VOL_CLASS",$M180,$N180)))</f>
        <v>138</v>
      </c>
      <c r="AF180">
        <f>IF($A180="","",IF(Allocation!$N$3="VOL_EFF",$Q180,IF(Allocation!$N$3="VOL_CLASS",$R180,$S180)))</f>
        <v>255</v>
      </c>
      <c r="AG180">
        <f>IF($A180="","",IF(Allocation!$N$1="VOL_EFF",$Q180,IF(Allocation!$N$1="VOL_CLASS",$R180,$S180)))</f>
        <v>255</v>
      </c>
      <c r="AH180">
        <f>IF($A180="","",IF(Allocation!$N$1="VOL_EFF",$T180,IF(Allocation!$N$1="VOL_CLASS",$U180,$V180)))</f>
        <v>3114</v>
      </c>
      <c r="AI180">
        <f t="shared" si="50"/>
        <v>24146</v>
      </c>
      <c r="AJ180">
        <f t="shared" si="51"/>
        <v>74456.503333333327</v>
      </c>
      <c r="AK180">
        <f t="shared" si="52"/>
        <v>17116.333333333332</v>
      </c>
      <c r="AL180">
        <f t="shared" si="53"/>
        <v>166934.06333333332</v>
      </c>
      <c r="AM180">
        <f t="shared" si="54"/>
        <v>42720.365446371223</v>
      </c>
      <c r="AN180">
        <f t="shared" si="55"/>
        <v>24968.561448212655</v>
      </c>
      <c r="AO180">
        <f>IF($A180="","",Allocation!CJ180)</f>
        <v>676344</v>
      </c>
      <c r="AP180">
        <f>IF($A180="","",IF(Allocation!$N$2="VOL_EFF",$Q180,IF(Allocation!$N$2="VOL_CLASS",$R180,$S180)))</f>
        <v>1949700</v>
      </c>
      <c r="AQ180">
        <f>IF($A180="","",IF(Allocation!$N$2="VOL_EFF",$T180,IF(Allocation!$N$2="VOL_CLASS",$U180,$V180)))</f>
        <v>23098985</v>
      </c>
      <c r="AR180">
        <f t="shared" si="56"/>
        <v>10298.173105416179</v>
      </c>
      <c r="AS180" t="str">
        <f>IF($A180="","",$A180&amp;"|"&amp;Allocation!BG180)</f>
        <v>2026|ACT</v>
      </c>
    </row>
    <row r="181" spans="1:45" x14ac:dyDescent="0.45">
      <c r="A181" t="str">
        <f>IF(Allocation!BI181="","",Allocation!BI181)</f>
        <v>2026</v>
      </c>
      <c r="B181" t="str">
        <f>IF(Allocation!BJ181="","",Allocation!BJ181)</f>
        <v>TUNON_PAR</v>
      </c>
      <c r="C181" t="str">
        <f>IF(Allocation!BK181="","",Allocation!BK181)</f>
        <v>TUNON</v>
      </c>
      <c r="D181" t="str">
        <f>IF(Allocation!BL181="","",Allocation!BL181)</f>
        <v>BAC_TOU</v>
      </c>
      <c r="E181" t="str">
        <f>IF(Allocation!BM181="","",Allocation!BM181)</f>
        <v>B3</v>
      </c>
      <c r="F181" t="str">
        <f>IF(Allocation!BN181="","",Allocation!BN181)</f>
        <v>ALT</v>
      </c>
      <c r="G181">
        <f>IF(Allocation!BO181="","",Allocation!BO181)</f>
        <v>45</v>
      </c>
      <c r="H181">
        <f>IF(Allocation!BP181="","",Allocation!BP181)</f>
        <v>2</v>
      </c>
      <c r="I181">
        <f>IF(Allocation!BQ181="","",Allocation!BQ181)</f>
        <v>352800</v>
      </c>
      <c r="J181">
        <f>IF(Allocation!CC181="","",Allocation!CC181)</f>
        <v>0</v>
      </c>
      <c r="K181">
        <f t="shared" si="38"/>
        <v>960</v>
      </c>
      <c r="L181">
        <f t="shared" si="39"/>
        <v>138</v>
      </c>
      <c r="M181">
        <f t="shared" si="40"/>
        <v>6</v>
      </c>
      <c r="N181">
        <f t="shared" si="41"/>
        <v>1086150</v>
      </c>
      <c r="O181">
        <f t="shared" si="42"/>
        <v>2880</v>
      </c>
      <c r="P181">
        <f t="shared" si="43"/>
        <v>47</v>
      </c>
      <c r="Q181">
        <f t="shared" si="44"/>
        <v>255</v>
      </c>
      <c r="R181">
        <f t="shared" si="45"/>
        <v>12</v>
      </c>
      <c r="S181">
        <f t="shared" si="46"/>
        <v>1949700</v>
      </c>
      <c r="T181">
        <f t="shared" si="47"/>
        <v>3114</v>
      </c>
      <c r="U181">
        <f t="shared" si="48"/>
        <v>135</v>
      </c>
      <c r="V181">
        <f t="shared" si="49"/>
        <v>23098985</v>
      </c>
      <c r="W181">
        <f>IF($A181="","",Allocation!CD181)</f>
        <v>72438</v>
      </c>
      <c r="X181">
        <f>IF($A181="","",Allocation!CE181)</f>
        <v>223369.51</v>
      </c>
      <c r="Y181">
        <f>IF($A181="","",Allocation!CF181)</f>
        <v>51349</v>
      </c>
      <c r="Z181">
        <f>IF($A181="","",Allocation!CG181)</f>
        <v>30240</v>
      </c>
      <c r="AA181">
        <f>IF($A181="","",Allocation!CH181)</f>
        <v>500802.19</v>
      </c>
      <c r="AB181">
        <f>IF($A181="","",Allocation!CI181)</f>
        <v>2891983</v>
      </c>
      <c r="AC181">
        <f>IF($A181="","",IF(Allocation!$N$4="VOL_EFF",$G181,IF(Allocation!$N$4="VOL_CLASS",$H181,$I181)))</f>
        <v>2</v>
      </c>
      <c r="AD181">
        <f>IF($A181="","",IF(Allocation!$N$4="VOL_EFF",$L181,IF(Allocation!$N$4="VOL_CLASS",$M181,$N181)))</f>
        <v>6</v>
      </c>
      <c r="AE181">
        <f>IF($A181="","",IF(Allocation!$N$3="VOL_EFF",$L181,IF(Allocation!$N$3="VOL_CLASS",$M181,$N181)))</f>
        <v>138</v>
      </c>
      <c r="AF181">
        <f>IF($A181="","",IF(Allocation!$N$3="VOL_EFF",$Q181,IF(Allocation!$N$3="VOL_CLASS",$R181,$S181)))</f>
        <v>255</v>
      </c>
      <c r="AG181">
        <f>IF($A181="","",IF(Allocation!$N$1="VOL_EFF",$Q181,IF(Allocation!$N$1="VOL_CLASS",$R181,$S181)))</f>
        <v>255</v>
      </c>
      <c r="AH181">
        <f>IF($A181="","",IF(Allocation!$N$1="VOL_EFF",$T181,IF(Allocation!$N$1="VOL_CLASS",$U181,$V181)))</f>
        <v>3114</v>
      </c>
      <c r="AI181">
        <f t="shared" si="50"/>
        <v>24146</v>
      </c>
      <c r="AJ181">
        <f t="shared" si="51"/>
        <v>74456.503333333327</v>
      </c>
      <c r="AK181">
        <f t="shared" si="52"/>
        <v>16744.239130434784</v>
      </c>
      <c r="AL181">
        <f t="shared" si="53"/>
        <v>166934.06333333332</v>
      </c>
      <c r="AM181">
        <f t="shared" si="54"/>
        <v>42720.365446371223</v>
      </c>
      <c r="AN181">
        <f t="shared" si="55"/>
        <v>17500.655651111156</v>
      </c>
      <c r="AO181">
        <f>IF($A181="","",Allocation!CJ181)</f>
        <v>676344</v>
      </c>
      <c r="AP181">
        <f>IF($A181="","",IF(Allocation!$N$2="VOL_EFF",$Q181,IF(Allocation!$N$2="VOL_CLASS",$R181,$S181)))</f>
        <v>1949700</v>
      </c>
      <c r="AQ181">
        <f>IF($A181="","",IF(Allocation!$N$2="VOL_EFF",$T181,IF(Allocation!$N$2="VOL_CLASS",$U181,$V181)))</f>
        <v>23098985</v>
      </c>
      <c r="AR181">
        <f t="shared" si="56"/>
        <v>10298.173105416179</v>
      </c>
      <c r="AS181" t="str">
        <f>IF($A181="","",$A181&amp;"|"&amp;Allocation!BG181)</f>
        <v>2026|ACT</v>
      </c>
    </row>
    <row r="182" spans="1:45" x14ac:dyDescent="0.45">
      <c r="A182" t="str">
        <f>IF(Allocation!BI182="","",Allocation!BI182)</f>
        <v>2027</v>
      </c>
      <c r="B182" t="str">
        <f>IF(Allocation!BJ182="","",Allocation!BJ182)</f>
        <v>IPAC_MTP</v>
      </c>
      <c r="C182" t="str">
        <f>IF(Allocation!BK182="","",Allocation!BK182)</f>
        <v>IPAC</v>
      </c>
      <c r="D182" t="str">
        <f>IF(Allocation!BL182="","",Allocation!BL182)</f>
        <v>BAC_CCE</v>
      </c>
      <c r="E182" t="str">
        <f>IF(Allocation!BM182="","",Allocation!BM182)</f>
        <v>B1</v>
      </c>
      <c r="F182" t="str">
        <f>IF(Allocation!BN182="","",Allocation!BN182)</f>
        <v>ALT</v>
      </c>
      <c r="G182">
        <f>IF(Allocation!BO182="","",Allocation!BO182)</f>
        <v>44.737599000000003</v>
      </c>
      <c r="H182">
        <f>IF(Allocation!BP182="","",Allocation!BP182)</f>
        <v>2</v>
      </c>
      <c r="I182">
        <f>IF(Allocation!BQ182="","",Allocation!BQ182)</f>
        <v>302351.04362700001</v>
      </c>
      <c r="J182">
        <f>IF(Allocation!CC182="","",Allocation!CC182)</f>
        <v>44.737599000000003</v>
      </c>
      <c r="K182">
        <f t="shared" si="38"/>
        <v>960</v>
      </c>
      <c r="L182">
        <f t="shared" si="39"/>
        <v>122.132599</v>
      </c>
      <c r="M182">
        <f t="shared" si="40"/>
        <v>6</v>
      </c>
      <c r="N182">
        <f t="shared" si="41"/>
        <v>818445.72807299998</v>
      </c>
      <c r="O182">
        <f t="shared" si="42"/>
        <v>2880</v>
      </c>
      <c r="P182">
        <f t="shared" si="43"/>
        <v>44.737599000000003</v>
      </c>
      <c r="Q182">
        <f t="shared" si="44"/>
        <v>395.57672199999996</v>
      </c>
      <c r="R182">
        <f t="shared" si="45"/>
        <v>18</v>
      </c>
      <c r="S182">
        <f t="shared" si="46"/>
        <v>2704017.9671089998</v>
      </c>
      <c r="T182">
        <f t="shared" si="47"/>
        <v>3253.6168479999983</v>
      </c>
      <c r="U182">
        <f t="shared" si="48"/>
        <v>135</v>
      </c>
      <c r="V182">
        <f t="shared" si="49"/>
        <v>24231703.809424989</v>
      </c>
      <c r="W182">
        <f>IF($A182="","",Allocation!CD182)</f>
        <v>74584.324575000006</v>
      </c>
      <c r="X182">
        <f>IF($A182="","",Allocation!CE182)</f>
        <v>145069.20037999999</v>
      </c>
      <c r="Y182">
        <f>IF($A182="","",Allocation!CF182)</f>
        <v>44824.934018</v>
      </c>
      <c r="Z182">
        <f>IF($A182="","",Allocation!CG182)</f>
        <v>16392.240000000002</v>
      </c>
      <c r="AA182">
        <f>IF($A182="","",Allocation!CH182)</f>
        <v>284801.16293799999</v>
      </c>
      <c r="AB182">
        <f>IF($A182="","",Allocation!CI182)</f>
        <v>2975861.5814200002</v>
      </c>
      <c r="AC182">
        <f>IF($A182="","",IF(Allocation!$N$4="VOL_EFF",$G182,IF(Allocation!$N$4="VOL_CLASS",$H182,$I182)))</f>
        <v>2</v>
      </c>
      <c r="AD182">
        <f>IF($A182="","",IF(Allocation!$N$4="VOL_EFF",$L182,IF(Allocation!$N$4="VOL_CLASS",$M182,$N182)))</f>
        <v>6</v>
      </c>
      <c r="AE182">
        <f>IF($A182="","",IF(Allocation!$N$3="VOL_EFF",$L182,IF(Allocation!$N$3="VOL_CLASS",$M182,$N182)))</f>
        <v>122.132599</v>
      </c>
      <c r="AF182">
        <f>IF($A182="","",IF(Allocation!$N$3="VOL_EFF",$Q182,IF(Allocation!$N$3="VOL_CLASS",$R182,$S182)))</f>
        <v>395.57672199999996</v>
      </c>
      <c r="AG182">
        <f>IF($A182="","",IF(Allocation!$N$1="VOL_EFF",$Q182,IF(Allocation!$N$1="VOL_CLASS",$R182,$S182)))</f>
        <v>395.57672199999996</v>
      </c>
      <c r="AH182">
        <f>IF($A182="","",IF(Allocation!$N$1="VOL_EFF",$T182,IF(Allocation!$N$1="VOL_CLASS",$U182,$V182)))</f>
        <v>3253.6168479999983</v>
      </c>
      <c r="AI182">
        <f t="shared" si="50"/>
        <v>24861.441525000002</v>
      </c>
      <c r="AJ182">
        <f t="shared" si="51"/>
        <v>48356.40012666666</v>
      </c>
      <c r="AK182">
        <f t="shared" si="52"/>
        <v>32811.770409720855</v>
      </c>
      <c r="AL182">
        <f t="shared" si="53"/>
        <v>94933.720979333331</v>
      </c>
      <c r="AM182">
        <f t="shared" si="54"/>
        <v>37235.454796148639</v>
      </c>
      <c r="AN182">
        <f t="shared" si="55"/>
        <v>55608.170697097783</v>
      </c>
      <c r="AO182">
        <f>IF($A182="","",Allocation!CJ182)</f>
        <v>743978.4</v>
      </c>
      <c r="AP182">
        <f>IF($A182="","",IF(Allocation!$N$2="VOL_EFF",$Q182,IF(Allocation!$N$2="VOL_CLASS",$R182,$S182)))</f>
        <v>2704017.9671089998</v>
      </c>
      <c r="AQ182">
        <f>IF($A182="","",IF(Allocation!$N$2="VOL_EFF",$T182,IF(Allocation!$N$2="VOL_CLASS",$U182,$V182)))</f>
        <v>24231703.809424989</v>
      </c>
      <c r="AR182">
        <f t="shared" si="56"/>
        <v>8544.085093032736</v>
      </c>
      <c r="AS182" t="str">
        <f>IF($A182="","",$A182&amp;"|"&amp;Allocation!BG182)</f>
        <v>2027|V01</v>
      </c>
    </row>
    <row r="183" spans="1:45" x14ac:dyDescent="0.45">
      <c r="A183" t="str">
        <f>IF(Allocation!BI183="","",Allocation!BI183)</f>
        <v>2027</v>
      </c>
      <c r="B183" t="str">
        <f>IF(Allocation!BJ183="","",Allocation!BJ183)</f>
        <v>IPAC_MTP</v>
      </c>
      <c r="C183" t="str">
        <f>IF(Allocation!BK183="","",Allocation!BK183)</f>
        <v>IPAC</v>
      </c>
      <c r="D183" t="str">
        <f>IF(Allocation!BL183="","",Allocation!BL183)</f>
        <v>BAC_CCE</v>
      </c>
      <c r="E183" t="str">
        <f>IF(Allocation!BM183="","",Allocation!BM183)</f>
        <v>B2</v>
      </c>
      <c r="F183" t="str">
        <f>IF(Allocation!BN183="","",Allocation!BN183)</f>
        <v>ALT</v>
      </c>
      <c r="G183">
        <f>IF(Allocation!BO183="","",Allocation!BO183)</f>
        <v>39.200000000000003</v>
      </c>
      <c r="H183">
        <f>IF(Allocation!BP183="","",Allocation!BP183)</f>
        <v>2</v>
      </c>
      <c r="I183">
        <f>IF(Allocation!BQ183="","",Allocation!BQ183)</f>
        <v>261398.1734</v>
      </c>
      <c r="J183">
        <f>IF(Allocation!CC183="","",Allocation!CC183)</f>
        <v>0</v>
      </c>
      <c r="K183">
        <f t="shared" si="38"/>
        <v>960</v>
      </c>
      <c r="L183">
        <f t="shared" si="39"/>
        <v>122.132599</v>
      </c>
      <c r="M183">
        <f t="shared" si="40"/>
        <v>6</v>
      </c>
      <c r="N183">
        <f t="shared" si="41"/>
        <v>818445.72807299998</v>
      </c>
      <c r="O183">
        <f t="shared" si="42"/>
        <v>2880</v>
      </c>
      <c r="P183">
        <f t="shared" si="43"/>
        <v>44.737599000000003</v>
      </c>
      <c r="Q183">
        <f t="shared" si="44"/>
        <v>395.57672199999996</v>
      </c>
      <c r="R183">
        <f t="shared" si="45"/>
        <v>18</v>
      </c>
      <c r="S183">
        <f t="shared" si="46"/>
        <v>2704017.9671089998</v>
      </c>
      <c r="T183">
        <f t="shared" si="47"/>
        <v>3253.6168479999983</v>
      </c>
      <c r="U183">
        <f t="shared" si="48"/>
        <v>135</v>
      </c>
      <c r="V183">
        <f t="shared" si="49"/>
        <v>24231703.809424989</v>
      </c>
      <c r="W183">
        <f>IF($A183="","",Allocation!CD183)</f>
        <v>74584.324575000006</v>
      </c>
      <c r="X183">
        <f>IF($A183="","",Allocation!CE183)</f>
        <v>145069.20037999999</v>
      </c>
      <c r="Y183">
        <f>IF($A183="","",Allocation!CF183)</f>
        <v>44824.934018</v>
      </c>
      <c r="Z183">
        <f>IF($A183="","",Allocation!CG183)</f>
        <v>16392.240000000002</v>
      </c>
      <c r="AA183">
        <f>IF($A183="","",Allocation!CH183)</f>
        <v>284801.16293799999</v>
      </c>
      <c r="AB183">
        <f>IF($A183="","",Allocation!CI183)</f>
        <v>2975861.5814200002</v>
      </c>
      <c r="AC183">
        <f>IF($A183="","",IF(Allocation!$N$4="VOL_EFF",$G183,IF(Allocation!$N$4="VOL_CLASS",$H183,$I183)))</f>
        <v>2</v>
      </c>
      <c r="AD183">
        <f>IF($A183="","",IF(Allocation!$N$4="VOL_EFF",$L183,IF(Allocation!$N$4="VOL_CLASS",$M183,$N183)))</f>
        <v>6</v>
      </c>
      <c r="AE183">
        <f>IF($A183="","",IF(Allocation!$N$3="VOL_EFF",$L183,IF(Allocation!$N$3="VOL_CLASS",$M183,$N183)))</f>
        <v>122.132599</v>
      </c>
      <c r="AF183">
        <f>IF($A183="","",IF(Allocation!$N$3="VOL_EFF",$Q183,IF(Allocation!$N$3="VOL_CLASS",$R183,$S183)))</f>
        <v>395.57672199999996</v>
      </c>
      <c r="AG183">
        <f>IF($A183="","",IF(Allocation!$N$1="VOL_EFF",$Q183,IF(Allocation!$N$1="VOL_CLASS",$R183,$S183)))</f>
        <v>395.57672199999996</v>
      </c>
      <c r="AH183">
        <f>IF($A183="","",IF(Allocation!$N$1="VOL_EFF",$T183,IF(Allocation!$N$1="VOL_CLASS",$U183,$V183)))</f>
        <v>3253.6168479999983</v>
      </c>
      <c r="AI183">
        <f t="shared" si="50"/>
        <v>24861.441525000002</v>
      </c>
      <c r="AJ183">
        <f t="shared" si="51"/>
        <v>48356.40012666666</v>
      </c>
      <c r="AK183">
        <f t="shared" si="52"/>
        <v>14387.128644544771</v>
      </c>
      <c r="AL183">
        <f t="shared" si="53"/>
        <v>94933.720979333331</v>
      </c>
      <c r="AM183">
        <f t="shared" si="54"/>
        <v>37235.454796148639</v>
      </c>
      <c r="AN183">
        <f t="shared" si="55"/>
        <v>33079.942235273862</v>
      </c>
      <c r="AO183">
        <f>IF($A183="","",Allocation!CJ183)</f>
        <v>743978.4</v>
      </c>
      <c r="AP183">
        <f>IF($A183="","",IF(Allocation!$N$2="VOL_EFF",$Q183,IF(Allocation!$N$2="VOL_CLASS",$R183,$S183)))</f>
        <v>2704017.9671089998</v>
      </c>
      <c r="AQ183">
        <f>IF($A183="","",IF(Allocation!$N$2="VOL_EFF",$T183,IF(Allocation!$N$2="VOL_CLASS",$U183,$V183)))</f>
        <v>24231703.809424989</v>
      </c>
      <c r="AR183">
        <f t="shared" si="56"/>
        <v>8544.085093032736</v>
      </c>
      <c r="AS183" t="str">
        <f>IF($A183="","",$A183&amp;"|"&amp;Allocation!BG183)</f>
        <v>2027|V01</v>
      </c>
    </row>
    <row r="184" spans="1:45" x14ac:dyDescent="0.45">
      <c r="A184" t="str">
        <f>IF(Allocation!BI184="","",Allocation!BI184)</f>
        <v>2027</v>
      </c>
      <c r="B184" t="str">
        <f>IF(Allocation!BJ184="","",Allocation!BJ184)</f>
        <v>IPAC_MTP</v>
      </c>
      <c r="C184" t="str">
        <f>IF(Allocation!BK184="","",Allocation!BK184)</f>
        <v>IPAC</v>
      </c>
      <c r="D184" t="str">
        <f>IF(Allocation!BL184="","",Allocation!BL184)</f>
        <v>BAC_CCE</v>
      </c>
      <c r="E184" t="str">
        <f>IF(Allocation!BM184="","",Allocation!BM184)</f>
        <v>B3</v>
      </c>
      <c r="F184" t="str">
        <f>IF(Allocation!BN184="","",Allocation!BN184)</f>
        <v>ALT</v>
      </c>
      <c r="G184">
        <f>IF(Allocation!BO184="","",Allocation!BO184)</f>
        <v>38.195</v>
      </c>
      <c r="H184">
        <f>IF(Allocation!BP184="","",Allocation!BP184)</f>
        <v>2</v>
      </c>
      <c r="I184">
        <f>IF(Allocation!BQ184="","",Allocation!BQ184)</f>
        <v>254696.511046</v>
      </c>
      <c r="J184">
        <f>IF(Allocation!CC184="","",Allocation!CC184)</f>
        <v>0</v>
      </c>
      <c r="K184">
        <f t="shared" si="38"/>
        <v>960</v>
      </c>
      <c r="L184">
        <f t="shared" si="39"/>
        <v>122.132599</v>
      </c>
      <c r="M184">
        <f t="shared" si="40"/>
        <v>6</v>
      </c>
      <c r="N184">
        <f t="shared" si="41"/>
        <v>818445.72807299998</v>
      </c>
      <c r="O184">
        <f t="shared" si="42"/>
        <v>2880</v>
      </c>
      <c r="P184">
        <f t="shared" si="43"/>
        <v>44.737599000000003</v>
      </c>
      <c r="Q184">
        <f t="shared" si="44"/>
        <v>395.57672199999996</v>
      </c>
      <c r="R184">
        <f t="shared" si="45"/>
        <v>18</v>
      </c>
      <c r="S184">
        <f t="shared" si="46"/>
        <v>2704017.9671089998</v>
      </c>
      <c r="T184">
        <f t="shared" si="47"/>
        <v>3253.6168479999983</v>
      </c>
      <c r="U184">
        <f t="shared" si="48"/>
        <v>135</v>
      </c>
      <c r="V184">
        <f t="shared" si="49"/>
        <v>24231703.809424989</v>
      </c>
      <c r="W184">
        <f>IF($A184="","",Allocation!CD184)</f>
        <v>74584.324575000006</v>
      </c>
      <c r="X184">
        <f>IF($A184="","",Allocation!CE184)</f>
        <v>145069.20037999999</v>
      </c>
      <c r="Y184">
        <f>IF($A184="","",Allocation!CF184)</f>
        <v>44824.934018</v>
      </c>
      <c r="Z184">
        <f>IF($A184="","",Allocation!CG184)</f>
        <v>16392.240000000002</v>
      </c>
      <c r="AA184">
        <f>IF($A184="","",Allocation!CH184)</f>
        <v>284801.16293799999</v>
      </c>
      <c r="AB184">
        <f>IF($A184="","",Allocation!CI184)</f>
        <v>2975861.5814200002</v>
      </c>
      <c r="AC184">
        <f>IF($A184="","",IF(Allocation!$N$4="VOL_EFF",$G184,IF(Allocation!$N$4="VOL_CLASS",$H184,$I184)))</f>
        <v>2</v>
      </c>
      <c r="AD184">
        <f>IF($A184="","",IF(Allocation!$N$4="VOL_EFF",$L184,IF(Allocation!$N$4="VOL_CLASS",$M184,$N184)))</f>
        <v>6</v>
      </c>
      <c r="AE184">
        <f>IF($A184="","",IF(Allocation!$N$3="VOL_EFF",$L184,IF(Allocation!$N$3="VOL_CLASS",$M184,$N184)))</f>
        <v>122.132599</v>
      </c>
      <c r="AF184">
        <f>IF($A184="","",IF(Allocation!$N$3="VOL_EFF",$Q184,IF(Allocation!$N$3="VOL_CLASS",$R184,$S184)))</f>
        <v>395.57672199999996</v>
      </c>
      <c r="AG184">
        <f>IF($A184="","",IF(Allocation!$N$1="VOL_EFF",$Q184,IF(Allocation!$N$1="VOL_CLASS",$R184,$S184)))</f>
        <v>395.57672199999996</v>
      </c>
      <c r="AH184">
        <f>IF($A184="","",IF(Allocation!$N$1="VOL_EFF",$T184,IF(Allocation!$N$1="VOL_CLASS",$U184,$V184)))</f>
        <v>3253.6168479999983</v>
      </c>
      <c r="AI184">
        <f t="shared" si="50"/>
        <v>24861.441525000002</v>
      </c>
      <c r="AJ184">
        <f t="shared" si="51"/>
        <v>48356.40012666666</v>
      </c>
      <c r="AK184">
        <f t="shared" si="52"/>
        <v>14018.274963734375</v>
      </c>
      <c r="AL184">
        <f t="shared" si="53"/>
        <v>94933.720979333331</v>
      </c>
      <c r="AM184">
        <f t="shared" si="54"/>
        <v>37235.454796148639</v>
      </c>
      <c r="AN184">
        <f t="shared" si="55"/>
        <v>26747.133562084229</v>
      </c>
      <c r="AO184">
        <f>IF($A184="","",Allocation!CJ184)</f>
        <v>743978.4</v>
      </c>
      <c r="AP184">
        <f>IF($A184="","",IF(Allocation!$N$2="VOL_EFF",$Q184,IF(Allocation!$N$2="VOL_CLASS",$R184,$S184)))</f>
        <v>2704017.9671089998</v>
      </c>
      <c r="AQ184">
        <f>IF($A184="","",IF(Allocation!$N$2="VOL_EFF",$T184,IF(Allocation!$N$2="VOL_CLASS",$U184,$V184)))</f>
        <v>24231703.809424989</v>
      </c>
      <c r="AR184">
        <f t="shared" si="56"/>
        <v>8544.085093032736</v>
      </c>
      <c r="AS184" t="str">
        <f>IF($A184="","",$A184&amp;"|"&amp;Allocation!BG184)</f>
        <v>2027|V01</v>
      </c>
    </row>
    <row r="185" spans="1:45" x14ac:dyDescent="0.45">
      <c r="A185" t="str">
        <f>IF(Allocation!BI185="","",Allocation!BI185)</f>
        <v>2027</v>
      </c>
      <c r="B185" t="str">
        <f>IF(Allocation!BJ185="","",Allocation!BJ185)</f>
        <v>IPAC_NAN</v>
      </c>
      <c r="C185" t="str">
        <f>IF(Allocation!BK185="","",Allocation!BK185)</f>
        <v>IPAC</v>
      </c>
      <c r="D185" t="str">
        <f>IF(Allocation!BL185="","",Allocation!BL185)</f>
        <v>BAC_CCE</v>
      </c>
      <c r="E185" t="str">
        <f>IF(Allocation!BM185="","",Allocation!BM185)</f>
        <v>B1</v>
      </c>
      <c r="F185" t="str">
        <f>IF(Allocation!BN185="","",Allocation!BN185)</f>
        <v>ALT</v>
      </c>
      <c r="G185">
        <f>IF(Allocation!BO185="","",Allocation!BO185)</f>
        <v>55.832531000000003</v>
      </c>
      <c r="H185">
        <f>IF(Allocation!BP185="","",Allocation!BP185)</f>
        <v>2</v>
      </c>
      <c r="I185">
        <f>IF(Allocation!BQ185="","",Allocation!BQ185)</f>
        <v>396929.37514999998</v>
      </c>
      <c r="J185">
        <f>IF(Allocation!CC185="","",Allocation!CC185)</f>
        <v>55.832531000000003</v>
      </c>
      <c r="K185">
        <f t="shared" si="38"/>
        <v>960</v>
      </c>
      <c r="L185">
        <f t="shared" si="39"/>
        <v>151.322531</v>
      </c>
      <c r="M185">
        <f t="shared" si="40"/>
        <v>6</v>
      </c>
      <c r="N185">
        <f t="shared" si="41"/>
        <v>1067200.8998</v>
      </c>
      <c r="O185">
        <f t="shared" si="42"/>
        <v>2880</v>
      </c>
      <c r="P185">
        <f t="shared" si="43"/>
        <v>55.832531000000003</v>
      </c>
      <c r="Q185">
        <f t="shared" si="44"/>
        <v>395.57672199999996</v>
      </c>
      <c r="R185">
        <f t="shared" si="45"/>
        <v>18</v>
      </c>
      <c r="S185">
        <f t="shared" si="46"/>
        <v>2704017.9671089998</v>
      </c>
      <c r="T185">
        <f t="shared" si="47"/>
        <v>3253.6168479999983</v>
      </c>
      <c r="U185">
        <f t="shared" si="48"/>
        <v>135</v>
      </c>
      <c r="V185">
        <f t="shared" si="49"/>
        <v>24231703.809424989</v>
      </c>
      <c r="W185">
        <f>IF($A185="","",Allocation!CD185)</f>
        <v>74584.324575000006</v>
      </c>
      <c r="X185">
        <f>IF($A185="","",Allocation!CE185)</f>
        <v>179282.79018000001</v>
      </c>
      <c r="Y185">
        <f>IF($A185="","",Allocation!CF185)</f>
        <v>55552.647064999997</v>
      </c>
      <c r="Z185">
        <f>IF($A185="","",Allocation!CG185)</f>
        <v>23500.799999999999</v>
      </c>
      <c r="AA185">
        <f>IF($A185="","",Allocation!CH185)</f>
        <v>405388.681538</v>
      </c>
      <c r="AB185">
        <f>IF($A185="","",Allocation!CI185)</f>
        <v>2975861.5814200002</v>
      </c>
      <c r="AC185">
        <f>IF($A185="","",IF(Allocation!$N$4="VOL_EFF",$G185,IF(Allocation!$N$4="VOL_CLASS",$H185,$I185)))</f>
        <v>2</v>
      </c>
      <c r="AD185">
        <f>IF($A185="","",IF(Allocation!$N$4="VOL_EFF",$L185,IF(Allocation!$N$4="VOL_CLASS",$M185,$N185)))</f>
        <v>6</v>
      </c>
      <c r="AE185">
        <f>IF($A185="","",IF(Allocation!$N$3="VOL_EFF",$L185,IF(Allocation!$N$3="VOL_CLASS",$M185,$N185)))</f>
        <v>151.322531</v>
      </c>
      <c r="AF185">
        <f>IF($A185="","",IF(Allocation!$N$3="VOL_EFF",$Q185,IF(Allocation!$N$3="VOL_CLASS",$R185,$S185)))</f>
        <v>395.57672199999996</v>
      </c>
      <c r="AG185">
        <f>IF($A185="","",IF(Allocation!$N$1="VOL_EFF",$Q185,IF(Allocation!$N$1="VOL_CLASS",$R185,$S185)))</f>
        <v>395.57672199999996</v>
      </c>
      <c r="AH185">
        <f>IF($A185="","",IF(Allocation!$N$1="VOL_EFF",$T185,IF(Allocation!$N$1="VOL_CLASS",$U185,$V185)))</f>
        <v>3253.6168479999983</v>
      </c>
      <c r="AI185">
        <f t="shared" si="50"/>
        <v>24861.441525000002</v>
      </c>
      <c r="AJ185">
        <f t="shared" si="51"/>
        <v>59760.930059999999</v>
      </c>
      <c r="AK185">
        <f t="shared" si="52"/>
        <v>43997.713902323449</v>
      </c>
      <c r="AL185">
        <f t="shared" si="53"/>
        <v>135129.56051266665</v>
      </c>
      <c r="AM185">
        <f t="shared" si="54"/>
        <v>46134.801918767829</v>
      </c>
      <c r="AN185">
        <f t="shared" si="55"/>
        <v>76458.78895249241</v>
      </c>
      <c r="AO185">
        <f>IF($A185="","",Allocation!CJ185)</f>
        <v>743978.4</v>
      </c>
      <c r="AP185">
        <f>IF($A185="","",IF(Allocation!$N$2="VOL_EFF",$Q185,IF(Allocation!$N$2="VOL_CLASS",$R185,$S185)))</f>
        <v>2704017.9671089998</v>
      </c>
      <c r="AQ185">
        <f>IF($A185="","",IF(Allocation!$N$2="VOL_EFF",$T185,IF(Allocation!$N$2="VOL_CLASS",$U185,$V185)))</f>
        <v>24231703.809424989</v>
      </c>
      <c r="AR185">
        <f t="shared" si="56"/>
        <v>10586.138278749673</v>
      </c>
      <c r="AS185" t="str">
        <f>IF($A185="","",$A185&amp;"|"&amp;Allocation!BG185)</f>
        <v>2027|V01</v>
      </c>
    </row>
    <row r="186" spans="1:45" x14ac:dyDescent="0.45">
      <c r="A186" t="str">
        <f>IF(Allocation!BI186="","",Allocation!BI186)</f>
        <v>2027</v>
      </c>
      <c r="B186" t="str">
        <f>IF(Allocation!BJ186="","",Allocation!BJ186)</f>
        <v>IPAC_NAN</v>
      </c>
      <c r="C186" t="str">
        <f>IF(Allocation!BK186="","",Allocation!BK186)</f>
        <v>IPAC</v>
      </c>
      <c r="D186" t="str">
        <f>IF(Allocation!BL186="","",Allocation!BL186)</f>
        <v>BAC_CCE</v>
      </c>
      <c r="E186" t="str">
        <f>IF(Allocation!BM186="","",Allocation!BM186)</f>
        <v>B2</v>
      </c>
      <c r="F186" t="str">
        <f>IF(Allocation!BN186="","",Allocation!BN186)</f>
        <v>ALT</v>
      </c>
      <c r="G186">
        <f>IF(Allocation!BO186="","",Allocation!BO186)</f>
        <v>48.25</v>
      </c>
      <c r="H186">
        <f>IF(Allocation!BP186="","",Allocation!BP186)</f>
        <v>2</v>
      </c>
      <c r="I186">
        <f>IF(Allocation!BQ186="","",Allocation!BQ186)</f>
        <v>338680.50124999997</v>
      </c>
      <c r="J186">
        <f>IF(Allocation!CC186="","",Allocation!CC186)</f>
        <v>0</v>
      </c>
      <c r="K186">
        <f t="shared" si="38"/>
        <v>960</v>
      </c>
      <c r="L186">
        <f t="shared" si="39"/>
        <v>151.322531</v>
      </c>
      <c r="M186">
        <f t="shared" si="40"/>
        <v>6</v>
      </c>
      <c r="N186">
        <f t="shared" si="41"/>
        <v>1067200.8998</v>
      </c>
      <c r="O186">
        <f t="shared" si="42"/>
        <v>2880</v>
      </c>
      <c r="P186">
        <f t="shared" si="43"/>
        <v>55.832531000000003</v>
      </c>
      <c r="Q186">
        <f t="shared" si="44"/>
        <v>395.57672199999996</v>
      </c>
      <c r="R186">
        <f t="shared" si="45"/>
        <v>18</v>
      </c>
      <c r="S186">
        <f t="shared" si="46"/>
        <v>2704017.9671089998</v>
      </c>
      <c r="T186">
        <f t="shared" si="47"/>
        <v>3253.6168479999983</v>
      </c>
      <c r="U186">
        <f t="shared" si="48"/>
        <v>135</v>
      </c>
      <c r="V186">
        <f t="shared" si="49"/>
        <v>24231703.809424989</v>
      </c>
      <c r="W186">
        <f>IF($A186="","",Allocation!CD186)</f>
        <v>74584.324575000006</v>
      </c>
      <c r="X186">
        <f>IF($A186="","",Allocation!CE186)</f>
        <v>179282.79018000001</v>
      </c>
      <c r="Y186">
        <f>IF($A186="","",Allocation!CF186)</f>
        <v>55552.647064999997</v>
      </c>
      <c r="Z186">
        <f>IF($A186="","",Allocation!CG186)</f>
        <v>23500.799999999999</v>
      </c>
      <c r="AA186">
        <f>IF($A186="","",Allocation!CH186)</f>
        <v>405388.681538</v>
      </c>
      <c r="AB186">
        <f>IF($A186="","",Allocation!CI186)</f>
        <v>2975861.5814200002</v>
      </c>
      <c r="AC186">
        <f>IF($A186="","",IF(Allocation!$N$4="VOL_EFF",$G186,IF(Allocation!$N$4="VOL_CLASS",$H186,$I186)))</f>
        <v>2</v>
      </c>
      <c r="AD186">
        <f>IF($A186="","",IF(Allocation!$N$4="VOL_EFF",$L186,IF(Allocation!$N$4="VOL_CLASS",$M186,$N186)))</f>
        <v>6</v>
      </c>
      <c r="AE186">
        <f>IF($A186="","",IF(Allocation!$N$3="VOL_EFF",$L186,IF(Allocation!$N$3="VOL_CLASS",$M186,$N186)))</f>
        <v>151.322531</v>
      </c>
      <c r="AF186">
        <f>IF($A186="","",IF(Allocation!$N$3="VOL_EFF",$Q186,IF(Allocation!$N$3="VOL_CLASS",$R186,$S186)))</f>
        <v>395.57672199999996</v>
      </c>
      <c r="AG186">
        <f>IF($A186="","",IF(Allocation!$N$1="VOL_EFF",$Q186,IF(Allocation!$N$1="VOL_CLASS",$R186,$S186)))</f>
        <v>395.57672199999996</v>
      </c>
      <c r="AH186">
        <f>IF($A186="","",IF(Allocation!$N$1="VOL_EFF",$T186,IF(Allocation!$N$1="VOL_CLASS",$U186,$V186)))</f>
        <v>3253.6168479999983</v>
      </c>
      <c r="AI186">
        <f t="shared" si="50"/>
        <v>24861.441525000002</v>
      </c>
      <c r="AJ186">
        <f t="shared" si="51"/>
        <v>59760.930059999999</v>
      </c>
      <c r="AK186">
        <f t="shared" si="52"/>
        <v>17713.259242843684</v>
      </c>
      <c r="AL186">
        <f t="shared" si="53"/>
        <v>135129.56051266665</v>
      </c>
      <c r="AM186">
        <f t="shared" si="54"/>
        <v>46134.801918767829</v>
      </c>
      <c r="AN186">
        <f t="shared" si="55"/>
        <v>44494.369711972191</v>
      </c>
      <c r="AO186">
        <f>IF($A186="","",Allocation!CJ186)</f>
        <v>743978.4</v>
      </c>
      <c r="AP186">
        <f>IF($A186="","",IF(Allocation!$N$2="VOL_EFF",$Q186,IF(Allocation!$N$2="VOL_CLASS",$R186,$S186)))</f>
        <v>2704017.9671089998</v>
      </c>
      <c r="AQ186">
        <f>IF($A186="","",IF(Allocation!$N$2="VOL_EFF",$T186,IF(Allocation!$N$2="VOL_CLASS",$U186,$V186)))</f>
        <v>24231703.809424989</v>
      </c>
      <c r="AR186">
        <f t="shared" si="56"/>
        <v>10586.138278749673</v>
      </c>
      <c r="AS186" t="str">
        <f>IF($A186="","",$A186&amp;"|"&amp;Allocation!BG186)</f>
        <v>2027|V01</v>
      </c>
    </row>
    <row r="187" spans="1:45" x14ac:dyDescent="0.45">
      <c r="A187" t="str">
        <f>IF(Allocation!BI187="","",Allocation!BI187)</f>
        <v>2027</v>
      </c>
      <c r="B187" t="str">
        <f>IF(Allocation!BJ187="","",Allocation!BJ187)</f>
        <v>IPAC_NAN</v>
      </c>
      <c r="C187" t="str">
        <f>IF(Allocation!BK187="","",Allocation!BK187)</f>
        <v>IPAC</v>
      </c>
      <c r="D187" t="str">
        <f>IF(Allocation!BL187="","",Allocation!BL187)</f>
        <v>BAC_CCE</v>
      </c>
      <c r="E187" t="str">
        <f>IF(Allocation!BM187="","",Allocation!BM187)</f>
        <v>B3</v>
      </c>
      <c r="F187" t="str">
        <f>IF(Allocation!BN187="","",Allocation!BN187)</f>
        <v>ALT</v>
      </c>
      <c r="G187">
        <f>IF(Allocation!BO187="","",Allocation!BO187)</f>
        <v>47.24</v>
      </c>
      <c r="H187">
        <f>IF(Allocation!BP187="","",Allocation!BP187)</f>
        <v>2</v>
      </c>
      <c r="I187">
        <f>IF(Allocation!BQ187="","",Allocation!BQ187)</f>
        <v>331591.02340000001</v>
      </c>
      <c r="J187">
        <f>IF(Allocation!CC187="","",Allocation!CC187)</f>
        <v>0</v>
      </c>
      <c r="K187">
        <f t="shared" si="38"/>
        <v>960</v>
      </c>
      <c r="L187">
        <f t="shared" si="39"/>
        <v>151.322531</v>
      </c>
      <c r="M187">
        <f t="shared" si="40"/>
        <v>6</v>
      </c>
      <c r="N187">
        <f t="shared" si="41"/>
        <v>1067200.8998</v>
      </c>
      <c r="O187">
        <f t="shared" si="42"/>
        <v>2880</v>
      </c>
      <c r="P187">
        <f t="shared" si="43"/>
        <v>55.832531000000003</v>
      </c>
      <c r="Q187">
        <f t="shared" si="44"/>
        <v>395.57672199999996</v>
      </c>
      <c r="R187">
        <f t="shared" si="45"/>
        <v>18</v>
      </c>
      <c r="S187">
        <f t="shared" si="46"/>
        <v>2704017.9671089998</v>
      </c>
      <c r="T187">
        <f t="shared" si="47"/>
        <v>3253.6168479999983</v>
      </c>
      <c r="U187">
        <f t="shared" si="48"/>
        <v>135</v>
      </c>
      <c r="V187">
        <f t="shared" si="49"/>
        <v>24231703.809424989</v>
      </c>
      <c r="W187">
        <f>IF($A187="","",Allocation!CD187)</f>
        <v>74584.324575000006</v>
      </c>
      <c r="X187">
        <f>IF($A187="","",Allocation!CE187)</f>
        <v>179282.79018000001</v>
      </c>
      <c r="Y187">
        <f>IF($A187="","",Allocation!CF187)</f>
        <v>55552.647064999997</v>
      </c>
      <c r="Z187">
        <f>IF($A187="","",Allocation!CG187)</f>
        <v>23500.799999999999</v>
      </c>
      <c r="AA187">
        <f>IF($A187="","",Allocation!CH187)</f>
        <v>405388.681538</v>
      </c>
      <c r="AB187">
        <f>IF($A187="","",Allocation!CI187)</f>
        <v>2975861.5814200002</v>
      </c>
      <c r="AC187">
        <f>IF($A187="","",IF(Allocation!$N$4="VOL_EFF",$G187,IF(Allocation!$N$4="VOL_CLASS",$H187,$I187)))</f>
        <v>2</v>
      </c>
      <c r="AD187">
        <f>IF($A187="","",IF(Allocation!$N$4="VOL_EFF",$L187,IF(Allocation!$N$4="VOL_CLASS",$M187,$N187)))</f>
        <v>6</v>
      </c>
      <c r="AE187">
        <f>IF($A187="","",IF(Allocation!$N$3="VOL_EFF",$L187,IF(Allocation!$N$3="VOL_CLASS",$M187,$N187)))</f>
        <v>151.322531</v>
      </c>
      <c r="AF187">
        <f>IF($A187="","",IF(Allocation!$N$3="VOL_EFF",$Q187,IF(Allocation!$N$3="VOL_CLASS",$R187,$S187)))</f>
        <v>395.57672199999996</v>
      </c>
      <c r="AG187">
        <f>IF($A187="","",IF(Allocation!$N$1="VOL_EFF",$Q187,IF(Allocation!$N$1="VOL_CLASS",$R187,$S187)))</f>
        <v>395.57672199999996</v>
      </c>
      <c r="AH187">
        <f>IF($A187="","",IF(Allocation!$N$1="VOL_EFF",$T187,IF(Allocation!$N$1="VOL_CLASS",$U187,$V187)))</f>
        <v>3253.6168479999983</v>
      </c>
      <c r="AI187">
        <f t="shared" si="50"/>
        <v>24861.441525000002</v>
      </c>
      <c r="AJ187">
        <f t="shared" si="51"/>
        <v>59760.930059999999</v>
      </c>
      <c r="AK187">
        <f t="shared" si="52"/>
        <v>17342.473919832864</v>
      </c>
      <c r="AL187">
        <f t="shared" si="53"/>
        <v>135129.56051266665</v>
      </c>
      <c r="AM187">
        <f t="shared" si="54"/>
        <v>46134.801918767829</v>
      </c>
      <c r="AN187">
        <f t="shared" si="55"/>
        <v>37775.677184982982</v>
      </c>
      <c r="AO187">
        <f>IF($A187="","",Allocation!CJ187)</f>
        <v>743978.4</v>
      </c>
      <c r="AP187">
        <f>IF($A187="","",IF(Allocation!$N$2="VOL_EFF",$Q187,IF(Allocation!$N$2="VOL_CLASS",$R187,$S187)))</f>
        <v>2704017.9671089998</v>
      </c>
      <c r="AQ187">
        <f>IF($A187="","",IF(Allocation!$N$2="VOL_EFF",$T187,IF(Allocation!$N$2="VOL_CLASS",$U187,$V187)))</f>
        <v>24231703.809424989</v>
      </c>
      <c r="AR187">
        <f t="shared" si="56"/>
        <v>10586.138278749673</v>
      </c>
      <c r="AS187" t="str">
        <f>IF($A187="","",$A187&amp;"|"&amp;Allocation!BG187)</f>
        <v>2027|V01</v>
      </c>
    </row>
    <row r="188" spans="1:45" x14ac:dyDescent="0.45">
      <c r="A188" t="str">
        <f>IF(Allocation!BI188="","",Allocation!BI188)</f>
        <v>2027</v>
      </c>
      <c r="B188" t="str">
        <f>IF(Allocation!BJ188="","",Allocation!BJ188)</f>
        <v>IPAC_REN</v>
      </c>
      <c r="C188" t="str">
        <f>IF(Allocation!BK188="","",Allocation!BK188)</f>
        <v>IPAC</v>
      </c>
      <c r="D188" t="str">
        <f>IF(Allocation!BL188="","",Allocation!BL188)</f>
        <v>BAC_CCE</v>
      </c>
      <c r="E188" t="str">
        <f>IF(Allocation!BM188="","",Allocation!BM188)</f>
        <v>B1</v>
      </c>
      <c r="F188" t="str">
        <f>IF(Allocation!BN188="","",Allocation!BN188)</f>
        <v>ALT</v>
      </c>
      <c r="G188">
        <f>IF(Allocation!BO188="","",Allocation!BO188)</f>
        <v>44.726591999999997</v>
      </c>
      <c r="H188">
        <f>IF(Allocation!BP188="","",Allocation!BP188)</f>
        <v>2</v>
      </c>
      <c r="I188">
        <f>IF(Allocation!BQ188="","",Allocation!BQ188)</f>
        <v>302276.65479</v>
      </c>
      <c r="J188">
        <f>IF(Allocation!CC188="","",Allocation!CC188)</f>
        <v>44.726591999999997</v>
      </c>
      <c r="K188">
        <f t="shared" si="38"/>
        <v>960</v>
      </c>
      <c r="L188">
        <f t="shared" si="39"/>
        <v>122.12159199999999</v>
      </c>
      <c r="M188">
        <f t="shared" si="40"/>
        <v>6</v>
      </c>
      <c r="N188">
        <f t="shared" si="41"/>
        <v>818371.33923600009</v>
      </c>
      <c r="O188">
        <f t="shared" si="42"/>
        <v>2880</v>
      </c>
      <c r="P188">
        <f t="shared" si="43"/>
        <v>44.726591999999997</v>
      </c>
      <c r="Q188">
        <f t="shared" si="44"/>
        <v>395.57672199999996</v>
      </c>
      <c r="R188">
        <f t="shared" si="45"/>
        <v>18</v>
      </c>
      <c r="S188">
        <f t="shared" si="46"/>
        <v>2704017.9671089998</v>
      </c>
      <c r="T188">
        <f t="shared" si="47"/>
        <v>3253.6168479999983</v>
      </c>
      <c r="U188">
        <f t="shared" si="48"/>
        <v>135</v>
      </c>
      <c r="V188">
        <f t="shared" si="49"/>
        <v>24231703.809424989</v>
      </c>
      <c r="W188">
        <f>IF($A188="","",Allocation!CD188)</f>
        <v>74584.324575000006</v>
      </c>
      <c r="X188">
        <f>IF($A188="","",Allocation!CE188)</f>
        <v>145155.75958000001</v>
      </c>
      <c r="Y188">
        <f>IF($A188="","",Allocation!CF188)</f>
        <v>44824.934018</v>
      </c>
      <c r="Z188">
        <f>IF($A188="","",Allocation!CG188)</f>
        <v>16127.64</v>
      </c>
      <c r="AA188">
        <f>IF($A188="","",Allocation!CH188)</f>
        <v>284971.09920699999</v>
      </c>
      <c r="AB188">
        <f>IF($A188="","",Allocation!CI188)</f>
        <v>2975861.5814200002</v>
      </c>
      <c r="AC188">
        <f>IF($A188="","",IF(Allocation!$N$4="VOL_EFF",$G188,IF(Allocation!$N$4="VOL_CLASS",$H188,$I188)))</f>
        <v>2</v>
      </c>
      <c r="AD188">
        <f>IF($A188="","",IF(Allocation!$N$4="VOL_EFF",$L188,IF(Allocation!$N$4="VOL_CLASS",$M188,$N188)))</f>
        <v>6</v>
      </c>
      <c r="AE188">
        <f>IF($A188="","",IF(Allocation!$N$3="VOL_EFF",$L188,IF(Allocation!$N$3="VOL_CLASS",$M188,$N188)))</f>
        <v>122.12159199999999</v>
      </c>
      <c r="AF188">
        <f>IF($A188="","",IF(Allocation!$N$3="VOL_EFF",$Q188,IF(Allocation!$N$3="VOL_CLASS",$R188,$S188)))</f>
        <v>395.57672199999996</v>
      </c>
      <c r="AG188">
        <f>IF($A188="","",IF(Allocation!$N$1="VOL_EFF",$Q188,IF(Allocation!$N$1="VOL_CLASS",$R188,$S188)))</f>
        <v>395.57672199999996</v>
      </c>
      <c r="AH188">
        <f>IF($A188="","",IF(Allocation!$N$1="VOL_EFF",$T188,IF(Allocation!$N$1="VOL_CLASS",$U188,$V188)))</f>
        <v>3253.6168479999983</v>
      </c>
      <c r="AI188">
        <f t="shared" si="50"/>
        <v>24861.441525000002</v>
      </c>
      <c r="AJ188">
        <f t="shared" si="51"/>
        <v>48385.253193333338</v>
      </c>
      <c r="AK188">
        <f t="shared" si="52"/>
        <v>32544.610188613384</v>
      </c>
      <c r="AL188">
        <f t="shared" si="53"/>
        <v>94990.366402333326</v>
      </c>
      <c r="AM188">
        <f t="shared" si="54"/>
        <v>37232.099011908416</v>
      </c>
      <c r="AN188">
        <f t="shared" si="55"/>
        <v>55719.569397422427</v>
      </c>
      <c r="AO188">
        <f>IF($A188="","",Allocation!CJ188)</f>
        <v>743978.4</v>
      </c>
      <c r="AP188">
        <f>IF($A188="","",IF(Allocation!$N$2="VOL_EFF",$Q188,IF(Allocation!$N$2="VOL_CLASS",$R188,$S188)))</f>
        <v>2704017.9671089998</v>
      </c>
      <c r="AQ188">
        <f>IF($A188="","",IF(Allocation!$N$2="VOL_EFF",$T188,IF(Allocation!$N$2="VOL_CLASS",$U188,$V188)))</f>
        <v>24231703.809424989</v>
      </c>
      <c r="AR188">
        <f t="shared" si="56"/>
        <v>8543.3150713891355</v>
      </c>
      <c r="AS188" t="str">
        <f>IF($A188="","",$A188&amp;"|"&amp;Allocation!BG188)</f>
        <v>2027|V01</v>
      </c>
    </row>
    <row r="189" spans="1:45" x14ac:dyDescent="0.45">
      <c r="A189" t="str">
        <f>IF(Allocation!BI189="","",Allocation!BI189)</f>
        <v>2027</v>
      </c>
      <c r="B189" t="str">
        <f>IF(Allocation!BJ189="","",Allocation!BJ189)</f>
        <v>IPAC_REN</v>
      </c>
      <c r="C189" t="str">
        <f>IF(Allocation!BK189="","",Allocation!BK189)</f>
        <v>IPAC</v>
      </c>
      <c r="D189" t="str">
        <f>IF(Allocation!BL189="","",Allocation!BL189)</f>
        <v>BAC_CCE</v>
      </c>
      <c r="E189" t="str">
        <f>IF(Allocation!BM189="","",Allocation!BM189)</f>
        <v>B2</v>
      </c>
      <c r="F189" t="str">
        <f>IF(Allocation!BN189="","",Allocation!BN189)</f>
        <v>ALT</v>
      </c>
      <c r="G189">
        <f>IF(Allocation!BO189="","",Allocation!BO189)</f>
        <v>39.200000000000003</v>
      </c>
      <c r="H189">
        <f>IF(Allocation!BP189="","",Allocation!BP189)</f>
        <v>2</v>
      </c>
      <c r="I189">
        <f>IF(Allocation!BQ189="","",Allocation!BQ189)</f>
        <v>261398.1734</v>
      </c>
      <c r="J189">
        <f>IF(Allocation!CC189="","",Allocation!CC189)</f>
        <v>0</v>
      </c>
      <c r="K189">
        <f t="shared" si="38"/>
        <v>960</v>
      </c>
      <c r="L189">
        <f t="shared" si="39"/>
        <v>122.12159199999999</v>
      </c>
      <c r="M189">
        <f t="shared" si="40"/>
        <v>6</v>
      </c>
      <c r="N189">
        <f t="shared" si="41"/>
        <v>818371.33923600009</v>
      </c>
      <c r="O189">
        <f t="shared" si="42"/>
        <v>2880</v>
      </c>
      <c r="P189">
        <f t="shared" si="43"/>
        <v>44.726591999999997</v>
      </c>
      <c r="Q189">
        <f t="shared" si="44"/>
        <v>395.57672199999996</v>
      </c>
      <c r="R189">
        <f t="shared" si="45"/>
        <v>18</v>
      </c>
      <c r="S189">
        <f t="shared" si="46"/>
        <v>2704017.9671089998</v>
      </c>
      <c r="T189">
        <f t="shared" si="47"/>
        <v>3253.6168479999983</v>
      </c>
      <c r="U189">
        <f t="shared" si="48"/>
        <v>135</v>
      </c>
      <c r="V189">
        <f t="shared" si="49"/>
        <v>24231703.809424989</v>
      </c>
      <c r="W189">
        <f>IF($A189="","",Allocation!CD189)</f>
        <v>74584.324575000006</v>
      </c>
      <c r="X189">
        <f>IF($A189="","",Allocation!CE189)</f>
        <v>145155.75958000001</v>
      </c>
      <c r="Y189">
        <f>IF($A189="","",Allocation!CF189)</f>
        <v>44824.934018</v>
      </c>
      <c r="Z189">
        <f>IF($A189="","",Allocation!CG189)</f>
        <v>16127.64</v>
      </c>
      <c r="AA189">
        <f>IF($A189="","",Allocation!CH189)</f>
        <v>284971.09920699999</v>
      </c>
      <c r="AB189">
        <f>IF($A189="","",Allocation!CI189)</f>
        <v>2975861.5814200002</v>
      </c>
      <c r="AC189">
        <f>IF($A189="","",IF(Allocation!$N$4="VOL_EFF",$G189,IF(Allocation!$N$4="VOL_CLASS",$H189,$I189)))</f>
        <v>2</v>
      </c>
      <c r="AD189">
        <f>IF($A189="","",IF(Allocation!$N$4="VOL_EFF",$L189,IF(Allocation!$N$4="VOL_CLASS",$M189,$N189)))</f>
        <v>6</v>
      </c>
      <c r="AE189">
        <f>IF($A189="","",IF(Allocation!$N$3="VOL_EFF",$L189,IF(Allocation!$N$3="VOL_CLASS",$M189,$N189)))</f>
        <v>122.12159199999999</v>
      </c>
      <c r="AF189">
        <f>IF($A189="","",IF(Allocation!$N$3="VOL_EFF",$Q189,IF(Allocation!$N$3="VOL_CLASS",$R189,$S189)))</f>
        <v>395.57672199999996</v>
      </c>
      <c r="AG189">
        <f>IF($A189="","",IF(Allocation!$N$1="VOL_EFF",$Q189,IF(Allocation!$N$1="VOL_CLASS",$R189,$S189)))</f>
        <v>395.57672199999996</v>
      </c>
      <c r="AH189">
        <f>IF($A189="","",IF(Allocation!$N$1="VOL_EFF",$T189,IF(Allocation!$N$1="VOL_CLASS",$U189,$V189)))</f>
        <v>3253.6168479999983</v>
      </c>
      <c r="AI189">
        <f t="shared" si="50"/>
        <v>24861.441525000002</v>
      </c>
      <c r="AJ189">
        <f t="shared" si="51"/>
        <v>48385.253193333338</v>
      </c>
      <c r="AK189">
        <f t="shared" si="52"/>
        <v>14388.425377762847</v>
      </c>
      <c r="AL189">
        <f t="shared" si="53"/>
        <v>94990.366402333326</v>
      </c>
      <c r="AM189">
        <f t="shared" si="54"/>
        <v>37232.099011908416</v>
      </c>
      <c r="AN189">
        <f t="shared" si="55"/>
        <v>32997.272818272962</v>
      </c>
      <c r="AO189">
        <f>IF($A189="","",Allocation!CJ189)</f>
        <v>743978.4</v>
      </c>
      <c r="AP189">
        <f>IF($A189="","",IF(Allocation!$N$2="VOL_EFF",$Q189,IF(Allocation!$N$2="VOL_CLASS",$R189,$S189)))</f>
        <v>2704017.9671089998</v>
      </c>
      <c r="AQ189">
        <f>IF($A189="","",IF(Allocation!$N$2="VOL_EFF",$T189,IF(Allocation!$N$2="VOL_CLASS",$U189,$V189)))</f>
        <v>24231703.809424989</v>
      </c>
      <c r="AR189">
        <f t="shared" si="56"/>
        <v>8543.3150713891355</v>
      </c>
      <c r="AS189" t="str">
        <f>IF($A189="","",$A189&amp;"|"&amp;Allocation!BG189)</f>
        <v>2027|V01</v>
      </c>
    </row>
    <row r="190" spans="1:45" x14ac:dyDescent="0.45">
      <c r="A190" t="str">
        <f>IF(Allocation!BI190="","",Allocation!BI190)</f>
        <v>2027</v>
      </c>
      <c r="B190" t="str">
        <f>IF(Allocation!BJ190="","",Allocation!BJ190)</f>
        <v>IPAC_REN</v>
      </c>
      <c r="C190" t="str">
        <f>IF(Allocation!BK190="","",Allocation!BK190)</f>
        <v>IPAC</v>
      </c>
      <c r="D190" t="str">
        <f>IF(Allocation!BL190="","",Allocation!BL190)</f>
        <v>BAC_CCE</v>
      </c>
      <c r="E190" t="str">
        <f>IF(Allocation!BM190="","",Allocation!BM190)</f>
        <v>B3</v>
      </c>
      <c r="F190" t="str">
        <f>IF(Allocation!BN190="","",Allocation!BN190)</f>
        <v>ALT</v>
      </c>
      <c r="G190">
        <f>IF(Allocation!BO190="","",Allocation!BO190)</f>
        <v>38.195</v>
      </c>
      <c r="H190">
        <f>IF(Allocation!BP190="","",Allocation!BP190)</f>
        <v>2</v>
      </c>
      <c r="I190">
        <f>IF(Allocation!BQ190="","",Allocation!BQ190)</f>
        <v>254696.511046</v>
      </c>
      <c r="J190">
        <f>IF(Allocation!CC190="","",Allocation!CC190)</f>
        <v>0</v>
      </c>
      <c r="K190">
        <f t="shared" si="38"/>
        <v>960</v>
      </c>
      <c r="L190">
        <f t="shared" si="39"/>
        <v>122.12159199999999</v>
      </c>
      <c r="M190">
        <f t="shared" si="40"/>
        <v>6</v>
      </c>
      <c r="N190">
        <f t="shared" si="41"/>
        <v>818371.33923600009</v>
      </c>
      <c r="O190">
        <f t="shared" si="42"/>
        <v>2880</v>
      </c>
      <c r="P190">
        <f t="shared" si="43"/>
        <v>44.726591999999997</v>
      </c>
      <c r="Q190">
        <f t="shared" si="44"/>
        <v>395.57672199999996</v>
      </c>
      <c r="R190">
        <f t="shared" si="45"/>
        <v>18</v>
      </c>
      <c r="S190">
        <f t="shared" si="46"/>
        <v>2704017.9671089998</v>
      </c>
      <c r="T190">
        <f t="shared" si="47"/>
        <v>3253.6168479999983</v>
      </c>
      <c r="U190">
        <f t="shared" si="48"/>
        <v>135</v>
      </c>
      <c r="V190">
        <f t="shared" si="49"/>
        <v>24231703.809424989</v>
      </c>
      <c r="W190">
        <f>IF($A190="","",Allocation!CD190)</f>
        <v>74584.324575000006</v>
      </c>
      <c r="X190">
        <f>IF($A190="","",Allocation!CE190)</f>
        <v>145155.75958000001</v>
      </c>
      <c r="Y190">
        <f>IF($A190="","",Allocation!CF190)</f>
        <v>44824.934018</v>
      </c>
      <c r="Z190">
        <f>IF($A190="","",Allocation!CG190)</f>
        <v>16127.64</v>
      </c>
      <c r="AA190">
        <f>IF($A190="","",Allocation!CH190)</f>
        <v>284971.09920699999</v>
      </c>
      <c r="AB190">
        <f>IF($A190="","",Allocation!CI190)</f>
        <v>2975861.5814200002</v>
      </c>
      <c r="AC190">
        <f>IF($A190="","",IF(Allocation!$N$4="VOL_EFF",$G190,IF(Allocation!$N$4="VOL_CLASS",$H190,$I190)))</f>
        <v>2</v>
      </c>
      <c r="AD190">
        <f>IF($A190="","",IF(Allocation!$N$4="VOL_EFF",$L190,IF(Allocation!$N$4="VOL_CLASS",$M190,$N190)))</f>
        <v>6</v>
      </c>
      <c r="AE190">
        <f>IF($A190="","",IF(Allocation!$N$3="VOL_EFF",$L190,IF(Allocation!$N$3="VOL_CLASS",$M190,$N190)))</f>
        <v>122.12159199999999</v>
      </c>
      <c r="AF190">
        <f>IF($A190="","",IF(Allocation!$N$3="VOL_EFF",$Q190,IF(Allocation!$N$3="VOL_CLASS",$R190,$S190)))</f>
        <v>395.57672199999996</v>
      </c>
      <c r="AG190">
        <f>IF($A190="","",IF(Allocation!$N$1="VOL_EFF",$Q190,IF(Allocation!$N$1="VOL_CLASS",$R190,$S190)))</f>
        <v>395.57672199999996</v>
      </c>
      <c r="AH190">
        <f>IF($A190="","",IF(Allocation!$N$1="VOL_EFF",$T190,IF(Allocation!$N$1="VOL_CLASS",$U190,$V190)))</f>
        <v>3253.6168479999983</v>
      </c>
      <c r="AI190">
        <f t="shared" si="50"/>
        <v>24861.441525000002</v>
      </c>
      <c r="AJ190">
        <f t="shared" si="51"/>
        <v>48385.253193333338</v>
      </c>
      <c r="AK190">
        <f t="shared" si="52"/>
        <v>14019.538451623772</v>
      </c>
      <c r="AL190">
        <f t="shared" si="53"/>
        <v>94990.366402333326</v>
      </c>
      <c r="AM190">
        <f t="shared" si="54"/>
        <v>37232.099011908416</v>
      </c>
      <c r="AN190">
        <f t="shared" si="55"/>
        <v>26664.497390412027</v>
      </c>
      <c r="AO190">
        <f>IF($A190="","",Allocation!CJ190)</f>
        <v>743978.4</v>
      </c>
      <c r="AP190">
        <f>IF($A190="","",IF(Allocation!$N$2="VOL_EFF",$Q190,IF(Allocation!$N$2="VOL_CLASS",$R190,$S190)))</f>
        <v>2704017.9671089998</v>
      </c>
      <c r="AQ190">
        <f>IF($A190="","",IF(Allocation!$N$2="VOL_EFF",$T190,IF(Allocation!$N$2="VOL_CLASS",$U190,$V190)))</f>
        <v>24231703.809424989</v>
      </c>
      <c r="AR190">
        <f t="shared" si="56"/>
        <v>8543.3150713891355</v>
      </c>
      <c r="AS190" t="str">
        <f>IF($A190="","",$A190&amp;"|"&amp;Allocation!BG190)</f>
        <v>2027|V01</v>
      </c>
    </row>
    <row r="191" spans="1:45" x14ac:dyDescent="0.45">
      <c r="A191" t="str">
        <f>IF(Allocation!BI191="","",Allocation!BI191)</f>
        <v>2027</v>
      </c>
      <c r="B191" t="str">
        <f>IF(Allocation!BJ191="","",Allocation!BJ191)</f>
        <v>ISCOM_LIL</v>
      </c>
      <c r="C191" t="str">
        <f>IF(Allocation!BK191="","",Allocation!BK191)</f>
        <v>ISCOM</v>
      </c>
      <c r="D191" t="str">
        <f>IF(Allocation!BL191="","",Allocation!BL191)</f>
        <v>BAC_COM</v>
      </c>
      <c r="E191" t="str">
        <f>IF(Allocation!BM191="","",Allocation!BM191)</f>
        <v>B1</v>
      </c>
      <c r="F191" t="str">
        <f>IF(Allocation!BN191="","",Allocation!BN191)</f>
        <v>INIT</v>
      </c>
      <c r="G191">
        <f>IF(Allocation!BO191="","",Allocation!BO191)</f>
        <v>54.601405999999997</v>
      </c>
      <c r="H191">
        <f>IF(Allocation!BP191="","",Allocation!BP191)</f>
        <v>2</v>
      </c>
      <c r="I191">
        <f>IF(Allocation!BQ191="","",Allocation!BQ191)</f>
        <v>407572.863954</v>
      </c>
      <c r="J191">
        <f>IF(Allocation!CC191="","",Allocation!CC191)</f>
        <v>54.601405999999997</v>
      </c>
      <c r="K191">
        <f t="shared" si="38"/>
        <v>1200</v>
      </c>
      <c r="L191">
        <f t="shared" si="39"/>
        <v>255.08664200000001</v>
      </c>
      <c r="M191">
        <f t="shared" si="40"/>
        <v>10</v>
      </c>
      <c r="N191">
        <f t="shared" si="41"/>
        <v>1844124.619037</v>
      </c>
      <c r="O191">
        <f t="shared" si="42"/>
        <v>4800</v>
      </c>
      <c r="P191">
        <f t="shared" si="43"/>
        <v>110.346642</v>
      </c>
      <c r="Q191">
        <f t="shared" si="44"/>
        <v>865.92034200000012</v>
      </c>
      <c r="R191">
        <f t="shared" si="45"/>
        <v>35</v>
      </c>
      <c r="S191">
        <f t="shared" si="46"/>
        <v>6602533.1509509999</v>
      </c>
      <c r="T191">
        <f t="shared" si="47"/>
        <v>3253.6168479999983</v>
      </c>
      <c r="U191">
        <f t="shared" si="48"/>
        <v>135</v>
      </c>
      <c r="V191">
        <f t="shared" si="49"/>
        <v>24231703.809424989</v>
      </c>
      <c r="W191">
        <f>IF($A191="","",Allocation!CD191)</f>
        <v>124306.17799500001</v>
      </c>
      <c r="X191">
        <f>IF($A191="","",Allocation!CE191)</f>
        <v>303457.33522000001</v>
      </c>
      <c r="Y191">
        <f>IF($A191="","",Allocation!CF191)</f>
        <v>93481.120578999995</v>
      </c>
      <c r="Z191">
        <f>IF($A191="","",Allocation!CG191)</f>
        <v>27237.599999999999</v>
      </c>
      <c r="AA191">
        <f>IF($A191="","",Allocation!CH191)</f>
        <v>690691.55177799996</v>
      </c>
      <c r="AB191">
        <f>IF($A191="","",Allocation!CI191)</f>
        <v>2975861.5814200002</v>
      </c>
      <c r="AC191">
        <f>IF($A191="","",IF(Allocation!$N$4="VOL_EFF",$G191,IF(Allocation!$N$4="VOL_CLASS",$H191,$I191)))</f>
        <v>2</v>
      </c>
      <c r="AD191">
        <f>IF($A191="","",IF(Allocation!$N$4="VOL_EFF",$L191,IF(Allocation!$N$4="VOL_CLASS",$M191,$N191)))</f>
        <v>10</v>
      </c>
      <c r="AE191">
        <f>IF($A191="","",IF(Allocation!$N$3="VOL_EFF",$L191,IF(Allocation!$N$3="VOL_CLASS",$M191,$N191)))</f>
        <v>255.08664200000001</v>
      </c>
      <c r="AF191">
        <f>IF($A191="","",IF(Allocation!$N$3="VOL_EFF",$Q191,IF(Allocation!$N$3="VOL_CLASS",$R191,$S191)))</f>
        <v>865.92034200000012</v>
      </c>
      <c r="AG191">
        <f>IF($A191="","",IF(Allocation!$N$1="VOL_EFF",$Q191,IF(Allocation!$N$1="VOL_CLASS",$R191,$S191)))</f>
        <v>865.92034200000012</v>
      </c>
      <c r="AH191">
        <f>IF($A191="","",IF(Allocation!$N$1="VOL_EFF",$T191,IF(Allocation!$N$1="VOL_CLASS",$U191,$V191)))</f>
        <v>3253.6168479999983</v>
      </c>
      <c r="AI191">
        <f t="shared" si="50"/>
        <v>31076.544498750001</v>
      </c>
      <c r="AJ191">
        <f t="shared" si="51"/>
        <v>75864.333805000002</v>
      </c>
      <c r="AK191">
        <f t="shared" si="52"/>
        <v>33487.304667735138</v>
      </c>
      <c r="AL191">
        <f t="shared" si="53"/>
        <v>138138.3103556</v>
      </c>
      <c r="AM191">
        <f t="shared" si="54"/>
        <v>46662.073214174474</v>
      </c>
      <c r="AN191">
        <f t="shared" si="55"/>
        <v>70400.931567417108</v>
      </c>
      <c r="AO191">
        <f>IF($A191="","",Allocation!CJ191)</f>
        <v>743978.4</v>
      </c>
      <c r="AP191">
        <f>IF($A191="","",IF(Allocation!$N$2="VOL_EFF",$Q191,IF(Allocation!$N$2="VOL_CLASS",$R191,$S191)))</f>
        <v>6602533.1509509999</v>
      </c>
      <c r="AQ191">
        <f>IF($A191="","",IF(Allocation!$N$2="VOL_EFF",$T191,IF(Allocation!$N$2="VOL_CLASS",$U191,$V191)))</f>
        <v>24231703.809424989</v>
      </c>
      <c r="AR191">
        <f t="shared" si="56"/>
        <v>11943.365845323273</v>
      </c>
      <c r="AS191" t="str">
        <f>IF($A191="","",$A191&amp;"|"&amp;Allocation!BG191)</f>
        <v>2027|V01</v>
      </c>
    </row>
    <row r="192" spans="1:45" x14ac:dyDescent="0.45">
      <c r="A192" t="str">
        <f>IF(Allocation!BI192="","",Allocation!BI192)</f>
        <v>2027</v>
      </c>
      <c r="B192" t="str">
        <f>IF(Allocation!BJ192="","",Allocation!BJ192)</f>
        <v>ISCOM_LIL</v>
      </c>
      <c r="C192" t="str">
        <f>IF(Allocation!BK192="","",Allocation!BK192)</f>
        <v>ISCOM</v>
      </c>
      <c r="D192" t="str">
        <f>IF(Allocation!BL192="","",Allocation!BL192)</f>
        <v>BAC_COM</v>
      </c>
      <c r="E192" t="str">
        <f>IF(Allocation!BM192="","",Allocation!BM192)</f>
        <v>B2</v>
      </c>
      <c r="F192" t="str">
        <f>IF(Allocation!BN192="","",Allocation!BN192)</f>
        <v>ALT</v>
      </c>
      <c r="G192">
        <f>IF(Allocation!BO192="","",Allocation!BO192)</f>
        <v>48.25</v>
      </c>
      <c r="H192">
        <f>IF(Allocation!BP192="","",Allocation!BP192)</f>
        <v>2</v>
      </c>
      <c r="I192">
        <f>IF(Allocation!BQ192="","",Allocation!BQ192)</f>
        <v>332098.86832499999</v>
      </c>
      <c r="J192">
        <f>IF(Allocation!CC192="","",Allocation!CC192)</f>
        <v>0</v>
      </c>
      <c r="K192">
        <f t="shared" si="38"/>
        <v>960</v>
      </c>
      <c r="L192">
        <f t="shared" si="39"/>
        <v>255.08664200000001</v>
      </c>
      <c r="M192">
        <f t="shared" si="40"/>
        <v>10</v>
      </c>
      <c r="N192">
        <f t="shared" si="41"/>
        <v>1844124.619037</v>
      </c>
      <c r="O192">
        <f t="shared" si="42"/>
        <v>4800</v>
      </c>
      <c r="P192">
        <f t="shared" si="43"/>
        <v>110.346642</v>
      </c>
      <c r="Q192">
        <f t="shared" si="44"/>
        <v>865.92034200000012</v>
      </c>
      <c r="R192">
        <f t="shared" si="45"/>
        <v>35</v>
      </c>
      <c r="S192">
        <f t="shared" si="46"/>
        <v>6602533.1509509999</v>
      </c>
      <c r="T192">
        <f t="shared" si="47"/>
        <v>3253.6168479999983</v>
      </c>
      <c r="U192">
        <f t="shared" si="48"/>
        <v>135</v>
      </c>
      <c r="V192">
        <f t="shared" si="49"/>
        <v>24231703.809424989</v>
      </c>
      <c r="W192">
        <f>IF($A192="","",Allocation!CD192)</f>
        <v>124306.17799500001</v>
      </c>
      <c r="X192">
        <f>IF($A192="","",Allocation!CE192)</f>
        <v>303457.33522000001</v>
      </c>
      <c r="Y192">
        <f>IF($A192="","",Allocation!CF192)</f>
        <v>93481.120578999995</v>
      </c>
      <c r="Z192">
        <f>IF($A192="","",Allocation!CG192)</f>
        <v>27237.599999999999</v>
      </c>
      <c r="AA192">
        <f>IF($A192="","",Allocation!CH192)</f>
        <v>690691.55177799996</v>
      </c>
      <c r="AB192">
        <f>IF($A192="","",Allocation!CI192)</f>
        <v>2975861.5814200002</v>
      </c>
      <c r="AC192">
        <f>IF($A192="","",IF(Allocation!$N$4="VOL_EFF",$G192,IF(Allocation!$N$4="VOL_CLASS",$H192,$I192)))</f>
        <v>2</v>
      </c>
      <c r="AD192">
        <f>IF($A192="","",IF(Allocation!$N$4="VOL_EFF",$L192,IF(Allocation!$N$4="VOL_CLASS",$M192,$N192)))</f>
        <v>10</v>
      </c>
      <c r="AE192">
        <f>IF($A192="","",IF(Allocation!$N$3="VOL_EFF",$L192,IF(Allocation!$N$3="VOL_CLASS",$M192,$N192)))</f>
        <v>255.08664200000001</v>
      </c>
      <c r="AF192">
        <f>IF($A192="","",IF(Allocation!$N$3="VOL_EFF",$Q192,IF(Allocation!$N$3="VOL_CLASS",$R192,$S192)))</f>
        <v>865.92034200000012</v>
      </c>
      <c r="AG192">
        <f>IF($A192="","",IF(Allocation!$N$1="VOL_EFF",$Q192,IF(Allocation!$N$1="VOL_CLASS",$R192,$S192)))</f>
        <v>865.92034200000012</v>
      </c>
      <c r="AH192">
        <f>IF($A192="","",IF(Allocation!$N$1="VOL_EFF",$T192,IF(Allocation!$N$1="VOL_CLASS",$U192,$V192)))</f>
        <v>3253.6168479999983</v>
      </c>
      <c r="AI192">
        <f t="shared" si="50"/>
        <v>24861.235599000003</v>
      </c>
      <c r="AJ192">
        <f t="shared" si="51"/>
        <v>60691.467044000005</v>
      </c>
      <c r="AK192">
        <f t="shared" si="52"/>
        <v>17682.086496464795</v>
      </c>
      <c r="AL192">
        <f t="shared" si="53"/>
        <v>138138.3103556</v>
      </c>
      <c r="AM192">
        <f t="shared" si="54"/>
        <v>46662.073214174474</v>
      </c>
      <c r="AN192">
        <f t="shared" si="55"/>
        <v>32120.329770437442</v>
      </c>
      <c r="AO192">
        <f>IF($A192="","",Allocation!CJ192)</f>
        <v>743978.4</v>
      </c>
      <c r="AP192">
        <f>IF($A192="","",IF(Allocation!$N$2="VOL_EFF",$Q192,IF(Allocation!$N$2="VOL_CLASS",$R192,$S192)))</f>
        <v>6602533.1509509999</v>
      </c>
      <c r="AQ192">
        <f>IF($A192="","",IF(Allocation!$N$2="VOL_EFF",$T192,IF(Allocation!$N$2="VOL_CLASS",$U192,$V192)))</f>
        <v>24231703.809424989</v>
      </c>
      <c r="AR192">
        <f t="shared" si="56"/>
        <v>11943.365845323273</v>
      </c>
      <c r="AS192" t="str">
        <f>IF($A192="","",$A192&amp;"|"&amp;Allocation!BG192)</f>
        <v>2027|V01</v>
      </c>
    </row>
    <row r="193" spans="1:45" x14ac:dyDescent="0.45">
      <c r="A193" t="str">
        <f>IF(Allocation!BI193="","",Allocation!BI193)</f>
        <v>2027</v>
      </c>
      <c r="B193" t="str">
        <f>IF(Allocation!BJ193="","",Allocation!BJ193)</f>
        <v>ISCOM_LIL</v>
      </c>
      <c r="C193" t="str">
        <f>IF(Allocation!BK193="","",Allocation!BK193)</f>
        <v>ISCOM</v>
      </c>
      <c r="D193" t="str">
        <f>IF(Allocation!BL193="","",Allocation!BL193)</f>
        <v>BAC_COM</v>
      </c>
      <c r="E193" t="str">
        <f>IF(Allocation!BM193="","",Allocation!BM193)</f>
        <v>B3</v>
      </c>
      <c r="F193" t="str">
        <f>IF(Allocation!BN193="","",Allocation!BN193)</f>
        <v>ALT</v>
      </c>
      <c r="G193">
        <f>IF(Allocation!BO193="","",Allocation!BO193)</f>
        <v>47.24</v>
      </c>
      <c r="H193">
        <f>IF(Allocation!BP193="","",Allocation!BP193)</f>
        <v>2</v>
      </c>
      <c r="I193">
        <f>IF(Allocation!BQ193="","",Allocation!BQ193)</f>
        <v>325147.16144400003</v>
      </c>
      <c r="J193">
        <f>IF(Allocation!CC193="","",Allocation!CC193)</f>
        <v>0</v>
      </c>
      <c r="K193">
        <f t="shared" si="38"/>
        <v>960</v>
      </c>
      <c r="L193">
        <f t="shared" si="39"/>
        <v>255.08664200000001</v>
      </c>
      <c r="M193">
        <f t="shared" si="40"/>
        <v>10</v>
      </c>
      <c r="N193">
        <f t="shared" si="41"/>
        <v>1844124.619037</v>
      </c>
      <c r="O193">
        <f t="shared" si="42"/>
        <v>4800</v>
      </c>
      <c r="P193">
        <f t="shared" si="43"/>
        <v>110.346642</v>
      </c>
      <c r="Q193">
        <f t="shared" si="44"/>
        <v>865.92034200000012</v>
      </c>
      <c r="R193">
        <f t="shared" si="45"/>
        <v>35</v>
      </c>
      <c r="S193">
        <f t="shared" si="46"/>
        <v>6602533.1509509999</v>
      </c>
      <c r="T193">
        <f t="shared" si="47"/>
        <v>3253.6168479999983</v>
      </c>
      <c r="U193">
        <f t="shared" si="48"/>
        <v>135</v>
      </c>
      <c r="V193">
        <f t="shared" si="49"/>
        <v>24231703.809424989</v>
      </c>
      <c r="W193">
        <f>IF($A193="","",Allocation!CD193)</f>
        <v>124306.17799500001</v>
      </c>
      <c r="X193">
        <f>IF($A193="","",Allocation!CE193)</f>
        <v>303457.33522000001</v>
      </c>
      <c r="Y193">
        <f>IF($A193="","",Allocation!CF193)</f>
        <v>93481.120578999995</v>
      </c>
      <c r="Z193">
        <f>IF($A193="","",Allocation!CG193)</f>
        <v>27237.599999999999</v>
      </c>
      <c r="AA193">
        <f>IF($A193="","",Allocation!CH193)</f>
        <v>690691.55177799996</v>
      </c>
      <c r="AB193">
        <f>IF($A193="","",Allocation!CI193)</f>
        <v>2975861.5814200002</v>
      </c>
      <c r="AC193">
        <f>IF($A193="","",IF(Allocation!$N$4="VOL_EFF",$G193,IF(Allocation!$N$4="VOL_CLASS",$H193,$I193)))</f>
        <v>2</v>
      </c>
      <c r="AD193">
        <f>IF($A193="","",IF(Allocation!$N$4="VOL_EFF",$L193,IF(Allocation!$N$4="VOL_CLASS",$M193,$N193)))</f>
        <v>10</v>
      </c>
      <c r="AE193">
        <f>IF($A193="","",IF(Allocation!$N$3="VOL_EFF",$L193,IF(Allocation!$N$3="VOL_CLASS",$M193,$N193)))</f>
        <v>255.08664200000001</v>
      </c>
      <c r="AF193">
        <f>IF($A193="","",IF(Allocation!$N$3="VOL_EFF",$Q193,IF(Allocation!$N$3="VOL_CLASS",$R193,$S193)))</f>
        <v>865.92034200000012</v>
      </c>
      <c r="AG193">
        <f>IF($A193="","",IF(Allocation!$N$1="VOL_EFF",$Q193,IF(Allocation!$N$1="VOL_CLASS",$R193,$S193)))</f>
        <v>865.92034200000012</v>
      </c>
      <c r="AH193">
        <f>IF($A193="","",IF(Allocation!$N$1="VOL_EFF",$T193,IF(Allocation!$N$1="VOL_CLASS",$U193,$V193)))</f>
        <v>3253.6168479999983</v>
      </c>
      <c r="AI193">
        <f t="shared" si="50"/>
        <v>24861.235599000003</v>
      </c>
      <c r="AJ193">
        <f t="shared" si="51"/>
        <v>60691.467044000005</v>
      </c>
      <c r="AK193">
        <f t="shared" si="52"/>
        <v>17311.953701409264</v>
      </c>
      <c r="AL193">
        <f t="shared" si="53"/>
        <v>138138.3103556</v>
      </c>
      <c r="AM193">
        <f t="shared" si="54"/>
        <v>46662.073214174474</v>
      </c>
      <c r="AN193">
        <f t="shared" si="55"/>
        <v>25538.755684493051</v>
      </c>
      <c r="AO193">
        <f>IF($A193="","",Allocation!CJ193)</f>
        <v>743978.4</v>
      </c>
      <c r="AP193">
        <f>IF($A193="","",IF(Allocation!$N$2="VOL_EFF",$Q193,IF(Allocation!$N$2="VOL_CLASS",$R193,$S193)))</f>
        <v>6602533.1509509999</v>
      </c>
      <c r="AQ193">
        <f>IF($A193="","",IF(Allocation!$N$2="VOL_EFF",$T193,IF(Allocation!$N$2="VOL_CLASS",$U193,$V193)))</f>
        <v>24231703.809424989</v>
      </c>
      <c r="AR193">
        <f t="shared" si="56"/>
        <v>11943.365845323273</v>
      </c>
      <c r="AS193" t="str">
        <f>IF($A193="","",$A193&amp;"|"&amp;Allocation!BG193)</f>
        <v>2027|V01</v>
      </c>
    </row>
    <row r="194" spans="1:45" x14ac:dyDescent="0.45">
      <c r="A194" t="str">
        <f>IF(Allocation!BI194="","",Allocation!BI194)</f>
        <v>2027</v>
      </c>
      <c r="B194" t="str">
        <f>IF(Allocation!BJ194="","",Allocation!BJ194)</f>
        <v>ISCOM_LIL</v>
      </c>
      <c r="C194" t="str">
        <f>IF(Allocation!BK194="","",Allocation!BK194)</f>
        <v>ISCOM</v>
      </c>
      <c r="D194" t="str">
        <f>IF(Allocation!BL194="","",Allocation!BL194)</f>
        <v>MAS_COM</v>
      </c>
      <c r="E194" t="str">
        <f>IF(Allocation!BM194="","",Allocation!BM194)</f>
        <v>M1</v>
      </c>
      <c r="F194" t="str">
        <f>IF(Allocation!BN194="","",Allocation!BN194)</f>
        <v>ALT</v>
      </c>
      <c r="G194">
        <f>IF(Allocation!BO194="","",Allocation!BO194)</f>
        <v>55.745235999999998</v>
      </c>
      <c r="H194">
        <f>IF(Allocation!BP194="","",Allocation!BP194)</f>
        <v>2</v>
      </c>
      <c r="I194">
        <f>IF(Allocation!BQ194="","",Allocation!BQ194)</f>
        <v>416110.99700099998</v>
      </c>
      <c r="J194">
        <f>IF(Allocation!CC194="","",Allocation!CC194)</f>
        <v>55.745235999999998</v>
      </c>
      <c r="K194">
        <f t="shared" ref="K194:K257" si="57">IF($A194="","",$H194*IF(AND(LEFT($D194,3)="BAC",$F194="INIT"),600,IF(LEFT($D194,3)="BAC",480,IF(AND(LEFT($D194,3)="MAS",$F194="INIT"),520,IF(LEFT($D194,3)="MAS",420,IF($F194="INIT",1000,700))))))</f>
        <v>840</v>
      </c>
      <c r="L194">
        <f t="shared" ref="L194:L257" si="58">IF($A194="","",SUMIFS($G$1:$G$349,$AS$1:$AS$349,$AS194,$B$1:$B$349,$B194))</f>
        <v>255.08664200000001</v>
      </c>
      <c r="M194">
        <f t="shared" ref="M194:M257" si="59">IF($A194="","",SUMIFS($H$1:$H$349,$AS$1:$AS$349,$AS194,$B$1:$B$349,$B194))</f>
        <v>10</v>
      </c>
      <c r="N194">
        <f t="shared" ref="N194:N257" si="60">IF($A194="","",SUMIFS($I$1:$I$349,$AS$1:$AS$349,$AS194,$B$1:$B$349,$B194))</f>
        <v>1844124.619037</v>
      </c>
      <c r="O194">
        <f t="shared" ref="O194:O257" si="61">IF($A194="","",SUMIFS($K$1:$K$349,$AS$1:$AS$349,$AS194,$B$1:$B$349,$B194))</f>
        <v>4800</v>
      </c>
      <c r="P194">
        <f t="shared" ref="P194:P257" si="62">IF($A194="","",SUMIFS($J$1:$J$349,$AS$1:$AS$349,$AS194,$B$1:$B$349,$B194))</f>
        <v>110.346642</v>
      </c>
      <c r="Q194">
        <f t="shared" ref="Q194:Q257" si="63">IF($A194="","",SUMIFS($G$1:$G$349,$AS$1:$AS$349,$AS194,$C$1:$C$349,$C194))</f>
        <v>865.92034200000012</v>
      </c>
      <c r="R194">
        <f t="shared" ref="R194:R257" si="64">IF($A194="","",SUMIFS($H$1:$H$349,$AS$1:$AS$349,$AS194,$C$1:$C$349,$C194))</f>
        <v>35</v>
      </c>
      <c r="S194">
        <f t="shared" ref="S194:S257" si="65">IF($A194="","",SUMIFS($I$1:$I$349,$AS$1:$AS$349,$AS194,$C$1:$C$349,$C194))</f>
        <v>6602533.1509509999</v>
      </c>
      <c r="T194">
        <f t="shared" ref="T194:T257" si="66">IF($A194="","",SUMIFS($G$1:$G$349,$AS$1:$AS$349,$AS194))</f>
        <v>3253.6168479999983</v>
      </c>
      <c r="U194">
        <f t="shared" ref="U194:U257" si="67">IF($A194="","",SUMIFS($H$1:$H$349,$AS$1:$AS$349,$AS194))</f>
        <v>135</v>
      </c>
      <c r="V194">
        <f t="shared" ref="V194:V257" si="68">IF($A194="","",SUMIFS($I$1:$I$349,$AS$1:$AS$349,$AS194))</f>
        <v>24231703.809424989</v>
      </c>
      <c r="W194">
        <f>IF($A194="","",Allocation!CD194)</f>
        <v>124306.17799500001</v>
      </c>
      <c r="X194">
        <f>IF($A194="","",Allocation!CE194)</f>
        <v>303457.33522000001</v>
      </c>
      <c r="Y194">
        <f>IF($A194="","",Allocation!CF194)</f>
        <v>93481.120578999995</v>
      </c>
      <c r="Z194">
        <f>IF($A194="","",Allocation!CG194)</f>
        <v>27237.599999999999</v>
      </c>
      <c r="AA194">
        <f>IF($A194="","",Allocation!CH194)</f>
        <v>690691.55177799996</v>
      </c>
      <c r="AB194">
        <f>IF($A194="","",Allocation!CI194)</f>
        <v>2975861.5814200002</v>
      </c>
      <c r="AC194">
        <f>IF($A194="","",IF(Allocation!$N$4="VOL_EFF",$G194,IF(Allocation!$N$4="VOL_CLASS",$H194,$I194)))</f>
        <v>2</v>
      </c>
      <c r="AD194">
        <f>IF($A194="","",IF(Allocation!$N$4="VOL_EFF",$L194,IF(Allocation!$N$4="VOL_CLASS",$M194,$N194)))</f>
        <v>10</v>
      </c>
      <c r="AE194">
        <f>IF($A194="","",IF(Allocation!$N$3="VOL_EFF",$L194,IF(Allocation!$N$3="VOL_CLASS",$M194,$N194)))</f>
        <v>255.08664200000001</v>
      </c>
      <c r="AF194">
        <f>IF($A194="","",IF(Allocation!$N$3="VOL_EFF",$Q194,IF(Allocation!$N$3="VOL_CLASS",$R194,$S194)))</f>
        <v>865.92034200000012</v>
      </c>
      <c r="AG194">
        <f>IF($A194="","",IF(Allocation!$N$1="VOL_EFF",$Q194,IF(Allocation!$N$1="VOL_CLASS",$R194,$S194)))</f>
        <v>865.92034200000012</v>
      </c>
      <c r="AH194">
        <f>IF($A194="","",IF(Allocation!$N$1="VOL_EFF",$T194,IF(Allocation!$N$1="VOL_CLASS",$U194,$V194)))</f>
        <v>3253.6168479999983</v>
      </c>
      <c r="AI194">
        <f t="shared" ref="AI194:AI257" si="69">IF($A194="","",$W194*IFERROR($K194/$O194,0))</f>
        <v>21753.581149124999</v>
      </c>
      <c r="AJ194">
        <f t="shared" ref="AJ194:AJ257" si="70">IF($A194="","",$X194*IFERROR($K194/$O194,0))</f>
        <v>53105.033663499999</v>
      </c>
      <c r="AK194">
        <f t="shared" ref="AK194:AK257" si="71">IF($A194="","",$Y194*IFERROR($G194/$L194,0)+$Z194*IFERROR($J194/$P194,0))</f>
        <v>34188.821103009628</v>
      </c>
      <c r="AL194">
        <f t="shared" ref="AL194:AL257" si="72">IF($A194="","",$AA194*IFERROR($AC194/$AD194,0))</f>
        <v>138138.3103556</v>
      </c>
      <c r="AM194">
        <f t="shared" ref="AM194:AM257" si="73">IF($A194="","",$AB194*IFERROR($AG194/$AH194,0)*IFERROR($AE194/$AF194,0)*IFERROR($AC194/$AD194,0))</f>
        <v>46662.073214174474</v>
      </c>
      <c r="AN194">
        <f t="shared" ref="AN194:AN257" si="74">IF($A194="","",$I194-($AI194+$AJ194+$AK194+$AL194+$AM194+$AR194))</f>
        <v>110319.81167026766</v>
      </c>
      <c r="AO194">
        <f>IF($A194="","",Allocation!CJ194)</f>
        <v>743978.4</v>
      </c>
      <c r="AP194">
        <f>IF($A194="","",IF(Allocation!$N$2="VOL_EFF",$Q194,IF(Allocation!$N$2="VOL_CLASS",$R194,$S194)))</f>
        <v>6602533.1509509999</v>
      </c>
      <c r="AQ194">
        <f>IF($A194="","",IF(Allocation!$N$2="VOL_EFF",$T194,IF(Allocation!$N$2="VOL_CLASS",$U194,$V194)))</f>
        <v>24231703.809424989</v>
      </c>
      <c r="AR194">
        <f t="shared" ref="AR194:AR257" si="75">IF($A194="","",$AO194*IFERROR($AP194/$AQ194,0)*IFERROR($AE194/$AF194,0)*IFERROR($AC194/$AD194,0))</f>
        <v>11943.365845323273</v>
      </c>
      <c r="AS194" t="str">
        <f>IF($A194="","",$A194&amp;"|"&amp;Allocation!BG194)</f>
        <v>2027|V01</v>
      </c>
    </row>
    <row r="195" spans="1:45" x14ac:dyDescent="0.45">
      <c r="A195" t="str">
        <f>IF(Allocation!BI195="","",Allocation!BI195)</f>
        <v>2027</v>
      </c>
      <c r="B195" t="str">
        <f>IF(Allocation!BJ195="","",Allocation!BJ195)</f>
        <v>ISCOM_LIL</v>
      </c>
      <c r="C195" t="str">
        <f>IF(Allocation!BK195="","",Allocation!BK195)</f>
        <v>ISCOM</v>
      </c>
      <c r="D195" t="str">
        <f>IF(Allocation!BL195="","",Allocation!BL195)</f>
        <v>MAS_COM</v>
      </c>
      <c r="E195" t="str">
        <f>IF(Allocation!BM195="","",Allocation!BM195)</f>
        <v>M2</v>
      </c>
      <c r="F195" t="str">
        <f>IF(Allocation!BN195="","",Allocation!BN195)</f>
        <v>ALT</v>
      </c>
      <c r="G195">
        <f>IF(Allocation!BO195="","",Allocation!BO195)</f>
        <v>49.25</v>
      </c>
      <c r="H195">
        <f>IF(Allocation!BP195="","",Allocation!BP195)</f>
        <v>2</v>
      </c>
      <c r="I195">
        <f>IF(Allocation!BQ195="","",Allocation!BQ195)</f>
        <v>363194.728313</v>
      </c>
      <c r="J195">
        <f>IF(Allocation!CC195="","",Allocation!CC195)</f>
        <v>0</v>
      </c>
      <c r="K195">
        <f t="shared" si="57"/>
        <v>840</v>
      </c>
      <c r="L195">
        <f t="shared" si="58"/>
        <v>255.08664200000001</v>
      </c>
      <c r="M195">
        <f t="shared" si="59"/>
        <v>10</v>
      </c>
      <c r="N195">
        <f t="shared" si="60"/>
        <v>1844124.619037</v>
      </c>
      <c r="O195">
        <f t="shared" si="61"/>
        <v>4800</v>
      </c>
      <c r="P195">
        <f t="shared" si="62"/>
        <v>110.346642</v>
      </c>
      <c r="Q195">
        <f t="shared" si="63"/>
        <v>865.92034200000012</v>
      </c>
      <c r="R195">
        <f t="shared" si="64"/>
        <v>35</v>
      </c>
      <c r="S195">
        <f t="shared" si="65"/>
        <v>6602533.1509509999</v>
      </c>
      <c r="T195">
        <f t="shared" si="66"/>
        <v>3253.6168479999983</v>
      </c>
      <c r="U195">
        <f t="shared" si="67"/>
        <v>135</v>
      </c>
      <c r="V195">
        <f t="shared" si="68"/>
        <v>24231703.809424989</v>
      </c>
      <c r="W195">
        <f>IF($A195="","",Allocation!CD195)</f>
        <v>124306.17799500001</v>
      </c>
      <c r="X195">
        <f>IF($A195="","",Allocation!CE195)</f>
        <v>303457.33522000001</v>
      </c>
      <c r="Y195">
        <f>IF($A195="","",Allocation!CF195)</f>
        <v>93481.120578999995</v>
      </c>
      <c r="Z195">
        <f>IF($A195="","",Allocation!CG195)</f>
        <v>27237.599999999999</v>
      </c>
      <c r="AA195">
        <f>IF($A195="","",Allocation!CH195)</f>
        <v>690691.55177799996</v>
      </c>
      <c r="AB195">
        <f>IF($A195="","",Allocation!CI195)</f>
        <v>2975861.5814200002</v>
      </c>
      <c r="AC195">
        <f>IF($A195="","",IF(Allocation!$N$4="VOL_EFF",$G195,IF(Allocation!$N$4="VOL_CLASS",$H195,$I195)))</f>
        <v>2</v>
      </c>
      <c r="AD195">
        <f>IF($A195="","",IF(Allocation!$N$4="VOL_EFF",$L195,IF(Allocation!$N$4="VOL_CLASS",$M195,$N195)))</f>
        <v>10</v>
      </c>
      <c r="AE195">
        <f>IF($A195="","",IF(Allocation!$N$3="VOL_EFF",$L195,IF(Allocation!$N$3="VOL_CLASS",$M195,$N195)))</f>
        <v>255.08664200000001</v>
      </c>
      <c r="AF195">
        <f>IF($A195="","",IF(Allocation!$N$3="VOL_EFF",$Q195,IF(Allocation!$N$3="VOL_CLASS",$R195,$S195)))</f>
        <v>865.92034200000012</v>
      </c>
      <c r="AG195">
        <f>IF($A195="","",IF(Allocation!$N$1="VOL_EFF",$Q195,IF(Allocation!$N$1="VOL_CLASS",$R195,$S195)))</f>
        <v>865.92034200000012</v>
      </c>
      <c r="AH195">
        <f>IF($A195="","",IF(Allocation!$N$1="VOL_EFF",$T195,IF(Allocation!$N$1="VOL_CLASS",$U195,$V195)))</f>
        <v>3253.6168479999983</v>
      </c>
      <c r="AI195">
        <f t="shared" si="69"/>
        <v>21753.581149124999</v>
      </c>
      <c r="AJ195">
        <f t="shared" si="70"/>
        <v>53105.033663499999</v>
      </c>
      <c r="AK195">
        <f t="shared" si="71"/>
        <v>18048.554610381165</v>
      </c>
      <c r="AL195">
        <f t="shared" si="72"/>
        <v>138138.3103556</v>
      </c>
      <c r="AM195">
        <f t="shared" si="73"/>
        <v>46662.073214174474</v>
      </c>
      <c r="AN195">
        <f t="shared" si="74"/>
        <v>73543.809474896116</v>
      </c>
      <c r="AO195">
        <f>IF($A195="","",Allocation!CJ195)</f>
        <v>743978.4</v>
      </c>
      <c r="AP195">
        <f>IF($A195="","",IF(Allocation!$N$2="VOL_EFF",$Q195,IF(Allocation!$N$2="VOL_CLASS",$R195,$S195)))</f>
        <v>6602533.1509509999</v>
      </c>
      <c r="AQ195">
        <f>IF($A195="","",IF(Allocation!$N$2="VOL_EFF",$T195,IF(Allocation!$N$2="VOL_CLASS",$U195,$V195)))</f>
        <v>24231703.809424989</v>
      </c>
      <c r="AR195">
        <f t="shared" si="75"/>
        <v>11943.365845323273</v>
      </c>
      <c r="AS195" t="str">
        <f>IF($A195="","",$A195&amp;"|"&amp;Allocation!BG195)</f>
        <v>2027|V01</v>
      </c>
    </row>
    <row r="196" spans="1:45" x14ac:dyDescent="0.45">
      <c r="A196" t="str">
        <f>IF(Allocation!BI196="","",Allocation!BI196)</f>
        <v>2027</v>
      </c>
      <c r="B196" t="str">
        <f>IF(Allocation!BJ196="","",Allocation!BJ196)</f>
        <v>ISCOM_PAR</v>
      </c>
      <c r="C196" t="str">
        <f>IF(Allocation!BK196="","",Allocation!BK196)</f>
        <v>ISCOM</v>
      </c>
      <c r="D196" t="str">
        <f>IF(Allocation!BL196="","",Allocation!BL196)</f>
        <v>BAC_COM</v>
      </c>
      <c r="E196" t="str">
        <f>IF(Allocation!BM196="","",Allocation!BM196)</f>
        <v>B1</v>
      </c>
      <c r="F196" t="str">
        <f>IF(Allocation!BN196="","",Allocation!BN196)</f>
        <v>INIT</v>
      </c>
      <c r="G196">
        <f>IF(Allocation!BO196="","",Allocation!BO196)</f>
        <v>78.323408000000001</v>
      </c>
      <c r="H196">
        <f>IF(Allocation!BP196="","",Allocation!BP196)</f>
        <v>3</v>
      </c>
      <c r="I196">
        <f>IF(Allocation!BQ196="","",Allocation!BQ196)</f>
        <v>667159.88587200001</v>
      </c>
      <c r="J196">
        <f>IF(Allocation!CC196="","",Allocation!CC196)</f>
        <v>78.323408000000001</v>
      </c>
      <c r="K196">
        <f t="shared" si="57"/>
        <v>1800</v>
      </c>
      <c r="L196">
        <f t="shared" si="58"/>
        <v>369.35234300000002</v>
      </c>
      <c r="M196">
        <f t="shared" si="59"/>
        <v>15</v>
      </c>
      <c r="N196">
        <f t="shared" si="60"/>
        <v>3048653.6062110001</v>
      </c>
      <c r="O196">
        <f t="shared" si="61"/>
        <v>7200</v>
      </c>
      <c r="P196">
        <f t="shared" si="62"/>
        <v>158.282343</v>
      </c>
      <c r="Q196">
        <f t="shared" si="63"/>
        <v>865.92034200000012</v>
      </c>
      <c r="R196">
        <f t="shared" si="64"/>
        <v>35</v>
      </c>
      <c r="S196">
        <f t="shared" si="65"/>
        <v>6602533.1509509999</v>
      </c>
      <c r="T196">
        <f t="shared" si="66"/>
        <v>3253.6168479999983</v>
      </c>
      <c r="U196">
        <f t="shared" si="67"/>
        <v>135</v>
      </c>
      <c r="V196">
        <f t="shared" si="68"/>
        <v>24231703.809424989</v>
      </c>
      <c r="W196">
        <f>IF($A196="","",Allocation!CD196)</f>
        <v>186459.781808</v>
      </c>
      <c r="X196">
        <f>IF($A196="","",Allocation!CE196)</f>
        <v>520261.81167999998</v>
      </c>
      <c r="Y196">
        <f>IF($A196="","",Allocation!CF196)</f>
        <v>135624.89855700001</v>
      </c>
      <c r="Z196">
        <f>IF($A196="","",Allocation!CG196)</f>
        <v>65664</v>
      </c>
      <c r="AA196">
        <f>IF($A196="","",Allocation!CH196)</f>
        <v>1157580.0731569999</v>
      </c>
      <c r="AB196">
        <f>IF($A196="","",Allocation!CI196)</f>
        <v>2975861.5814200002</v>
      </c>
      <c r="AC196">
        <f>IF($A196="","",IF(Allocation!$N$4="VOL_EFF",$G196,IF(Allocation!$N$4="VOL_CLASS",$H196,$I196)))</f>
        <v>3</v>
      </c>
      <c r="AD196">
        <f>IF($A196="","",IF(Allocation!$N$4="VOL_EFF",$L196,IF(Allocation!$N$4="VOL_CLASS",$M196,$N196)))</f>
        <v>15</v>
      </c>
      <c r="AE196">
        <f>IF($A196="","",IF(Allocation!$N$3="VOL_EFF",$L196,IF(Allocation!$N$3="VOL_CLASS",$M196,$N196)))</f>
        <v>369.35234300000002</v>
      </c>
      <c r="AF196">
        <f>IF($A196="","",IF(Allocation!$N$3="VOL_EFF",$Q196,IF(Allocation!$N$3="VOL_CLASS",$R196,$S196)))</f>
        <v>865.92034200000012</v>
      </c>
      <c r="AG196">
        <f>IF($A196="","",IF(Allocation!$N$1="VOL_EFF",$Q196,IF(Allocation!$N$1="VOL_CLASS",$R196,$S196)))</f>
        <v>865.92034200000012</v>
      </c>
      <c r="AH196">
        <f>IF($A196="","",IF(Allocation!$N$1="VOL_EFF",$T196,IF(Allocation!$N$1="VOL_CLASS",$U196,$V196)))</f>
        <v>3253.6168479999983</v>
      </c>
      <c r="AI196">
        <f t="shared" si="69"/>
        <v>46614.945452</v>
      </c>
      <c r="AJ196">
        <f t="shared" si="70"/>
        <v>130065.45292</v>
      </c>
      <c r="AK196">
        <f t="shared" si="71"/>
        <v>61252.831472787489</v>
      </c>
      <c r="AL196">
        <f t="shared" si="72"/>
        <v>231516.0146314</v>
      </c>
      <c r="AM196">
        <f t="shared" si="73"/>
        <v>67564.283005038276</v>
      </c>
      <c r="AN196">
        <f t="shared" si="74"/>
        <v>112852.97868382616</v>
      </c>
      <c r="AO196">
        <f>IF($A196="","",Allocation!CJ196)</f>
        <v>743978.4</v>
      </c>
      <c r="AP196">
        <f>IF($A196="","",IF(Allocation!$N$2="VOL_EFF",$Q196,IF(Allocation!$N$2="VOL_CLASS",$R196,$S196)))</f>
        <v>6602533.1509509999</v>
      </c>
      <c r="AQ196">
        <f>IF($A196="","",IF(Allocation!$N$2="VOL_EFF",$T196,IF(Allocation!$N$2="VOL_CLASS",$U196,$V196)))</f>
        <v>24231703.809424989</v>
      </c>
      <c r="AR196">
        <f t="shared" si="75"/>
        <v>17293.379706948068</v>
      </c>
      <c r="AS196" t="str">
        <f>IF($A196="","",$A196&amp;"|"&amp;Allocation!BG196)</f>
        <v>2027|V01</v>
      </c>
    </row>
    <row r="197" spans="1:45" x14ac:dyDescent="0.45">
      <c r="A197" t="str">
        <f>IF(Allocation!BI197="","",Allocation!BI197)</f>
        <v>2027</v>
      </c>
      <c r="B197" t="str">
        <f>IF(Allocation!BJ197="","",Allocation!BJ197)</f>
        <v>ISCOM_PAR</v>
      </c>
      <c r="C197" t="str">
        <f>IF(Allocation!BK197="","",Allocation!BK197)</f>
        <v>ISCOM</v>
      </c>
      <c r="D197" t="str">
        <f>IF(Allocation!BL197="","",Allocation!BL197)</f>
        <v>BAC_COM</v>
      </c>
      <c r="E197" t="str">
        <f>IF(Allocation!BM197="","",Allocation!BM197)</f>
        <v>B2</v>
      </c>
      <c r="F197" t="str">
        <f>IF(Allocation!BN197="","",Allocation!BN197)</f>
        <v>ALT</v>
      </c>
      <c r="G197">
        <f>IF(Allocation!BO197="","",Allocation!BO197)</f>
        <v>70.36</v>
      </c>
      <c r="H197">
        <f>IF(Allocation!BP197="","",Allocation!BP197)</f>
        <v>3</v>
      </c>
      <c r="I197">
        <f>IF(Allocation!BQ197="","",Allocation!BQ197)</f>
        <v>553462.06070399994</v>
      </c>
      <c r="J197">
        <f>IF(Allocation!CC197="","",Allocation!CC197)</f>
        <v>0</v>
      </c>
      <c r="K197">
        <f t="shared" si="57"/>
        <v>1440</v>
      </c>
      <c r="L197">
        <f t="shared" si="58"/>
        <v>369.35234300000002</v>
      </c>
      <c r="M197">
        <f t="shared" si="59"/>
        <v>15</v>
      </c>
      <c r="N197">
        <f t="shared" si="60"/>
        <v>3048653.6062110001</v>
      </c>
      <c r="O197">
        <f t="shared" si="61"/>
        <v>7200</v>
      </c>
      <c r="P197">
        <f t="shared" si="62"/>
        <v>158.282343</v>
      </c>
      <c r="Q197">
        <f t="shared" si="63"/>
        <v>865.92034200000012</v>
      </c>
      <c r="R197">
        <f t="shared" si="64"/>
        <v>35</v>
      </c>
      <c r="S197">
        <f t="shared" si="65"/>
        <v>6602533.1509509999</v>
      </c>
      <c r="T197">
        <f t="shared" si="66"/>
        <v>3253.6168479999983</v>
      </c>
      <c r="U197">
        <f t="shared" si="67"/>
        <v>135</v>
      </c>
      <c r="V197">
        <f t="shared" si="68"/>
        <v>24231703.809424989</v>
      </c>
      <c r="W197">
        <f>IF($A197="","",Allocation!CD197)</f>
        <v>186459.781808</v>
      </c>
      <c r="X197">
        <f>IF($A197="","",Allocation!CE197)</f>
        <v>520261.81167999998</v>
      </c>
      <c r="Y197">
        <f>IF($A197="","",Allocation!CF197)</f>
        <v>135624.89855700001</v>
      </c>
      <c r="Z197">
        <f>IF($A197="","",Allocation!CG197)</f>
        <v>65664</v>
      </c>
      <c r="AA197">
        <f>IF($A197="","",Allocation!CH197)</f>
        <v>1157580.0731569999</v>
      </c>
      <c r="AB197">
        <f>IF($A197="","",Allocation!CI197)</f>
        <v>2975861.5814200002</v>
      </c>
      <c r="AC197">
        <f>IF($A197="","",IF(Allocation!$N$4="VOL_EFF",$G197,IF(Allocation!$N$4="VOL_CLASS",$H197,$I197)))</f>
        <v>3</v>
      </c>
      <c r="AD197">
        <f>IF($A197="","",IF(Allocation!$N$4="VOL_EFF",$L197,IF(Allocation!$N$4="VOL_CLASS",$M197,$N197)))</f>
        <v>15</v>
      </c>
      <c r="AE197">
        <f>IF($A197="","",IF(Allocation!$N$3="VOL_EFF",$L197,IF(Allocation!$N$3="VOL_CLASS",$M197,$N197)))</f>
        <v>369.35234300000002</v>
      </c>
      <c r="AF197">
        <f>IF($A197="","",IF(Allocation!$N$3="VOL_EFF",$Q197,IF(Allocation!$N$3="VOL_CLASS",$R197,$S197)))</f>
        <v>865.92034200000012</v>
      </c>
      <c r="AG197">
        <f>IF($A197="","",IF(Allocation!$N$1="VOL_EFF",$Q197,IF(Allocation!$N$1="VOL_CLASS",$R197,$S197)))</f>
        <v>865.92034200000012</v>
      </c>
      <c r="AH197">
        <f>IF($A197="","",IF(Allocation!$N$1="VOL_EFF",$T197,IF(Allocation!$N$1="VOL_CLASS",$U197,$V197)))</f>
        <v>3253.6168479999983</v>
      </c>
      <c r="AI197">
        <f t="shared" si="69"/>
        <v>37291.956361600001</v>
      </c>
      <c r="AJ197">
        <f t="shared" si="70"/>
        <v>104052.36233600001</v>
      </c>
      <c r="AK197">
        <f t="shared" si="71"/>
        <v>25835.947824136369</v>
      </c>
      <c r="AL197">
        <f t="shared" si="72"/>
        <v>231516.0146314</v>
      </c>
      <c r="AM197">
        <f t="shared" si="73"/>
        <v>67564.283005038276</v>
      </c>
      <c r="AN197">
        <f t="shared" si="74"/>
        <v>69908.116838877206</v>
      </c>
      <c r="AO197">
        <f>IF($A197="","",Allocation!CJ197)</f>
        <v>743978.4</v>
      </c>
      <c r="AP197">
        <f>IF($A197="","",IF(Allocation!$N$2="VOL_EFF",$Q197,IF(Allocation!$N$2="VOL_CLASS",$R197,$S197)))</f>
        <v>6602533.1509509999</v>
      </c>
      <c r="AQ197">
        <f>IF($A197="","",IF(Allocation!$N$2="VOL_EFF",$T197,IF(Allocation!$N$2="VOL_CLASS",$U197,$V197)))</f>
        <v>24231703.809424989</v>
      </c>
      <c r="AR197">
        <f t="shared" si="75"/>
        <v>17293.379706948068</v>
      </c>
      <c r="AS197" t="str">
        <f>IF($A197="","",$A197&amp;"|"&amp;Allocation!BG197)</f>
        <v>2027|V01</v>
      </c>
    </row>
    <row r="198" spans="1:45" x14ac:dyDescent="0.45">
      <c r="A198" t="str">
        <f>IF(Allocation!BI198="","",Allocation!BI198)</f>
        <v>2027</v>
      </c>
      <c r="B198" t="str">
        <f>IF(Allocation!BJ198="","",Allocation!BJ198)</f>
        <v>ISCOM_PAR</v>
      </c>
      <c r="C198" t="str">
        <f>IF(Allocation!BK198="","",Allocation!BK198)</f>
        <v>ISCOM</v>
      </c>
      <c r="D198" t="str">
        <f>IF(Allocation!BL198="","",Allocation!BL198)</f>
        <v>BAC_COM</v>
      </c>
      <c r="E198" t="str">
        <f>IF(Allocation!BM198="","",Allocation!BM198)</f>
        <v>B3</v>
      </c>
      <c r="F198" t="str">
        <f>IF(Allocation!BN198="","",Allocation!BN198)</f>
        <v>ALT</v>
      </c>
      <c r="G198">
        <f>IF(Allocation!BO198="","",Allocation!BO198)</f>
        <v>69.349999999999994</v>
      </c>
      <c r="H198">
        <f>IF(Allocation!BP198="","",Allocation!BP198)</f>
        <v>3</v>
      </c>
      <c r="I198">
        <f>IF(Allocation!BQ198="","",Allocation!BQ198)</f>
        <v>545517.25283999997</v>
      </c>
      <c r="J198">
        <f>IF(Allocation!CC198="","",Allocation!CC198)</f>
        <v>0</v>
      </c>
      <c r="K198">
        <f t="shared" si="57"/>
        <v>1440</v>
      </c>
      <c r="L198">
        <f t="shared" si="58"/>
        <v>369.35234300000002</v>
      </c>
      <c r="M198">
        <f t="shared" si="59"/>
        <v>15</v>
      </c>
      <c r="N198">
        <f t="shared" si="60"/>
        <v>3048653.6062110001</v>
      </c>
      <c r="O198">
        <f t="shared" si="61"/>
        <v>7200</v>
      </c>
      <c r="P198">
        <f t="shared" si="62"/>
        <v>158.282343</v>
      </c>
      <c r="Q198">
        <f t="shared" si="63"/>
        <v>865.92034200000012</v>
      </c>
      <c r="R198">
        <f t="shared" si="64"/>
        <v>35</v>
      </c>
      <c r="S198">
        <f t="shared" si="65"/>
        <v>6602533.1509509999</v>
      </c>
      <c r="T198">
        <f t="shared" si="66"/>
        <v>3253.6168479999983</v>
      </c>
      <c r="U198">
        <f t="shared" si="67"/>
        <v>135</v>
      </c>
      <c r="V198">
        <f t="shared" si="68"/>
        <v>24231703.809424989</v>
      </c>
      <c r="W198">
        <f>IF($A198="","",Allocation!CD198)</f>
        <v>186459.781808</v>
      </c>
      <c r="X198">
        <f>IF($A198="","",Allocation!CE198)</f>
        <v>520261.81167999998</v>
      </c>
      <c r="Y198">
        <f>IF($A198="","",Allocation!CF198)</f>
        <v>135624.89855700001</v>
      </c>
      <c r="Z198">
        <f>IF($A198="","",Allocation!CG198)</f>
        <v>65664</v>
      </c>
      <c r="AA198">
        <f>IF($A198="","",Allocation!CH198)</f>
        <v>1157580.0731569999</v>
      </c>
      <c r="AB198">
        <f>IF($A198="","",Allocation!CI198)</f>
        <v>2975861.5814200002</v>
      </c>
      <c r="AC198">
        <f>IF($A198="","",IF(Allocation!$N$4="VOL_EFF",$G198,IF(Allocation!$N$4="VOL_CLASS",$H198,$I198)))</f>
        <v>3</v>
      </c>
      <c r="AD198">
        <f>IF($A198="","",IF(Allocation!$N$4="VOL_EFF",$L198,IF(Allocation!$N$4="VOL_CLASS",$M198,$N198)))</f>
        <v>15</v>
      </c>
      <c r="AE198">
        <f>IF($A198="","",IF(Allocation!$N$3="VOL_EFF",$L198,IF(Allocation!$N$3="VOL_CLASS",$M198,$N198)))</f>
        <v>369.35234300000002</v>
      </c>
      <c r="AF198">
        <f>IF($A198="","",IF(Allocation!$N$3="VOL_EFF",$Q198,IF(Allocation!$N$3="VOL_CLASS",$R198,$S198)))</f>
        <v>865.92034200000012</v>
      </c>
      <c r="AG198">
        <f>IF($A198="","",IF(Allocation!$N$1="VOL_EFF",$Q198,IF(Allocation!$N$1="VOL_CLASS",$R198,$S198)))</f>
        <v>865.92034200000012</v>
      </c>
      <c r="AH198">
        <f>IF($A198="","",IF(Allocation!$N$1="VOL_EFF",$T198,IF(Allocation!$N$1="VOL_CLASS",$U198,$V198)))</f>
        <v>3253.6168479999983</v>
      </c>
      <c r="AI198">
        <f t="shared" si="69"/>
        <v>37291.956361600001</v>
      </c>
      <c r="AJ198">
        <f t="shared" si="70"/>
        <v>104052.36233600001</v>
      </c>
      <c r="AK198">
        <f t="shared" si="71"/>
        <v>25465.079329219119</v>
      </c>
      <c r="AL198">
        <f t="shared" si="72"/>
        <v>231516.0146314</v>
      </c>
      <c r="AM198">
        <f t="shared" si="73"/>
        <v>67564.283005038276</v>
      </c>
      <c r="AN198">
        <f t="shared" si="74"/>
        <v>62334.177469794522</v>
      </c>
      <c r="AO198">
        <f>IF($A198="","",Allocation!CJ198)</f>
        <v>743978.4</v>
      </c>
      <c r="AP198">
        <f>IF($A198="","",IF(Allocation!$N$2="VOL_EFF",$Q198,IF(Allocation!$N$2="VOL_CLASS",$R198,$S198)))</f>
        <v>6602533.1509509999</v>
      </c>
      <c r="AQ198">
        <f>IF($A198="","",IF(Allocation!$N$2="VOL_EFF",$T198,IF(Allocation!$N$2="VOL_CLASS",$U198,$V198)))</f>
        <v>24231703.809424989</v>
      </c>
      <c r="AR198">
        <f t="shared" si="75"/>
        <v>17293.379706948068</v>
      </c>
      <c r="AS198" t="str">
        <f>IF($A198="","",$A198&amp;"|"&amp;Allocation!BG198)</f>
        <v>2027|V01</v>
      </c>
    </row>
    <row r="199" spans="1:45" x14ac:dyDescent="0.45">
      <c r="A199" t="str">
        <f>IF(Allocation!BI199="","",Allocation!BI199)</f>
        <v>2027</v>
      </c>
      <c r="B199" t="str">
        <f>IF(Allocation!BJ199="","",Allocation!BJ199)</f>
        <v>ISCOM_PAR</v>
      </c>
      <c r="C199" t="str">
        <f>IF(Allocation!BK199="","",Allocation!BK199)</f>
        <v>ISCOM</v>
      </c>
      <c r="D199" t="str">
        <f>IF(Allocation!BL199="","",Allocation!BL199)</f>
        <v>MAS_COM</v>
      </c>
      <c r="E199" t="str">
        <f>IF(Allocation!BM199="","",Allocation!BM199)</f>
        <v>M1</v>
      </c>
      <c r="F199" t="str">
        <f>IF(Allocation!BN199="","",Allocation!BN199)</f>
        <v>ALT</v>
      </c>
      <c r="G199">
        <f>IF(Allocation!BO199="","",Allocation!BO199)</f>
        <v>79.958934999999997</v>
      </c>
      <c r="H199">
        <f>IF(Allocation!BP199="","",Allocation!BP199)</f>
        <v>3</v>
      </c>
      <c r="I199">
        <f>IF(Allocation!BQ199="","",Allocation!BQ199)</f>
        <v>681091.32775499998</v>
      </c>
      <c r="J199">
        <f>IF(Allocation!CC199="","",Allocation!CC199)</f>
        <v>79.958934999999997</v>
      </c>
      <c r="K199">
        <f t="shared" si="57"/>
        <v>1260</v>
      </c>
      <c r="L199">
        <f t="shared" si="58"/>
        <v>369.35234300000002</v>
      </c>
      <c r="M199">
        <f t="shared" si="59"/>
        <v>15</v>
      </c>
      <c r="N199">
        <f t="shared" si="60"/>
        <v>3048653.6062110001</v>
      </c>
      <c r="O199">
        <f t="shared" si="61"/>
        <v>7200</v>
      </c>
      <c r="P199">
        <f t="shared" si="62"/>
        <v>158.282343</v>
      </c>
      <c r="Q199">
        <f t="shared" si="63"/>
        <v>865.92034200000012</v>
      </c>
      <c r="R199">
        <f t="shared" si="64"/>
        <v>35</v>
      </c>
      <c r="S199">
        <f t="shared" si="65"/>
        <v>6602533.1509509999</v>
      </c>
      <c r="T199">
        <f t="shared" si="66"/>
        <v>3253.6168479999983</v>
      </c>
      <c r="U199">
        <f t="shared" si="67"/>
        <v>135</v>
      </c>
      <c r="V199">
        <f t="shared" si="68"/>
        <v>24231703.809424989</v>
      </c>
      <c r="W199">
        <f>IF($A199="","",Allocation!CD199)</f>
        <v>186459.781808</v>
      </c>
      <c r="X199">
        <f>IF($A199="","",Allocation!CE199)</f>
        <v>520261.81167999998</v>
      </c>
      <c r="Y199">
        <f>IF($A199="","",Allocation!CF199)</f>
        <v>135624.89855700001</v>
      </c>
      <c r="Z199">
        <f>IF($A199="","",Allocation!CG199)</f>
        <v>65664</v>
      </c>
      <c r="AA199">
        <f>IF($A199="","",Allocation!CH199)</f>
        <v>1157580.0731569999</v>
      </c>
      <c r="AB199">
        <f>IF($A199="","",Allocation!CI199)</f>
        <v>2975861.5814200002</v>
      </c>
      <c r="AC199">
        <f>IF($A199="","",IF(Allocation!$N$4="VOL_EFF",$G199,IF(Allocation!$N$4="VOL_CLASS",$H199,$I199)))</f>
        <v>3</v>
      </c>
      <c r="AD199">
        <f>IF($A199="","",IF(Allocation!$N$4="VOL_EFF",$L199,IF(Allocation!$N$4="VOL_CLASS",$M199,$N199)))</f>
        <v>15</v>
      </c>
      <c r="AE199">
        <f>IF($A199="","",IF(Allocation!$N$3="VOL_EFF",$L199,IF(Allocation!$N$3="VOL_CLASS",$M199,$N199)))</f>
        <v>369.35234300000002</v>
      </c>
      <c r="AF199">
        <f>IF($A199="","",IF(Allocation!$N$3="VOL_EFF",$Q199,IF(Allocation!$N$3="VOL_CLASS",$R199,$S199)))</f>
        <v>865.92034200000012</v>
      </c>
      <c r="AG199">
        <f>IF($A199="","",IF(Allocation!$N$1="VOL_EFF",$Q199,IF(Allocation!$N$1="VOL_CLASS",$R199,$S199)))</f>
        <v>865.92034200000012</v>
      </c>
      <c r="AH199">
        <f>IF($A199="","",IF(Allocation!$N$1="VOL_EFF",$T199,IF(Allocation!$N$1="VOL_CLASS",$U199,$V199)))</f>
        <v>3253.6168479999983</v>
      </c>
      <c r="AI199">
        <f t="shared" si="69"/>
        <v>32630.461816399998</v>
      </c>
      <c r="AJ199">
        <f t="shared" si="70"/>
        <v>91045.817043999996</v>
      </c>
      <c r="AK199">
        <f t="shared" si="71"/>
        <v>62531.895577099618</v>
      </c>
      <c r="AL199">
        <f t="shared" si="72"/>
        <v>231516.0146314</v>
      </c>
      <c r="AM199">
        <f t="shared" si="73"/>
        <v>67564.283005038276</v>
      </c>
      <c r="AN199">
        <f t="shared" si="74"/>
        <v>178509.47597411403</v>
      </c>
      <c r="AO199">
        <f>IF($A199="","",Allocation!CJ199)</f>
        <v>743978.4</v>
      </c>
      <c r="AP199">
        <f>IF($A199="","",IF(Allocation!$N$2="VOL_EFF",$Q199,IF(Allocation!$N$2="VOL_CLASS",$R199,$S199)))</f>
        <v>6602533.1509509999</v>
      </c>
      <c r="AQ199">
        <f>IF($A199="","",IF(Allocation!$N$2="VOL_EFF",$T199,IF(Allocation!$N$2="VOL_CLASS",$U199,$V199)))</f>
        <v>24231703.809424989</v>
      </c>
      <c r="AR199">
        <f t="shared" si="75"/>
        <v>17293.379706948068</v>
      </c>
      <c r="AS199" t="str">
        <f>IF($A199="","",$A199&amp;"|"&amp;Allocation!BG199)</f>
        <v>2027|V01</v>
      </c>
    </row>
    <row r="200" spans="1:45" x14ac:dyDescent="0.45">
      <c r="A200" t="str">
        <f>IF(Allocation!BI200="","",Allocation!BI200)</f>
        <v>2027</v>
      </c>
      <c r="B200" t="str">
        <f>IF(Allocation!BJ200="","",Allocation!BJ200)</f>
        <v>ISCOM_PAR</v>
      </c>
      <c r="C200" t="str">
        <f>IF(Allocation!BK200="","",Allocation!BK200)</f>
        <v>ISCOM</v>
      </c>
      <c r="D200" t="str">
        <f>IF(Allocation!BL200="","",Allocation!BL200)</f>
        <v>MAS_COM</v>
      </c>
      <c r="E200" t="str">
        <f>IF(Allocation!BM200="","",Allocation!BM200)</f>
        <v>M2</v>
      </c>
      <c r="F200" t="str">
        <f>IF(Allocation!BN200="","",Allocation!BN200)</f>
        <v>ALT</v>
      </c>
      <c r="G200">
        <f>IF(Allocation!BO200="","",Allocation!BO200)</f>
        <v>71.36</v>
      </c>
      <c r="H200">
        <f>IF(Allocation!BP200="","",Allocation!BP200)</f>
        <v>3</v>
      </c>
      <c r="I200">
        <f>IF(Allocation!BQ200="","",Allocation!BQ200)</f>
        <v>601423.07903999998</v>
      </c>
      <c r="J200">
        <f>IF(Allocation!CC200="","",Allocation!CC200)</f>
        <v>0</v>
      </c>
      <c r="K200">
        <f t="shared" si="57"/>
        <v>1260</v>
      </c>
      <c r="L200">
        <f t="shared" si="58"/>
        <v>369.35234300000002</v>
      </c>
      <c r="M200">
        <f t="shared" si="59"/>
        <v>15</v>
      </c>
      <c r="N200">
        <f t="shared" si="60"/>
        <v>3048653.6062110001</v>
      </c>
      <c r="O200">
        <f t="shared" si="61"/>
        <v>7200</v>
      </c>
      <c r="P200">
        <f t="shared" si="62"/>
        <v>158.282343</v>
      </c>
      <c r="Q200">
        <f t="shared" si="63"/>
        <v>865.92034200000012</v>
      </c>
      <c r="R200">
        <f t="shared" si="64"/>
        <v>35</v>
      </c>
      <c r="S200">
        <f t="shared" si="65"/>
        <v>6602533.1509509999</v>
      </c>
      <c r="T200">
        <f t="shared" si="66"/>
        <v>3253.6168479999983</v>
      </c>
      <c r="U200">
        <f t="shared" si="67"/>
        <v>135</v>
      </c>
      <c r="V200">
        <f t="shared" si="68"/>
        <v>24231703.809424989</v>
      </c>
      <c r="W200">
        <f>IF($A200="","",Allocation!CD200)</f>
        <v>186459.781808</v>
      </c>
      <c r="X200">
        <f>IF($A200="","",Allocation!CE200)</f>
        <v>520261.81167999998</v>
      </c>
      <c r="Y200">
        <f>IF($A200="","",Allocation!CF200)</f>
        <v>135624.89855700001</v>
      </c>
      <c r="Z200">
        <f>IF($A200="","",Allocation!CG200)</f>
        <v>65664</v>
      </c>
      <c r="AA200">
        <f>IF($A200="","",Allocation!CH200)</f>
        <v>1157580.0731569999</v>
      </c>
      <c r="AB200">
        <f>IF($A200="","",Allocation!CI200)</f>
        <v>2975861.5814200002</v>
      </c>
      <c r="AC200">
        <f>IF($A200="","",IF(Allocation!$N$4="VOL_EFF",$G200,IF(Allocation!$N$4="VOL_CLASS",$H200,$I200)))</f>
        <v>3</v>
      </c>
      <c r="AD200">
        <f>IF($A200="","",IF(Allocation!$N$4="VOL_EFF",$L200,IF(Allocation!$N$4="VOL_CLASS",$M200,$N200)))</f>
        <v>15</v>
      </c>
      <c r="AE200">
        <f>IF($A200="","",IF(Allocation!$N$3="VOL_EFF",$L200,IF(Allocation!$N$3="VOL_CLASS",$M200,$N200)))</f>
        <v>369.35234300000002</v>
      </c>
      <c r="AF200">
        <f>IF($A200="","",IF(Allocation!$N$3="VOL_EFF",$Q200,IF(Allocation!$N$3="VOL_CLASS",$R200,$S200)))</f>
        <v>865.92034200000012</v>
      </c>
      <c r="AG200">
        <f>IF($A200="","",IF(Allocation!$N$1="VOL_EFF",$Q200,IF(Allocation!$N$1="VOL_CLASS",$R200,$S200)))</f>
        <v>865.92034200000012</v>
      </c>
      <c r="AH200">
        <f>IF($A200="","",IF(Allocation!$N$1="VOL_EFF",$T200,IF(Allocation!$N$1="VOL_CLASS",$U200,$V200)))</f>
        <v>3253.6168479999983</v>
      </c>
      <c r="AI200">
        <f t="shared" si="69"/>
        <v>32630.461816399998</v>
      </c>
      <c r="AJ200">
        <f t="shared" si="70"/>
        <v>91045.817043999996</v>
      </c>
      <c r="AK200">
        <f t="shared" si="71"/>
        <v>26203.144353757409</v>
      </c>
      <c r="AL200">
        <f t="shared" si="72"/>
        <v>231516.0146314</v>
      </c>
      <c r="AM200">
        <f t="shared" si="73"/>
        <v>67564.283005038276</v>
      </c>
      <c r="AN200">
        <f t="shared" si="74"/>
        <v>135169.97848245624</v>
      </c>
      <c r="AO200">
        <f>IF($A200="","",Allocation!CJ200)</f>
        <v>743978.4</v>
      </c>
      <c r="AP200">
        <f>IF($A200="","",IF(Allocation!$N$2="VOL_EFF",$Q200,IF(Allocation!$N$2="VOL_CLASS",$R200,$S200)))</f>
        <v>6602533.1509509999</v>
      </c>
      <c r="AQ200">
        <f>IF($A200="","",IF(Allocation!$N$2="VOL_EFF",$T200,IF(Allocation!$N$2="VOL_CLASS",$U200,$V200)))</f>
        <v>24231703.809424989</v>
      </c>
      <c r="AR200">
        <f t="shared" si="75"/>
        <v>17293.379706948068</v>
      </c>
      <c r="AS200" t="str">
        <f>IF($A200="","",$A200&amp;"|"&amp;Allocation!BG200)</f>
        <v>2027|V01</v>
      </c>
    </row>
    <row r="201" spans="1:45" x14ac:dyDescent="0.45">
      <c r="A201" t="str">
        <f>IF(Allocation!BI201="","",Allocation!BI201)</f>
        <v>2027</v>
      </c>
      <c r="B201" t="str">
        <f>IF(Allocation!BJ201="","",Allocation!BJ201)</f>
        <v>ISCOM_TLS</v>
      </c>
      <c r="C201" t="str">
        <f>IF(Allocation!BK201="","",Allocation!BK201)</f>
        <v>ISCOM</v>
      </c>
      <c r="D201" t="str">
        <f>IF(Allocation!BL201="","",Allocation!BL201)</f>
        <v>BAC_COM</v>
      </c>
      <c r="E201" t="str">
        <f>IF(Allocation!BM201="","",Allocation!BM201)</f>
        <v>B1</v>
      </c>
      <c r="F201" t="str">
        <f>IF(Allocation!BN201="","",Allocation!BN201)</f>
        <v>INIT</v>
      </c>
      <c r="G201">
        <f>IF(Allocation!BO201="","",Allocation!BO201)</f>
        <v>51.351967000000002</v>
      </c>
      <c r="H201">
        <f>IF(Allocation!BP201="","",Allocation!BP201)</f>
        <v>2</v>
      </c>
      <c r="I201">
        <f>IF(Allocation!BQ201="","",Allocation!BQ201)</f>
        <v>375588.90286199999</v>
      </c>
      <c r="J201">
        <f>IF(Allocation!CC201="","",Allocation!CC201)</f>
        <v>51.351967000000002</v>
      </c>
      <c r="K201">
        <f t="shared" si="57"/>
        <v>1200</v>
      </c>
      <c r="L201">
        <f t="shared" si="58"/>
        <v>241.481357</v>
      </c>
      <c r="M201">
        <f t="shared" si="59"/>
        <v>10</v>
      </c>
      <c r="N201">
        <f t="shared" si="60"/>
        <v>1709754.9257029998</v>
      </c>
      <c r="O201">
        <f t="shared" si="61"/>
        <v>4800</v>
      </c>
      <c r="P201">
        <f t="shared" si="62"/>
        <v>103.781357</v>
      </c>
      <c r="Q201">
        <f t="shared" si="63"/>
        <v>865.92034200000012</v>
      </c>
      <c r="R201">
        <f t="shared" si="64"/>
        <v>35</v>
      </c>
      <c r="S201">
        <f t="shared" si="65"/>
        <v>6602533.1509509999</v>
      </c>
      <c r="T201">
        <f t="shared" si="66"/>
        <v>3253.6168479999983</v>
      </c>
      <c r="U201">
        <f t="shared" si="67"/>
        <v>135</v>
      </c>
      <c r="V201">
        <f t="shared" si="68"/>
        <v>24231703.809424989</v>
      </c>
      <c r="W201">
        <f>IF($A201="","",Allocation!CD201)</f>
        <v>124306.17799500001</v>
      </c>
      <c r="X201">
        <f>IF($A201="","",Allocation!CE201)</f>
        <v>285351.00542</v>
      </c>
      <c r="Y201">
        <f>IF($A201="","",Allocation!CF201)</f>
        <v>88500.801162000003</v>
      </c>
      <c r="Z201">
        <f>IF($A201="","",Allocation!CG201)</f>
        <v>23849.64</v>
      </c>
      <c r="AA201">
        <f>IF($A201="","",Allocation!CH201)</f>
        <v>625795.44302600005</v>
      </c>
      <c r="AB201">
        <f>IF($A201="","",Allocation!CI201)</f>
        <v>2975861.5814200002</v>
      </c>
      <c r="AC201">
        <f>IF($A201="","",IF(Allocation!$N$4="VOL_EFF",$G201,IF(Allocation!$N$4="VOL_CLASS",$H201,$I201)))</f>
        <v>2</v>
      </c>
      <c r="AD201">
        <f>IF($A201="","",IF(Allocation!$N$4="VOL_EFF",$L201,IF(Allocation!$N$4="VOL_CLASS",$M201,$N201)))</f>
        <v>10</v>
      </c>
      <c r="AE201">
        <f>IF($A201="","",IF(Allocation!$N$3="VOL_EFF",$L201,IF(Allocation!$N$3="VOL_CLASS",$M201,$N201)))</f>
        <v>241.481357</v>
      </c>
      <c r="AF201">
        <f>IF($A201="","",IF(Allocation!$N$3="VOL_EFF",$Q201,IF(Allocation!$N$3="VOL_CLASS",$R201,$S201)))</f>
        <v>865.92034200000012</v>
      </c>
      <c r="AG201">
        <f>IF($A201="","",IF(Allocation!$N$1="VOL_EFF",$Q201,IF(Allocation!$N$1="VOL_CLASS",$R201,$S201)))</f>
        <v>865.92034200000012</v>
      </c>
      <c r="AH201">
        <f>IF($A201="","",IF(Allocation!$N$1="VOL_EFF",$T201,IF(Allocation!$N$1="VOL_CLASS",$U201,$V201)))</f>
        <v>3253.6168479999983</v>
      </c>
      <c r="AI201">
        <f t="shared" si="69"/>
        <v>31076.544498750001</v>
      </c>
      <c r="AJ201">
        <f t="shared" si="70"/>
        <v>71337.751355</v>
      </c>
      <c r="AK201">
        <f t="shared" si="71"/>
        <v>30621.066437694135</v>
      </c>
      <c r="AL201">
        <f t="shared" si="72"/>
        <v>125159.08860520001</v>
      </c>
      <c r="AM201">
        <f t="shared" si="73"/>
        <v>44173.307829236328</v>
      </c>
      <c r="AN201">
        <f t="shared" si="74"/>
        <v>61914.788895941514</v>
      </c>
      <c r="AO201">
        <f>IF($A201="","",Allocation!CJ201)</f>
        <v>743978.4</v>
      </c>
      <c r="AP201">
        <f>IF($A201="","",IF(Allocation!$N$2="VOL_EFF",$Q201,IF(Allocation!$N$2="VOL_CLASS",$R201,$S201)))</f>
        <v>6602533.1509509999</v>
      </c>
      <c r="AQ201">
        <f>IF($A201="","",IF(Allocation!$N$2="VOL_EFF",$T201,IF(Allocation!$N$2="VOL_CLASS",$U201,$V201)))</f>
        <v>24231703.809424989</v>
      </c>
      <c r="AR201">
        <f t="shared" si="75"/>
        <v>11306.355240178027</v>
      </c>
      <c r="AS201" t="str">
        <f>IF($A201="","",$A201&amp;"|"&amp;Allocation!BG201)</f>
        <v>2027|V01</v>
      </c>
    </row>
    <row r="202" spans="1:45" x14ac:dyDescent="0.45">
      <c r="A202" t="str">
        <f>IF(Allocation!BI202="","",Allocation!BI202)</f>
        <v>2027</v>
      </c>
      <c r="B202" t="str">
        <f>IF(Allocation!BJ202="","",Allocation!BJ202)</f>
        <v>ISCOM_TLS</v>
      </c>
      <c r="C202" t="str">
        <f>IF(Allocation!BK202="","",Allocation!BK202)</f>
        <v>ISCOM</v>
      </c>
      <c r="D202" t="str">
        <f>IF(Allocation!BL202="","",Allocation!BL202)</f>
        <v>BAC_COM</v>
      </c>
      <c r="E202" t="str">
        <f>IF(Allocation!BM202="","",Allocation!BM202)</f>
        <v>B2</v>
      </c>
      <c r="F202" t="str">
        <f>IF(Allocation!BN202="","",Allocation!BN202)</f>
        <v>ALT</v>
      </c>
      <c r="G202">
        <f>IF(Allocation!BO202="","",Allocation!BO202)</f>
        <v>46.234999999999999</v>
      </c>
      <c r="H202">
        <f>IF(Allocation!BP202="","",Allocation!BP202)</f>
        <v>2</v>
      </c>
      <c r="I202">
        <f>IF(Allocation!BQ202="","",Allocation!BQ202)</f>
        <v>311735.38183199998</v>
      </c>
      <c r="J202">
        <f>IF(Allocation!CC202="","",Allocation!CC202)</f>
        <v>0</v>
      </c>
      <c r="K202">
        <f t="shared" si="57"/>
        <v>960</v>
      </c>
      <c r="L202">
        <f t="shared" si="58"/>
        <v>241.481357</v>
      </c>
      <c r="M202">
        <f t="shared" si="59"/>
        <v>10</v>
      </c>
      <c r="N202">
        <f t="shared" si="60"/>
        <v>1709754.9257029998</v>
      </c>
      <c r="O202">
        <f t="shared" si="61"/>
        <v>4800</v>
      </c>
      <c r="P202">
        <f t="shared" si="62"/>
        <v>103.781357</v>
      </c>
      <c r="Q202">
        <f t="shared" si="63"/>
        <v>865.92034200000012</v>
      </c>
      <c r="R202">
        <f t="shared" si="64"/>
        <v>35</v>
      </c>
      <c r="S202">
        <f t="shared" si="65"/>
        <v>6602533.1509509999</v>
      </c>
      <c r="T202">
        <f t="shared" si="66"/>
        <v>3253.6168479999983</v>
      </c>
      <c r="U202">
        <f t="shared" si="67"/>
        <v>135</v>
      </c>
      <c r="V202">
        <f t="shared" si="68"/>
        <v>24231703.809424989</v>
      </c>
      <c r="W202">
        <f>IF($A202="","",Allocation!CD202)</f>
        <v>124306.17799500001</v>
      </c>
      <c r="X202">
        <f>IF($A202="","",Allocation!CE202)</f>
        <v>285351.00542</v>
      </c>
      <c r="Y202">
        <f>IF($A202="","",Allocation!CF202)</f>
        <v>88500.801162000003</v>
      </c>
      <c r="Z202">
        <f>IF($A202="","",Allocation!CG202)</f>
        <v>23849.64</v>
      </c>
      <c r="AA202">
        <f>IF($A202="","",Allocation!CH202)</f>
        <v>625795.44302600005</v>
      </c>
      <c r="AB202">
        <f>IF($A202="","",Allocation!CI202)</f>
        <v>2975861.5814200002</v>
      </c>
      <c r="AC202">
        <f>IF($A202="","",IF(Allocation!$N$4="VOL_EFF",$G202,IF(Allocation!$N$4="VOL_CLASS",$H202,$I202)))</f>
        <v>2</v>
      </c>
      <c r="AD202">
        <f>IF($A202="","",IF(Allocation!$N$4="VOL_EFF",$L202,IF(Allocation!$N$4="VOL_CLASS",$M202,$N202)))</f>
        <v>10</v>
      </c>
      <c r="AE202">
        <f>IF($A202="","",IF(Allocation!$N$3="VOL_EFF",$L202,IF(Allocation!$N$3="VOL_CLASS",$M202,$N202)))</f>
        <v>241.481357</v>
      </c>
      <c r="AF202">
        <f>IF($A202="","",IF(Allocation!$N$3="VOL_EFF",$Q202,IF(Allocation!$N$3="VOL_CLASS",$R202,$S202)))</f>
        <v>865.92034200000012</v>
      </c>
      <c r="AG202">
        <f>IF($A202="","",IF(Allocation!$N$1="VOL_EFF",$Q202,IF(Allocation!$N$1="VOL_CLASS",$R202,$S202)))</f>
        <v>865.92034200000012</v>
      </c>
      <c r="AH202">
        <f>IF($A202="","",IF(Allocation!$N$1="VOL_EFF",$T202,IF(Allocation!$N$1="VOL_CLASS",$U202,$V202)))</f>
        <v>3253.6168479999983</v>
      </c>
      <c r="AI202">
        <f t="shared" si="69"/>
        <v>24861.235599000003</v>
      </c>
      <c r="AJ202">
        <f t="shared" si="70"/>
        <v>57070.201084</v>
      </c>
      <c r="AK202">
        <f t="shared" si="71"/>
        <v>16944.722327881693</v>
      </c>
      <c r="AL202">
        <f t="shared" si="72"/>
        <v>125159.08860520001</v>
      </c>
      <c r="AM202">
        <f t="shared" si="73"/>
        <v>44173.307829236328</v>
      </c>
      <c r="AN202">
        <f t="shared" si="74"/>
        <v>32220.471146503929</v>
      </c>
      <c r="AO202">
        <f>IF($A202="","",Allocation!CJ202)</f>
        <v>743978.4</v>
      </c>
      <c r="AP202">
        <f>IF($A202="","",IF(Allocation!$N$2="VOL_EFF",$Q202,IF(Allocation!$N$2="VOL_CLASS",$R202,$S202)))</f>
        <v>6602533.1509509999</v>
      </c>
      <c r="AQ202">
        <f>IF($A202="","",IF(Allocation!$N$2="VOL_EFF",$T202,IF(Allocation!$N$2="VOL_CLASS",$U202,$V202)))</f>
        <v>24231703.809424989</v>
      </c>
      <c r="AR202">
        <f t="shared" si="75"/>
        <v>11306.355240178027</v>
      </c>
      <c r="AS202" t="str">
        <f>IF($A202="","",$A202&amp;"|"&amp;Allocation!BG202)</f>
        <v>2027|V01</v>
      </c>
    </row>
    <row r="203" spans="1:45" x14ac:dyDescent="0.45">
      <c r="A203" t="str">
        <f>IF(Allocation!BI203="","",Allocation!BI203)</f>
        <v>2027</v>
      </c>
      <c r="B203" t="str">
        <f>IF(Allocation!BJ203="","",Allocation!BJ203)</f>
        <v>ISCOM_TLS</v>
      </c>
      <c r="C203" t="str">
        <f>IF(Allocation!BK203="","",Allocation!BK203)</f>
        <v>ISCOM</v>
      </c>
      <c r="D203" t="str">
        <f>IF(Allocation!BL203="","",Allocation!BL203)</f>
        <v>BAC_COM</v>
      </c>
      <c r="E203" t="str">
        <f>IF(Allocation!BM203="","",Allocation!BM203)</f>
        <v>B3</v>
      </c>
      <c r="F203" t="str">
        <f>IF(Allocation!BN203="","",Allocation!BN203)</f>
        <v>ALT</v>
      </c>
      <c r="G203">
        <f>IF(Allocation!BO203="","",Allocation!BO203)</f>
        <v>45.23</v>
      </c>
      <c r="H203">
        <f>IF(Allocation!BP203="","",Allocation!BP203)</f>
        <v>2</v>
      </c>
      <c r="I203">
        <f>IF(Allocation!BQ203="","",Allocation!BQ203)</f>
        <v>304959.25857599999</v>
      </c>
      <c r="J203">
        <f>IF(Allocation!CC203="","",Allocation!CC203)</f>
        <v>0</v>
      </c>
      <c r="K203">
        <f t="shared" si="57"/>
        <v>960</v>
      </c>
      <c r="L203">
        <f t="shared" si="58"/>
        <v>241.481357</v>
      </c>
      <c r="M203">
        <f t="shared" si="59"/>
        <v>10</v>
      </c>
      <c r="N203">
        <f t="shared" si="60"/>
        <v>1709754.9257029998</v>
      </c>
      <c r="O203">
        <f t="shared" si="61"/>
        <v>4800</v>
      </c>
      <c r="P203">
        <f t="shared" si="62"/>
        <v>103.781357</v>
      </c>
      <c r="Q203">
        <f t="shared" si="63"/>
        <v>865.92034200000012</v>
      </c>
      <c r="R203">
        <f t="shared" si="64"/>
        <v>35</v>
      </c>
      <c r="S203">
        <f t="shared" si="65"/>
        <v>6602533.1509509999</v>
      </c>
      <c r="T203">
        <f t="shared" si="66"/>
        <v>3253.6168479999983</v>
      </c>
      <c r="U203">
        <f t="shared" si="67"/>
        <v>135</v>
      </c>
      <c r="V203">
        <f t="shared" si="68"/>
        <v>24231703.809424989</v>
      </c>
      <c r="W203">
        <f>IF($A203="","",Allocation!CD203)</f>
        <v>124306.17799500001</v>
      </c>
      <c r="X203">
        <f>IF($A203="","",Allocation!CE203)</f>
        <v>285351.00542</v>
      </c>
      <c r="Y203">
        <f>IF($A203="","",Allocation!CF203)</f>
        <v>88500.801162000003</v>
      </c>
      <c r="Z203">
        <f>IF($A203="","",Allocation!CG203)</f>
        <v>23849.64</v>
      </c>
      <c r="AA203">
        <f>IF($A203="","",Allocation!CH203)</f>
        <v>625795.44302600005</v>
      </c>
      <c r="AB203">
        <f>IF($A203="","",Allocation!CI203)</f>
        <v>2975861.5814200002</v>
      </c>
      <c r="AC203">
        <f>IF($A203="","",IF(Allocation!$N$4="VOL_EFF",$G203,IF(Allocation!$N$4="VOL_CLASS",$H203,$I203)))</f>
        <v>2</v>
      </c>
      <c r="AD203">
        <f>IF($A203="","",IF(Allocation!$N$4="VOL_EFF",$L203,IF(Allocation!$N$4="VOL_CLASS",$M203,$N203)))</f>
        <v>10</v>
      </c>
      <c r="AE203">
        <f>IF($A203="","",IF(Allocation!$N$3="VOL_EFF",$L203,IF(Allocation!$N$3="VOL_CLASS",$M203,$N203)))</f>
        <v>241.481357</v>
      </c>
      <c r="AF203">
        <f>IF($A203="","",IF(Allocation!$N$3="VOL_EFF",$Q203,IF(Allocation!$N$3="VOL_CLASS",$R203,$S203)))</f>
        <v>865.92034200000012</v>
      </c>
      <c r="AG203">
        <f>IF($A203="","",IF(Allocation!$N$1="VOL_EFF",$Q203,IF(Allocation!$N$1="VOL_CLASS",$R203,$S203)))</f>
        <v>865.92034200000012</v>
      </c>
      <c r="AH203">
        <f>IF($A203="","",IF(Allocation!$N$1="VOL_EFF",$T203,IF(Allocation!$N$1="VOL_CLASS",$U203,$V203)))</f>
        <v>3253.6168479999983</v>
      </c>
      <c r="AI203">
        <f t="shared" si="69"/>
        <v>24861.235599000003</v>
      </c>
      <c r="AJ203">
        <f t="shared" si="70"/>
        <v>57070.201084</v>
      </c>
      <c r="AK203">
        <f t="shared" si="71"/>
        <v>16576.398635018686</v>
      </c>
      <c r="AL203">
        <f t="shared" si="72"/>
        <v>125159.08860520001</v>
      </c>
      <c r="AM203">
        <f t="shared" si="73"/>
        <v>44173.307829236328</v>
      </c>
      <c r="AN203">
        <f t="shared" si="74"/>
        <v>25812.67158336693</v>
      </c>
      <c r="AO203">
        <f>IF($A203="","",Allocation!CJ203)</f>
        <v>743978.4</v>
      </c>
      <c r="AP203">
        <f>IF($A203="","",IF(Allocation!$N$2="VOL_EFF",$Q203,IF(Allocation!$N$2="VOL_CLASS",$R203,$S203)))</f>
        <v>6602533.1509509999</v>
      </c>
      <c r="AQ203">
        <f>IF($A203="","",IF(Allocation!$N$2="VOL_EFF",$T203,IF(Allocation!$N$2="VOL_CLASS",$U203,$V203)))</f>
        <v>24231703.809424989</v>
      </c>
      <c r="AR203">
        <f t="shared" si="75"/>
        <v>11306.355240178027</v>
      </c>
      <c r="AS203" t="str">
        <f>IF($A203="","",$A203&amp;"|"&amp;Allocation!BG203)</f>
        <v>2027|V01</v>
      </c>
    </row>
    <row r="204" spans="1:45" x14ac:dyDescent="0.45">
      <c r="A204" t="str">
        <f>IF(Allocation!BI204="","",Allocation!BI204)</f>
        <v>2027</v>
      </c>
      <c r="B204" t="str">
        <f>IF(Allocation!BJ204="","",Allocation!BJ204)</f>
        <v>ISCOM_TLS</v>
      </c>
      <c r="C204" t="str">
        <f>IF(Allocation!BK204="","",Allocation!BK204)</f>
        <v>ISCOM</v>
      </c>
      <c r="D204" t="str">
        <f>IF(Allocation!BL204="","",Allocation!BL204)</f>
        <v>MAS_COM</v>
      </c>
      <c r="E204" t="str">
        <f>IF(Allocation!BM204="","",Allocation!BM204)</f>
        <v>M1</v>
      </c>
      <c r="F204" t="str">
        <f>IF(Allocation!BN204="","",Allocation!BN204)</f>
        <v>ALT</v>
      </c>
      <c r="G204">
        <f>IF(Allocation!BO204="","",Allocation!BO204)</f>
        <v>52.429389999999998</v>
      </c>
      <c r="H204">
        <f>IF(Allocation!BP204="","",Allocation!BP204)</f>
        <v>2</v>
      </c>
      <c r="I204">
        <f>IF(Allocation!BQ204="","",Allocation!BQ204)</f>
        <v>383469.18761299999</v>
      </c>
      <c r="J204">
        <f>IF(Allocation!CC204="","",Allocation!CC204)</f>
        <v>52.429389999999998</v>
      </c>
      <c r="K204">
        <f t="shared" si="57"/>
        <v>840</v>
      </c>
      <c r="L204">
        <f t="shared" si="58"/>
        <v>241.481357</v>
      </c>
      <c r="M204">
        <f t="shared" si="59"/>
        <v>10</v>
      </c>
      <c r="N204">
        <f t="shared" si="60"/>
        <v>1709754.9257029998</v>
      </c>
      <c r="O204">
        <f t="shared" si="61"/>
        <v>4800</v>
      </c>
      <c r="P204">
        <f t="shared" si="62"/>
        <v>103.781357</v>
      </c>
      <c r="Q204">
        <f t="shared" si="63"/>
        <v>865.92034200000012</v>
      </c>
      <c r="R204">
        <f t="shared" si="64"/>
        <v>35</v>
      </c>
      <c r="S204">
        <f t="shared" si="65"/>
        <v>6602533.1509509999</v>
      </c>
      <c r="T204">
        <f t="shared" si="66"/>
        <v>3253.6168479999983</v>
      </c>
      <c r="U204">
        <f t="shared" si="67"/>
        <v>135</v>
      </c>
      <c r="V204">
        <f t="shared" si="68"/>
        <v>24231703.809424989</v>
      </c>
      <c r="W204">
        <f>IF($A204="","",Allocation!CD204)</f>
        <v>124306.17799500001</v>
      </c>
      <c r="X204">
        <f>IF($A204="","",Allocation!CE204)</f>
        <v>285351.00542</v>
      </c>
      <c r="Y204">
        <f>IF($A204="","",Allocation!CF204)</f>
        <v>88500.801162000003</v>
      </c>
      <c r="Z204">
        <f>IF($A204="","",Allocation!CG204)</f>
        <v>23849.64</v>
      </c>
      <c r="AA204">
        <f>IF($A204="","",Allocation!CH204)</f>
        <v>625795.44302600005</v>
      </c>
      <c r="AB204">
        <f>IF($A204="","",Allocation!CI204)</f>
        <v>2975861.5814200002</v>
      </c>
      <c r="AC204">
        <f>IF($A204="","",IF(Allocation!$N$4="VOL_EFF",$G204,IF(Allocation!$N$4="VOL_CLASS",$H204,$I204)))</f>
        <v>2</v>
      </c>
      <c r="AD204">
        <f>IF($A204="","",IF(Allocation!$N$4="VOL_EFF",$L204,IF(Allocation!$N$4="VOL_CLASS",$M204,$N204)))</f>
        <v>10</v>
      </c>
      <c r="AE204">
        <f>IF($A204="","",IF(Allocation!$N$3="VOL_EFF",$L204,IF(Allocation!$N$3="VOL_CLASS",$M204,$N204)))</f>
        <v>241.481357</v>
      </c>
      <c r="AF204">
        <f>IF($A204="","",IF(Allocation!$N$3="VOL_EFF",$Q204,IF(Allocation!$N$3="VOL_CLASS",$R204,$S204)))</f>
        <v>865.92034200000012</v>
      </c>
      <c r="AG204">
        <f>IF($A204="","",IF(Allocation!$N$1="VOL_EFF",$Q204,IF(Allocation!$N$1="VOL_CLASS",$R204,$S204)))</f>
        <v>865.92034200000012</v>
      </c>
      <c r="AH204">
        <f>IF($A204="","",IF(Allocation!$N$1="VOL_EFF",$T204,IF(Allocation!$N$1="VOL_CLASS",$U204,$V204)))</f>
        <v>3253.6168479999983</v>
      </c>
      <c r="AI204">
        <f t="shared" si="69"/>
        <v>21753.581149124999</v>
      </c>
      <c r="AJ204">
        <f t="shared" si="70"/>
        <v>49936.4259485</v>
      </c>
      <c r="AK204">
        <f t="shared" si="71"/>
        <v>31263.531433523793</v>
      </c>
      <c r="AL204">
        <f t="shared" si="72"/>
        <v>125159.08860520001</v>
      </c>
      <c r="AM204">
        <f t="shared" si="73"/>
        <v>44173.307829236328</v>
      </c>
      <c r="AN204">
        <f t="shared" si="74"/>
        <v>99876.897407236858</v>
      </c>
      <c r="AO204">
        <f>IF($A204="","",Allocation!CJ204)</f>
        <v>743978.4</v>
      </c>
      <c r="AP204">
        <f>IF($A204="","",IF(Allocation!$N$2="VOL_EFF",$Q204,IF(Allocation!$N$2="VOL_CLASS",$R204,$S204)))</f>
        <v>6602533.1509509999</v>
      </c>
      <c r="AQ204">
        <f>IF($A204="","",IF(Allocation!$N$2="VOL_EFF",$T204,IF(Allocation!$N$2="VOL_CLASS",$U204,$V204)))</f>
        <v>24231703.809424989</v>
      </c>
      <c r="AR204">
        <f t="shared" si="75"/>
        <v>11306.355240178027</v>
      </c>
      <c r="AS204" t="str">
        <f>IF($A204="","",$A204&amp;"|"&amp;Allocation!BG204)</f>
        <v>2027|V01</v>
      </c>
    </row>
    <row r="205" spans="1:45" x14ac:dyDescent="0.45">
      <c r="A205" t="str">
        <f>IF(Allocation!BI205="","",Allocation!BI205)</f>
        <v>2027</v>
      </c>
      <c r="B205" t="str">
        <f>IF(Allocation!BJ205="","",Allocation!BJ205)</f>
        <v>ISCOM_TLS</v>
      </c>
      <c r="C205" t="str">
        <f>IF(Allocation!BK205="","",Allocation!BK205)</f>
        <v>ISCOM</v>
      </c>
      <c r="D205" t="str">
        <f>IF(Allocation!BL205="","",Allocation!BL205)</f>
        <v>MAS_COM</v>
      </c>
      <c r="E205" t="str">
        <f>IF(Allocation!BM205="","",Allocation!BM205)</f>
        <v>M2</v>
      </c>
      <c r="F205" t="str">
        <f>IF(Allocation!BN205="","",Allocation!BN205)</f>
        <v>ALT</v>
      </c>
      <c r="G205">
        <f>IF(Allocation!BO205="","",Allocation!BO205)</f>
        <v>46.234999999999999</v>
      </c>
      <c r="H205">
        <f>IF(Allocation!BP205="","",Allocation!BP205)</f>
        <v>2</v>
      </c>
      <c r="I205">
        <f>IF(Allocation!BQ205="","",Allocation!BQ205)</f>
        <v>334002.19481999998</v>
      </c>
      <c r="J205">
        <f>IF(Allocation!CC205="","",Allocation!CC205)</f>
        <v>0</v>
      </c>
      <c r="K205">
        <f t="shared" si="57"/>
        <v>840</v>
      </c>
      <c r="L205">
        <f t="shared" si="58"/>
        <v>241.481357</v>
      </c>
      <c r="M205">
        <f t="shared" si="59"/>
        <v>10</v>
      </c>
      <c r="N205">
        <f t="shared" si="60"/>
        <v>1709754.9257029998</v>
      </c>
      <c r="O205">
        <f t="shared" si="61"/>
        <v>4800</v>
      </c>
      <c r="P205">
        <f t="shared" si="62"/>
        <v>103.781357</v>
      </c>
      <c r="Q205">
        <f t="shared" si="63"/>
        <v>865.92034200000012</v>
      </c>
      <c r="R205">
        <f t="shared" si="64"/>
        <v>35</v>
      </c>
      <c r="S205">
        <f t="shared" si="65"/>
        <v>6602533.1509509999</v>
      </c>
      <c r="T205">
        <f t="shared" si="66"/>
        <v>3253.6168479999983</v>
      </c>
      <c r="U205">
        <f t="shared" si="67"/>
        <v>135</v>
      </c>
      <c r="V205">
        <f t="shared" si="68"/>
        <v>24231703.809424989</v>
      </c>
      <c r="W205">
        <f>IF($A205="","",Allocation!CD205)</f>
        <v>124306.17799500001</v>
      </c>
      <c r="X205">
        <f>IF($A205="","",Allocation!CE205)</f>
        <v>285351.00542</v>
      </c>
      <c r="Y205">
        <f>IF($A205="","",Allocation!CF205)</f>
        <v>88500.801162000003</v>
      </c>
      <c r="Z205">
        <f>IF($A205="","",Allocation!CG205)</f>
        <v>23849.64</v>
      </c>
      <c r="AA205">
        <f>IF($A205="","",Allocation!CH205)</f>
        <v>625795.44302600005</v>
      </c>
      <c r="AB205">
        <f>IF($A205="","",Allocation!CI205)</f>
        <v>2975861.5814200002</v>
      </c>
      <c r="AC205">
        <f>IF($A205="","",IF(Allocation!$N$4="VOL_EFF",$G205,IF(Allocation!$N$4="VOL_CLASS",$H205,$I205)))</f>
        <v>2</v>
      </c>
      <c r="AD205">
        <f>IF($A205="","",IF(Allocation!$N$4="VOL_EFF",$L205,IF(Allocation!$N$4="VOL_CLASS",$M205,$N205)))</f>
        <v>10</v>
      </c>
      <c r="AE205">
        <f>IF($A205="","",IF(Allocation!$N$3="VOL_EFF",$L205,IF(Allocation!$N$3="VOL_CLASS",$M205,$N205)))</f>
        <v>241.481357</v>
      </c>
      <c r="AF205">
        <f>IF($A205="","",IF(Allocation!$N$3="VOL_EFF",$Q205,IF(Allocation!$N$3="VOL_CLASS",$R205,$S205)))</f>
        <v>865.92034200000012</v>
      </c>
      <c r="AG205">
        <f>IF($A205="","",IF(Allocation!$N$1="VOL_EFF",$Q205,IF(Allocation!$N$1="VOL_CLASS",$R205,$S205)))</f>
        <v>865.92034200000012</v>
      </c>
      <c r="AH205">
        <f>IF($A205="","",IF(Allocation!$N$1="VOL_EFF",$T205,IF(Allocation!$N$1="VOL_CLASS",$U205,$V205)))</f>
        <v>3253.6168479999983</v>
      </c>
      <c r="AI205">
        <f t="shared" si="69"/>
        <v>21753.581149124999</v>
      </c>
      <c r="AJ205">
        <f t="shared" si="70"/>
        <v>49936.4259485</v>
      </c>
      <c r="AK205">
        <f t="shared" si="71"/>
        <v>16944.722327881693</v>
      </c>
      <c r="AL205">
        <f t="shared" si="72"/>
        <v>125159.08860520001</v>
      </c>
      <c r="AM205">
        <f t="shared" si="73"/>
        <v>44173.307829236328</v>
      </c>
      <c r="AN205">
        <f t="shared" si="74"/>
        <v>64728.713719878928</v>
      </c>
      <c r="AO205">
        <f>IF($A205="","",Allocation!CJ205)</f>
        <v>743978.4</v>
      </c>
      <c r="AP205">
        <f>IF($A205="","",IF(Allocation!$N$2="VOL_EFF",$Q205,IF(Allocation!$N$2="VOL_CLASS",$R205,$S205)))</f>
        <v>6602533.1509509999</v>
      </c>
      <c r="AQ205">
        <f>IF($A205="","",IF(Allocation!$N$2="VOL_EFF",$T205,IF(Allocation!$N$2="VOL_CLASS",$U205,$V205)))</f>
        <v>24231703.809424989</v>
      </c>
      <c r="AR205">
        <f t="shared" si="75"/>
        <v>11306.355240178027</v>
      </c>
      <c r="AS205" t="str">
        <f>IF($A205="","",$A205&amp;"|"&amp;Allocation!BG205)</f>
        <v>2027|V01</v>
      </c>
    </row>
    <row r="206" spans="1:45" x14ac:dyDescent="0.45">
      <c r="A206" t="str">
        <f>IF(Allocation!BI206="","",Allocation!BI206)</f>
        <v>2027</v>
      </c>
      <c r="B206" t="str">
        <f>IF(Allocation!BJ206="","",Allocation!BJ206)</f>
        <v>MBWAY_BOR</v>
      </c>
      <c r="C206" t="str">
        <f>IF(Allocation!BK206="","",Allocation!BK206)</f>
        <v>MBWAY</v>
      </c>
      <c r="D206" t="str">
        <f>IF(Allocation!BL206="","",Allocation!BL206)</f>
        <v>BAC_MGT</v>
      </c>
      <c r="E206" t="str">
        <f>IF(Allocation!BM206="","",Allocation!BM206)</f>
        <v>B1</v>
      </c>
      <c r="F206" t="str">
        <f>IF(Allocation!BN206="","",Allocation!BN206)</f>
        <v>INIT</v>
      </c>
      <c r="G206">
        <f>IF(Allocation!BO206="","",Allocation!BO206)</f>
        <v>55.746749999999999</v>
      </c>
      <c r="H206">
        <f>IF(Allocation!BP206="","",Allocation!BP206)</f>
        <v>2</v>
      </c>
      <c r="I206">
        <f>IF(Allocation!BQ206="","",Allocation!BQ206)</f>
        <v>411986.15422000003</v>
      </c>
      <c r="J206">
        <f>IF(Allocation!CC206="","",Allocation!CC206)</f>
        <v>55.746749999999999</v>
      </c>
      <c r="K206">
        <f t="shared" si="57"/>
        <v>1200</v>
      </c>
      <c r="L206">
        <f t="shared" si="58"/>
        <v>260.41181</v>
      </c>
      <c r="M206">
        <f t="shared" si="59"/>
        <v>10</v>
      </c>
      <c r="N206">
        <f t="shared" si="60"/>
        <v>1863775.8159439999</v>
      </c>
      <c r="O206">
        <f t="shared" si="61"/>
        <v>4800</v>
      </c>
      <c r="P206">
        <f t="shared" si="62"/>
        <v>112.65681000000001</v>
      </c>
      <c r="Q206">
        <f t="shared" si="63"/>
        <v>1305.0354259999999</v>
      </c>
      <c r="R206">
        <f t="shared" si="64"/>
        <v>50</v>
      </c>
      <c r="S206">
        <f t="shared" si="65"/>
        <v>10043742.187895998</v>
      </c>
      <c r="T206">
        <f t="shared" si="66"/>
        <v>3253.6168479999983</v>
      </c>
      <c r="U206">
        <f t="shared" si="67"/>
        <v>135</v>
      </c>
      <c r="V206">
        <f t="shared" si="68"/>
        <v>24231703.809424989</v>
      </c>
      <c r="W206">
        <f>IF($A206="","",Allocation!CD206)</f>
        <v>124306.17799500001</v>
      </c>
      <c r="X206">
        <f>IF($A206="","",Allocation!CE206)</f>
        <v>298839.33794</v>
      </c>
      <c r="Y206">
        <f>IF($A206="","",Allocation!CF206)</f>
        <v>95397.261664999998</v>
      </c>
      <c r="Z206">
        <f>IF($A206="","",Allocation!CG206)</f>
        <v>26916.84</v>
      </c>
      <c r="AA206">
        <f>IF($A206="","",Allocation!CH206)</f>
        <v>689721.51392299996</v>
      </c>
      <c r="AB206">
        <f>IF($A206="","",Allocation!CI206)</f>
        <v>2975861.5814200002</v>
      </c>
      <c r="AC206">
        <f>IF($A206="","",IF(Allocation!$N$4="VOL_EFF",$G206,IF(Allocation!$N$4="VOL_CLASS",$H206,$I206)))</f>
        <v>2</v>
      </c>
      <c r="AD206">
        <f>IF($A206="","",IF(Allocation!$N$4="VOL_EFF",$L206,IF(Allocation!$N$4="VOL_CLASS",$M206,$N206)))</f>
        <v>10</v>
      </c>
      <c r="AE206">
        <f>IF($A206="","",IF(Allocation!$N$3="VOL_EFF",$L206,IF(Allocation!$N$3="VOL_CLASS",$M206,$N206)))</f>
        <v>260.41181</v>
      </c>
      <c r="AF206">
        <f>IF($A206="","",IF(Allocation!$N$3="VOL_EFF",$Q206,IF(Allocation!$N$3="VOL_CLASS",$R206,$S206)))</f>
        <v>1305.0354259999999</v>
      </c>
      <c r="AG206">
        <f>IF($A206="","",IF(Allocation!$N$1="VOL_EFF",$Q206,IF(Allocation!$N$1="VOL_CLASS",$R206,$S206)))</f>
        <v>1305.0354259999999</v>
      </c>
      <c r="AH206">
        <f>IF($A206="","",IF(Allocation!$N$1="VOL_EFF",$T206,IF(Allocation!$N$1="VOL_CLASS",$U206,$V206)))</f>
        <v>3253.6168479999983</v>
      </c>
      <c r="AI206">
        <f t="shared" si="69"/>
        <v>31076.544498750001</v>
      </c>
      <c r="AJ206">
        <f t="shared" si="70"/>
        <v>74709.834484999999</v>
      </c>
      <c r="AK206">
        <f t="shared" si="71"/>
        <v>33741.282548438838</v>
      </c>
      <c r="AL206">
        <f t="shared" si="72"/>
        <v>137944.3027846</v>
      </c>
      <c r="AM206">
        <f t="shared" si="73"/>
        <v>47636.186860994836</v>
      </c>
      <c r="AN206">
        <f t="shared" si="74"/>
        <v>74571.340217987483</v>
      </c>
      <c r="AO206">
        <f>IF($A206="","",Allocation!CJ206)</f>
        <v>743978.4</v>
      </c>
      <c r="AP206">
        <f>IF($A206="","",IF(Allocation!$N$2="VOL_EFF",$Q206,IF(Allocation!$N$2="VOL_CLASS",$R206,$S206)))</f>
        <v>10043742.187895998</v>
      </c>
      <c r="AQ206">
        <f>IF($A206="","",IF(Allocation!$N$2="VOL_EFF",$T206,IF(Allocation!$N$2="VOL_CLASS",$U206,$V206)))</f>
        <v>24231703.809424989</v>
      </c>
      <c r="AR206">
        <f t="shared" si="75"/>
        <v>12306.662824228884</v>
      </c>
      <c r="AS206" t="str">
        <f>IF($A206="","",$A206&amp;"|"&amp;Allocation!BG206)</f>
        <v>2027|V01</v>
      </c>
    </row>
    <row r="207" spans="1:45" x14ac:dyDescent="0.45">
      <c r="A207" t="str">
        <f>IF(Allocation!BI207="","",Allocation!BI207)</f>
        <v>2027</v>
      </c>
      <c r="B207" t="str">
        <f>IF(Allocation!BJ207="","",Allocation!BJ207)</f>
        <v>MBWAY_BOR</v>
      </c>
      <c r="C207" t="str">
        <f>IF(Allocation!BK207="","",Allocation!BK207)</f>
        <v>MBWAY</v>
      </c>
      <c r="D207" t="str">
        <f>IF(Allocation!BL207="","",Allocation!BL207)</f>
        <v>BAC_MGT</v>
      </c>
      <c r="E207" t="str">
        <f>IF(Allocation!BM207="","",Allocation!BM207)</f>
        <v>B2</v>
      </c>
      <c r="F207" t="str">
        <f>IF(Allocation!BN207="","",Allocation!BN207)</f>
        <v>ALT</v>
      </c>
      <c r="G207">
        <f>IF(Allocation!BO207="","",Allocation!BO207)</f>
        <v>49.255000000000003</v>
      </c>
      <c r="H207">
        <f>IF(Allocation!BP207="","",Allocation!BP207)</f>
        <v>2</v>
      </c>
      <c r="I207">
        <f>IF(Allocation!BQ207="","",Allocation!BQ207)</f>
        <v>335605.30624599999</v>
      </c>
      <c r="J207">
        <f>IF(Allocation!CC207="","",Allocation!CC207)</f>
        <v>0</v>
      </c>
      <c r="K207">
        <f t="shared" si="57"/>
        <v>960</v>
      </c>
      <c r="L207">
        <f t="shared" si="58"/>
        <v>260.41181</v>
      </c>
      <c r="M207">
        <f t="shared" si="59"/>
        <v>10</v>
      </c>
      <c r="N207">
        <f t="shared" si="60"/>
        <v>1863775.8159439999</v>
      </c>
      <c r="O207">
        <f t="shared" si="61"/>
        <v>4800</v>
      </c>
      <c r="P207">
        <f t="shared" si="62"/>
        <v>112.65681000000001</v>
      </c>
      <c r="Q207">
        <f t="shared" si="63"/>
        <v>1305.0354259999999</v>
      </c>
      <c r="R207">
        <f t="shared" si="64"/>
        <v>50</v>
      </c>
      <c r="S207">
        <f t="shared" si="65"/>
        <v>10043742.187895998</v>
      </c>
      <c r="T207">
        <f t="shared" si="66"/>
        <v>3253.6168479999983</v>
      </c>
      <c r="U207">
        <f t="shared" si="67"/>
        <v>135</v>
      </c>
      <c r="V207">
        <f t="shared" si="68"/>
        <v>24231703.809424989</v>
      </c>
      <c r="W207">
        <f>IF($A207="","",Allocation!CD207)</f>
        <v>124306.17799500001</v>
      </c>
      <c r="X207">
        <f>IF($A207="","",Allocation!CE207)</f>
        <v>298839.33794</v>
      </c>
      <c r="Y207">
        <f>IF($A207="","",Allocation!CF207)</f>
        <v>95397.261664999998</v>
      </c>
      <c r="Z207">
        <f>IF($A207="","",Allocation!CG207)</f>
        <v>26916.84</v>
      </c>
      <c r="AA207">
        <f>IF($A207="","",Allocation!CH207)</f>
        <v>689721.51392299996</v>
      </c>
      <c r="AB207">
        <f>IF($A207="","",Allocation!CI207)</f>
        <v>2975861.5814200002</v>
      </c>
      <c r="AC207">
        <f>IF($A207="","",IF(Allocation!$N$4="VOL_EFF",$G207,IF(Allocation!$N$4="VOL_CLASS",$H207,$I207)))</f>
        <v>2</v>
      </c>
      <c r="AD207">
        <f>IF($A207="","",IF(Allocation!$N$4="VOL_EFF",$L207,IF(Allocation!$N$4="VOL_CLASS",$M207,$N207)))</f>
        <v>10</v>
      </c>
      <c r="AE207">
        <f>IF($A207="","",IF(Allocation!$N$3="VOL_EFF",$L207,IF(Allocation!$N$3="VOL_CLASS",$M207,$N207)))</f>
        <v>260.41181</v>
      </c>
      <c r="AF207">
        <f>IF($A207="","",IF(Allocation!$N$3="VOL_EFF",$Q207,IF(Allocation!$N$3="VOL_CLASS",$R207,$S207)))</f>
        <v>1305.0354259999999</v>
      </c>
      <c r="AG207">
        <f>IF($A207="","",IF(Allocation!$N$1="VOL_EFF",$Q207,IF(Allocation!$N$1="VOL_CLASS",$R207,$S207)))</f>
        <v>1305.0354259999999</v>
      </c>
      <c r="AH207">
        <f>IF($A207="","",IF(Allocation!$N$1="VOL_EFF",$T207,IF(Allocation!$N$1="VOL_CLASS",$U207,$V207)))</f>
        <v>3253.6168479999983</v>
      </c>
      <c r="AI207">
        <f t="shared" si="69"/>
        <v>24861.235599000003</v>
      </c>
      <c r="AJ207">
        <f t="shared" si="70"/>
        <v>59767.867588000001</v>
      </c>
      <c r="AK207">
        <f t="shared" si="71"/>
        <v>18043.69826126386</v>
      </c>
      <c r="AL207">
        <f t="shared" si="72"/>
        <v>137944.3027846</v>
      </c>
      <c r="AM207">
        <f t="shared" si="73"/>
        <v>47636.186860994836</v>
      </c>
      <c r="AN207">
        <f t="shared" si="74"/>
        <v>35045.352327912406</v>
      </c>
      <c r="AO207">
        <f>IF($A207="","",Allocation!CJ207)</f>
        <v>743978.4</v>
      </c>
      <c r="AP207">
        <f>IF($A207="","",IF(Allocation!$N$2="VOL_EFF",$Q207,IF(Allocation!$N$2="VOL_CLASS",$R207,$S207)))</f>
        <v>10043742.187895998</v>
      </c>
      <c r="AQ207">
        <f>IF($A207="","",IF(Allocation!$N$2="VOL_EFF",$T207,IF(Allocation!$N$2="VOL_CLASS",$U207,$V207)))</f>
        <v>24231703.809424989</v>
      </c>
      <c r="AR207">
        <f t="shared" si="75"/>
        <v>12306.662824228884</v>
      </c>
      <c r="AS207" t="str">
        <f>IF($A207="","",$A207&amp;"|"&amp;Allocation!BG207)</f>
        <v>2027|V01</v>
      </c>
    </row>
    <row r="208" spans="1:45" x14ac:dyDescent="0.45">
      <c r="A208" t="str">
        <f>IF(Allocation!BI208="","",Allocation!BI208)</f>
        <v>2027</v>
      </c>
      <c r="B208" t="str">
        <f>IF(Allocation!BJ208="","",Allocation!BJ208)</f>
        <v>MBWAY_BOR</v>
      </c>
      <c r="C208" t="str">
        <f>IF(Allocation!BK208="","",Allocation!BK208)</f>
        <v>MBWAY</v>
      </c>
      <c r="D208" t="str">
        <f>IF(Allocation!BL208="","",Allocation!BL208)</f>
        <v>BAC_MGT</v>
      </c>
      <c r="E208" t="str">
        <f>IF(Allocation!BM208="","",Allocation!BM208)</f>
        <v>B3</v>
      </c>
      <c r="F208" t="str">
        <f>IF(Allocation!BN208="","",Allocation!BN208)</f>
        <v>ALT</v>
      </c>
      <c r="G208">
        <f>IF(Allocation!BO208="","",Allocation!BO208)</f>
        <v>48.244999999999997</v>
      </c>
      <c r="H208">
        <f>IF(Allocation!BP208="","",Allocation!BP208)</f>
        <v>2</v>
      </c>
      <c r="I208">
        <f>IF(Allocation!BQ208="","",Allocation!BQ208)</f>
        <v>328723.54075400002</v>
      </c>
      <c r="J208">
        <f>IF(Allocation!CC208="","",Allocation!CC208)</f>
        <v>0</v>
      </c>
      <c r="K208">
        <f t="shared" si="57"/>
        <v>960</v>
      </c>
      <c r="L208">
        <f t="shared" si="58"/>
        <v>260.41181</v>
      </c>
      <c r="M208">
        <f t="shared" si="59"/>
        <v>10</v>
      </c>
      <c r="N208">
        <f t="shared" si="60"/>
        <v>1863775.8159439999</v>
      </c>
      <c r="O208">
        <f t="shared" si="61"/>
        <v>4800</v>
      </c>
      <c r="P208">
        <f t="shared" si="62"/>
        <v>112.65681000000001</v>
      </c>
      <c r="Q208">
        <f t="shared" si="63"/>
        <v>1305.0354259999999</v>
      </c>
      <c r="R208">
        <f t="shared" si="64"/>
        <v>50</v>
      </c>
      <c r="S208">
        <f t="shared" si="65"/>
        <v>10043742.187895998</v>
      </c>
      <c r="T208">
        <f t="shared" si="66"/>
        <v>3253.6168479999983</v>
      </c>
      <c r="U208">
        <f t="shared" si="67"/>
        <v>135</v>
      </c>
      <c r="V208">
        <f t="shared" si="68"/>
        <v>24231703.809424989</v>
      </c>
      <c r="W208">
        <f>IF($A208="","",Allocation!CD208)</f>
        <v>124306.17799500001</v>
      </c>
      <c r="X208">
        <f>IF($A208="","",Allocation!CE208)</f>
        <v>298839.33794</v>
      </c>
      <c r="Y208">
        <f>IF($A208="","",Allocation!CF208)</f>
        <v>95397.261664999998</v>
      </c>
      <c r="Z208">
        <f>IF($A208="","",Allocation!CG208)</f>
        <v>26916.84</v>
      </c>
      <c r="AA208">
        <f>IF($A208="","",Allocation!CH208)</f>
        <v>689721.51392299996</v>
      </c>
      <c r="AB208">
        <f>IF($A208="","",Allocation!CI208)</f>
        <v>2975861.5814200002</v>
      </c>
      <c r="AC208">
        <f>IF($A208="","",IF(Allocation!$N$4="VOL_EFF",$G208,IF(Allocation!$N$4="VOL_CLASS",$H208,$I208)))</f>
        <v>2</v>
      </c>
      <c r="AD208">
        <f>IF($A208="","",IF(Allocation!$N$4="VOL_EFF",$L208,IF(Allocation!$N$4="VOL_CLASS",$M208,$N208)))</f>
        <v>10</v>
      </c>
      <c r="AE208">
        <f>IF($A208="","",IF(Allocation!$N$3="VOL_EFF",$L208,IF(Allocation!$N$3="VOL_CLASS",$M208,$N208)))</f>
        <v>260.41181</v>
      </c>
      <c r="AF208">
        <f>IF($A208="","",IF(Allocation!$N$3="VOL_EFF",$Q208,IF(Allocation!$N$3="VOL_CLASS",$R208,$S208)))</f>
        <v>1305.0354259999999</v>
      </c>
      <c r="AG208">
        <f>IF($A208="","",IF(Allocation!$N$1="VOL_EFF",$Q208,IF(Allocation!$N$1="VOL_CLASS",$R208,$S208)))</f>
        <v>1305.0354259999999</v>
      </c>
      <c r="AH208">
        <f>IF($A208="","",IF(Allocation!$N$1="VOL_EFF",$T208,IF(Allocation!$N$1="VOL_CLASS",$U208,$V208)))</f>
        <v>3253.6168479999983</v>
      </c>
      <c r="AI208">
        <f t="shared" si="69"/>
        <v>24861.235599000003</v>
      </c>
      <c r="AJ208">
        <f t="shared" si="70"/>
        <v>59767.867588000001</v>
      </c>
      <c r="AK208">
        <f t="shared" si="71"/>
        <v>17673.702621351636</v>
      </c>
      <c r="AL208">
        <f t="shared" si="72"/>
        <v>137944.3027846</v>
      </c>
      <c r="AM208">
        <f t="shared" si="73"/>
        <v>47636.186860994836</v>
      </c>
      <c r="AN208">
        <f t="shared" si="74"/>
        <v>28533.582475824689</v>
      </c>
      <c r="AO208">
        <f>IF($A208="","",Allocation!CJ208)</f>
        <v>743978.4</v>
      </c>
      <c r="AP208">
        <f>IF($A208="","",IF(Allocation!$N$2="VOL_EFF",$Q208,IF(Allocation!$N$2="VOL_CLASS",$R208,$S208)))</f>
        <v>10043742.187895998</v>
      </c>
      <c r="AQ208">
        <f>IF($A208="","",IF(Allocation!$N$2="VOL_EFF",$T208,IF(Allocation!$N$2="VOL_CLASS",$U208,$V208)))</f>
        <v>24231703.809424989</v>
      </c>
      <c r="AR208">
        <f t="shared" si="75"/>
        <v>12306.662824228884</v>
      </c>
      <c r="AS208" t="str">
        <f>IF($A208="","",$A208&amp;"|"&amp;Allocation!BG208)</f>
        <v>2027|V01</v>
      </c>
    </row>
    <row r="209" spans="1:45" x14ac:dyDescent="0.45">
      <c r="A209" t="str">
        <f>IF(Allocation!BI209="","",Allocation!BI209)</f>
        <v>2027</v>
      </c>
      <c r="B209" t="str">
        <f>IF(Allocation!BJ209="","",Allocation!BJ209)</f>
        <v>MBWAY_BOR</v>
      </c>
      <c r="C209" t="str">
        <f>IF(Allocation!BK209="","",Allocation!BK209)</f>
        <v>MBWAY</v>
      </c>
      <c r="D209" t="str">
        <f>IF(Allocation!BL209="","",Allocation!BL209)</f>
        <v>MAS_MGT</v>
      </c>
      <c r="E209" t="str">
        <f>IF(Allocation!BM209="","",Allocation!BM209)</f>
        <v>M1</v>
      </c>
      <c r="F209" t="str">
        <f>IF(Allocation!BN209="","",Allocation!BN209)</f>
        <v>ALT</v>
      </c>
      <c r="G209">
        <f>IF(Allocation!BO209="","",Allocation!BO209)</f>
        <v>56.910060000000001</v>
      </c>
      <c r="H209">
        <f>IF(Allocation!BP209="","",Allocation!BP209)</f>
        <v>2</v>
      </c>
      <c r="I209">
        <f>IF(Allocation!BQ209="","",Allocation!BQ209)</f>
        <v>420583.38388899999</v>
      </c>
      <c r="J209">
        <f>IF(Allocation!CC209="","",Allocation!CC209)</f>
        <v>56.910060000000001</v>
      </c>
      <c r="K209">
        <f t="shared" si="57"/>
        <v>840</v>
      </c>
      <c r="L209">
        <f t="shared" si="58"/>
        <v>260.41181</v>
      </c>
      <c r="M209">
        <f t="shared" si="59"/>
        <v>10</v>
      </c>
      <c r="N209">
        <f t="shared" si="60"/>
        <v>1863775.8159439999</v>
      </c>
      <c r="O209">
        <f t="shared" si="61"/>
        <v>4800</v>
      </c>
      <c r="P209">
        <f t="shared" si="62"/>
        <v>112.65681000000001</v>
      </c>
      <c r="Q209">
        <f t="shared" si="63"/>
        <v>1305.0354259999999</v>
      </c>
      <c r="R209">
        <f t="shared" si="64"/>
        <v>50</v>
      </c>
      <c r="S209">
        <f t="shared" si="65"/>
        <v>10043742.187895998</v>
      </c>
      <c r="T209">
        <f t="shared" si="66"/>
        <v>3253.6168479999983</v>
      </c>
      <c r="U209">
        <f t="shared" si="67"/>
        <v>135</v>
      </c>
      <c r="V209">
        <f t="shared" si="68"/>
        <v>24231703.809424989</v>
      </c>
      <c r="W209">
        <f>IF($A209="","",Allocation!CD209)</f>
        <v>124306.17799500001</v>
      </c>
      <c r="X209">
        <f>IF($A209="","",Allocation!CE209)</f>
        <v>298839.33794</v>
      </c>
      <c r="Y209">
        <f>IF($A209="","",Allocation!CF209)</f>
        <v>95397.261664999998</v>
      </c>
      <c r="Z209">
        <f>IF($A209="","",Allocation!CG209)</f>
        <v>26916.84</v>
      </c>
      <c r="AA209">
        <f>IF($A209="","",Allocation!CH209)</f>
        <v>689721.51392299996</v>
      </c>
      <c r="AB209">
        <f>IF($A209="","",Allocation!CI209)</f>
        <v>2975861.5814200002</v>
      </c>
      <c r="AC209">
        <f>IF($A209="","",IF(Allocation!$N$4="VOL_EFF",$G209,IF(Allocation!$N$4="VOL_CLASS",$H209,$I209)))</f>
        <v>2</v>
      </c>
      <c r="AD209">
        <f>IF($A209="","",IF(Allocation!$N$4="VOL_EFF",$L209,IF(Allocation!$N$4="VOL_CLASS",$M209,$N209)))</f>
        <v>10</v>
      </c>
      <c r="AE209">
        <f>IF($A209="","",IF(Allocation!$N$3="VOL_EFF",$L209,IF(Allocation!$N$3="VOL_CLASS",$M209,$N209)))</f>
        <v>260.41181</v>
      </c>
      <c r="AF209">
        <f>IF($A209="","",IF(Allocation!$N$3="VOL_EFF",$Q209,IF(Allocation!$N$3="VOL_CLASS",$R209,$S209)))</f>
        <v>1305.0354259999999</v>
      </c>
      <c r="AG209">
        <f>IF($A209="","",IF(Allocation!$N$1="VOL_EFF",$Q209,IF(Allocation!$N$1="VOL_CLASS",$R209,$S209)))</f>
        <v>1305.0354259999999</v>
      </c>
      <c r="AH209">
        <f>IF($A209="","",IF(Allocation!$N$1="VOL_EFF",$T209,IF(Allocation!$N$1="VOL_CLASS",$U209,$V209)))</f>
        <v>3253.6168479999983</v>
      </c>
      <c r="AI209">
        <f t="shared" si="69"/>
        <v>21753.581149124999</v>
      </c>
      <c r="AJ209">
        <f t="shared" si="70"/>
        <v>52296.884139499998</v>
      </c>
      <c r="AK209">
        <f t="shared" si="71"/>
        <v>34445.387655937026</v>
      </c>
      <c r="AL209">
        <f t="shared" si="72"/>
        <v>137944.3027846</v>
      </c>
      <c r="AM209">
        <f t="shared" si="73"/>
        <v>47636.186860994836</v>
      </c>
      <c r="AN209">
        <f t="shared" si="74"/>
        <v>114200.37847461423</v>
      </c>
      <c r="AO209">
        <f>IF($A209="","",Allocation!CJ209)</f>
        <v>743978.4</v>
      </c>
      <c r="AP209">
        <f>IF($A209="","",IF(Allocation!$N$2="VOL_EFF",$Q209,IF(Allocation!$N$2="VOL_CLASS",$R209,$S209)))</f>
        <v>10043742.187895998</v>
      </c>
      <c r="AQ209">
        <f>IF($A209="","",IF(Allocation!$N$2="VOL_EFF",$T209,IF(Allocation!$N$2="VOL_CLASS",$U209,$V209)))</f>
        <v>24231703.809424989</v>
      </c>
      <c r="AR209">
        <f t="shared" si="75"/>
        <v>12306.662824228884</v>
      </c>
      <c r="AS209" t="str">
        <f>IF($A209="","",$A209&amp;"|"&amp;Allocation!BG209)</f>
        <v>2027|V01</v>
      </c>
    </row>
    <row r="210" spans="1:45" x14ac:dyDescent="0.45">
      <c r="A210" t="str">
        <f>IF(Allocation!BI210="","",Allocation!BI210)</f>
        <v>2027</v>
      </c>
      <c r="B210" t="str">
        <f>IF(Allocation!BJ210="","",Allocation!BJ210)</f>
        <v>MBWAY_BOR</v>
      </c>
      <c r="C210" t="str">
        <f>IF(Allocation!BK210="","",Allocation!BK210)</f>
        <v>MBWAY</v>
      </c>
      <c r="D210" t="str">
        <f>IF(Allocation!BL210="","",Allocation!BL210)</f>
        <v>MAS_MGT</v>
      </c>
      <c r="E210" t="str">
        <f>IF(Allocation!BM210="","",Allocation!BM210)</f>
        <v>M2</v>
      </c>
      <c r="F210" t="str">
        <f>IF(Allocation!BN210="","",Allocation!BN210)</f>
        <v>ALT</v>
      </c>
      <c r="G210">
        <f>IF(Allocation!BO210="","",Allocation!BO210)</f>
        <v>50.255000000000003</v>
      </c>
      <c r="H210">
        <f>IF(Allocation!BP210="","",Allocation!BP210)</f>
        <v>2</v>
      </c>
      <c r="I210">
        <f>IF(Allocation!BQ210="","",Allocation!BQ210)</f>
        <v>366877.43083500001</v>
      </c>
      <c r="J210">
        <f>IF(Allocation!CC210="","",Allocation!CC210)</f>
        <v>0</v>
      </c>
      <c r="K210">
        <f t="shared" si="57"/>
        <v>840</v>
      </c>
      <c r="L210">
        <f t="shared" si="58"/>
        <v>260.41181</v>
      </c>
      <c r="M210">
        <f t="shared" si="59"/>
        <v>10</v>
      </c>
      <c r="N210">
        <f t="shared" si="60"/>
        <v>1863775.8159439999</v>
      </c>
      <c r="O210">
        <f t="shared" si="61"/>
        <v>4800</v>
      </c>
      <c r="P210">
        <f t="shared" si="62"/>
        <v>112.65681000000001</v>
      </c>
      <c r="Q210">
        <f t="shared" si="63"/>
        <v>1305.0354259999999</v>
      </c>
      <c r="R210">
        <f t="shared" si="64"/>
        <v>50</v>
      </c>
      <c r="S210">
        <f t="shared" si="65"/>
        <v>10043742.187895998</v>
      </c>
      <c r="T210">
        <f t="shared" si="66"/>
        <v>3253.6168479999983</v>
      </c>
      <c r="U210">
        <f t="shared" si="67"/>
        <v>135</v>
      </c>
      <c r="V210">
        <f t="shared" si="68"/>
        <v>24231703.809424989</v>
      </c>
      <c r="W210">
        <f>IF($A210="","",Allocation!CD210)</f>
        <v>124306.17799500001</v>
      </c>
      <c r="X210">
        <f>IF($A210="","",Allocation!CE210)</f>
        <v>298839.33794</v>
      </c>
      <c r="Y210">
        <f>IF($A210="","",Allocation!CF210)</f>
        <v>95397.261664999998</v>
      </c>
      <c r="Z210">
        <f>IF($A210="","",Allocation!CG210)</f>
        <v>26916.84</v>
      </c>
      <c r="AA210">
        <f>IF($A210="","",Allocation!CH210)</f>
        <v>689721.51392299996</v>
      </c>
      <c r="AB210">
        <f>IF($A210="","",Allocation!CI210)</f>
        <v>2975861.5814200002</v>
      </c>
      <c r="AC210">
        <f>IF($A210="","",IF(Allocation!$N$4="VOL_EFF",$G210,IF(Allocation!$N$4="VOL_CLASS",$H210,$I210)))</f>
        <v>2</v>
      </c>
      <c r="AD210">
        <f>IF($A210="","",IF(Allocation!$N$4="VOL_EFF",$L210,IF(Allocation!$N$4="VOL_CLASS",$M210,$N210)))</f>
        <v>10</v>
      </c>
      <c r="AE210">
        <f>IF($A210="","",IF(Allocation!$N$3="VOL_EFF",$L210,IF(Allocation!$N$3="VOL_CLASS",$M210,$N210)))</f>
        <v>260.41181</v>
      </c>
      <c r="AF210">
        <f>IF($A210="","",IF(Allocation!$N$3="VOL_EFF",$Q210,IF(Allocation!$N$3="VOL_CLASS",$R210,$S210)))</f>
        <v>1305.0354259999999</v>
      </c>
      <c r="AG210">
        <f>IF($A210="","",IF(Allocation!$N$1="VOL_EFF",$Q210,IF(Allocation!$N$1="VOL_CLASS",$R210,$S210)))</f>
        <v>1305.0354259999999</v>
      </c>
      <c r="AH210">
        <f>IF($A210="","",IF(Allocation!$N$1="VOL_EFF",$T210,IF(Allocation!$N$1="VOL_CLASS",$U210,$V210)))</f>
        <v>3253.6168479999983</v>
      </c>
      <c r="AI210">
        <f t="shared" si="69"/>
        <v>21753.581149124999</v>
      </c>
      <c r="AJ210">
        <f t="shared" si="70"/>
        <v>52296.884139499998</v>
      </c>
      <c r="AK210">
        <f t="shared" si="71"/>
        <v>18410.030578008638</v>
      </c>
      <c r="AL210">
        <f t="shared" si="72"/>
        <v>137944.3027846</v>
      </c>
      <c r="AM210">
        <f t="shared" si="73"/>
        <v>47636.186860994836</v>
      </c>
      <c r="AN210">
        <f t="shared" si="74"/>
        <v>76529.782498542685</v>
      </c>
      <c r="AO210">
        <f>IF($A210="","",Allocation!CJ210)</f>
        <v>743978.4</v>
      </c>
      <c r="AP210">
        <f>IF($A210="","",IF(Allocation!$N$2="VOL_EFF",$Q210,IF(Allocation!$N$2="VOL_CLASS",$R210,$S210)))</f>
        <v>10043742.187895998</v>
      </c>
      <c r="AQ210">
        <f>IF($A210="","",IF(Allocation!$N$2="VOL_EFF",$T210,IF(Allocation!$N$2="VOL_CLASS",$U210,$V210)))</f>
        <v>24231703.809424989</v>
      </c>
      <c r="AR210">
        <f t="shared" si="75"/>
        <v>12306.662824228884</v>
      </c>
      <c r="AS210" t="str">
        <f>IF($A210="","",$A210&amp;"|"&amp;Allocation!BG210)</f>
        <v>2027|V01</v>
      </c>
    </row>
    <row r="211" spans="1:45" x14ac:dyDescent="0.45">
      <c r="A211" t="str">
        <f>IF(Allocation!BI211="","",Allocation!BI211)</f>
        <v>2027</v>
      </c>
      <c r="B211" t="str">
        <f>IF(Allocation!BJ211="","",Allocation!BJ211)</f>
        <v>MBWAY_LYO</v>
      </c>
      <c r="C211" t="str">
        <f>IF(Allocation!BK211="","",Allocation!BK211)</f>
        <v>MBWAY</v>
      </c>
      <c r="D211" t="str">
        <f>IF(Allocation!BL211="","",Allocation!BL211)</f>
        <v>BAC_MGT</v>
      </c>
      <c r="E211" t="str">
        <f>IF(Allocation!BM211="","",Allocation!BM211)</f>
        <v>B1</v>
      </c>
      <c r="F211" t="str">
        <f>IF(Allocation!BN211="","",Allocation!BN211)</f>
        <v>INIT</v>
      </c>
      <c r="G211">
        <f>IF(Allocation!BO211="","",Allocation!BO211)</f>
        <v>72.005854999999997</v>
      </c>
      <c r="H211">
        <f>IF(Allocation!BP211="","",Allocation!BP211)</f>
        <v>3</v>
      </c>
      <c r="I211">
        <f>IF(Allocation!BQ211="","",Allocation!BQ211)</f>
        <v>575499.95553100004</v>
      </c>
      <c r="J211">
        <f>IF(Allocation!CC211="","",Allocation!CC211)</f>
        <v>72.005854999999997</v>
      </c>
      <c r="K211">
        <f t="shared" si="57"/>
        <v>1800</v>
      </c>
      <c r="L211">
        <f t="shared" si="58"/>
        <v>338.49820199999994</v>
      </c>
      <c r="M211">
        <f t="shared" si="59"/>
        <v>13</v>
      </c>
      <c r="N211">
        <f t="shared" si="60"/>
        <v>2620797.0556059997</v>
      </c>
      <c r="O211">
        <f t="shared" si="61"/>
        <v>6240</v>
      </c>
      <c r="P211">
        <f t="shared" si="62"/>
        <v>145.518202</v>
      </c>
      <c r="Q211">
        <f t="shared" si="63"/>
        <v>1305.0354259999999</v>
      </c>
      <c r="R211">
        <f t="shared" si="64"/>
        <v>50</v>
      </c>
      <c r="S211">
        <f t="shared" si="65"/>
        <v>10043742.187895998</v>
      </c>
      <c r="T211">
        <f t="shared" si="66"/>
        <v>3253.6168479999983</v>
      </c>
      <c r="U211">
        <f t="shared" si="67"/>
        <v>135</v>
      </c>
      <c r="V211">
        <f t="shared" si="68"/>
        <v>24231703.809424989</v>
      </c>
      <c r="W211">
        <f>IF($A211="","",Allocation!CD211)</f>
        <v>161598.340283</v>
      </c>
      <c r="X211">
        <f>IF($A211="","",Allocation!CE211)</f>
        <v>426605.52480000001</v>
      </c>
      <c r="Y211">
        <f>IF($A211="","",Allocation!CF211)</f>
        <v>124131.140927</v>
      </c>
      <c r="Z211">
        <f>IF($A211="","",Allocation!CG211)</f>
        <v>45125.64</v>
      </c>
      <c r="AA211">
        <f>IF($A211="","",Allocation!CH211)</f>
        <v>985233.87368199998</v>
      </c>
      <c r="AB211">
        <f>IF($A211="","",Allocation!CI211)</f>
        <v>2975861.5814200002</v>
      </c>
      <c r="AC211">
        <f>IF($A211="","",IF(Allocation!$N$4="VOL_EFF",$G211,IF(Allocation!$N$4="VOL_CLASS",$H211,$I211)))</f>
        <v>3</v>
      </c>
      <c r="AD211">
        <f>IF($A211="","",IF(Allocation!$N$4="VOL_EFF",$L211,IF(Allocation!$N$4="VOL_CLASS",$M211,$N211)))</f>
        <v>13</v>
      </c>
      <c r="AE211">
        <f>IF($A211="","",IF(Allocation!$N$3="VOL_EFF",$L211,IF(Allocation!$N$3="VOL_CLASS",$M211,$N211)))</f>
        <v>338.49820199999994</v>
      </c>
      <c r="AF211">
        <f>IF($A211="","",IF(Allocation!$N$3="VOL_EFF",$Q211,IF(Allocation!$N$3="VOL_CLASS",$R211,$S211)))</f>
        <v>1305.0354259999999</v>
      </c>
      <c r="AG211">
        <f>IF($A211="","",IF(Allocation!$N$1="VOL_EFF",$Q211,IF(Allocation!$N$1="VOL_CLASS",$R211,$S211)))</f>
        <v>1305.0354259999999</v>
      </c>
      <c r="AH211">
        <f>IF($A211="","",IF(Allocation!$N$1="VOL_EFF",$T211,IF(Allocation!$N$1="VOL_CLASS",$U211,$V211)))</f>
        <v>3253.6168479999983</v>
      </c>
      <c r="AI211">
        <f t="shared" si="69"/>
        <v>46614.905850865383</v>
      </c>
      <c r="AJ211">
        <f t="shared" si="70"/>
        <v>123059.28599999999</v>
      </c>
      <c r="AK211">
        <f t="shared" si="71"/>
        <v>48734.602169380174</v>
      </c>
      <c r="AL211">
        <f t="shared" si="72"/>
        <v>227361.66315738461</v>
      </c>
      <c r="AM211">
        <f t="shared" si="73"/>
        <v>71446.438871257735</v>
      </c>
      <c r="AN211">
        <f t="shared" si="74"/>
        <v>39825.091052644886</v>
      </c>
      <c r="AO211">
        <f>IF($A211="","",Allocation!CJ211)</f>
        <v>743978.4</v>
      </c>
      <c r="AP211">
        <f>IF($A211="","",IF(Allocation!$N$2="VOL_EFF",$Q211,IF(Allocation!$N$2="VOL_CLASS",$R211,$S211)))</f>
        <v>10043742.187895998</v>
      </c>
      <c r="AQ211">
        <f>IF($A211="","",IF(Allocation!$N$2="VOL_EFF",$T211,IF(Allocation!$N$2="VOL_CLASS",$U211,$V211)))</f>
        <v>24231703.809424989</v>
      </c>
      <c r="AR211">
        <f t="shared" si="75"/>
        <v>18457.968429467328</v>
      </c>
      <c r="AS211" t="str">
        <f>IF($A211="","",$A211&amp;"|"&amp;Allocation!BG211)</f>
        <v>2027|V01</v>
      </c>
    </row>
    <row r="212" spans="1:45" x14ac:dyDescent="0.45">
      <c r="A212" t="str">
        <f>IF(Allocation!BI212="","",Allocation!BI212)</f>
        <v>2027</v>
      </c>
      <c r="B212" t="str">
        <f>IF(Allocation!BJ212="","",Allocation!BJ212)</f>
        <v>MBWAY_LYO</v>
      </c>
      <c r="C212" t="str">
        <f>IF(Allocation!BK212="","",Allocation!BK212)</f>
        <v>MBWAY</v>
      </c>
      <c r="D212" t="str">
        <f>IF(Allocation!BL212="","",Allocation!BL212)</f>
        <v>BAC_MGT</v>
      </c>
      <c r="E212" t="str">
        <f>IF(Allocation!BM212="","",Allocation!BM212)</f>
        <v>B2</v>
      </c>
      <c r="F212" t="str">
        <f>IF(Allocation!BN212="","",Allocation!BN212)</f>
        <v>ALT</v>
      </c>
      <c r="G212">
        <f>IF(Allocation!BO212="","",Allocation!BO212)</f>
        <v>64.33</v>
      </c>
      <c r="H212">
        <f>IF(Allocation!BP212="","",Allocation!BP212)</f>
        <v>2</v>
      </c>
      <c r="I212">
        <f>IF(Allocation!BQ212="","",Allocation!BQ212)</f>
        <v>474470.93274000002</v>
      </c>
      <c r="J212">
        <f>IF(Allocation!CC212="","",Allocation!CC212)</f>
        <v>0</v>
      </c>
      <c r="K212">
        <f t="shared" si="57"/>
        <v>960</v>
      </c>
      <c r="L212">
        <f t="shared" si="58"/>
        <v>338.49820199999994</v>
      </c>
      <c r="M212">
        <f t="shared" si="59"/>
        <v>13</v>
      </c>
      <c r="N212">
        <f t="shared" si="60"/>
        <v>2620797.0556059997</v>
      </c>
      <c r="O212">
        <f t="shared" si="61"/>
        <v>6240</v>
      </c>
      <c r="P212">
        <f t="shared" si="62"/>
        <v>145.518202</v>
      </c>
      <c r="Q212">
        <f t="shared" si="63"/>
        <v>1305.0354259999999</v>
      </c>
      <c r="R212">
        <f t="shared" si="64"/>
        <v>50</v>
      </c>
      <c r="S212">
        <f t="shared" si="65"/>
        <v>10043742.187895998</v>
      </c>
      <c r="T212">
        <f t="shared" si="66"/>
        <v>3253.6168479999983</v>
      </c>
      <c r="U212">
        <f t="shared" si="67"/>
        <v>135</v>
      </c>
      <c r="V212">
        <f t="shared" si="68"/>
        <v>24231703.809424989</v>
      </c>
      <c r="W212">
        <f>IF($A212="","",Allocation!CD212)</f>
        <v>161598.340283</v>
      </c>
      <c r="X212">
        <f>IF($A212="","",Allocation!CE212)</f>
        <v>426605.52480000001</v>
      </c>
      <c r="Y212">
        <f>IF($A212="","",Allocation!CF212)</f>
        <v>124131.140927</v>
      </c>
      <c r="Z212">
        <f>IF($A212="","",Allocation!CG212)</f>
        <v>45125.64</v>
      </c>
      <c r="AA212">
        <f>IF($A212="","",Allocation!CH212)</f>
        <v>985233.87368199998</v>
      </c>
      <c r="AB212">
        <f>IF($A212="","",Allocation!CI212)</f>
        <v>2975861.5814200002</v>
      </c>
      <c r="AC212">
        <f>IF($A212="","",IF(Allocation!$N$4="VOL_EFF",$G212,IF(Allocation!$N$4="VOL_CLASS",$H212,$I212)))</f>
        <v>2</v>
      </c>
      <c r="AD212">
        <f>IF($A212="","",IF(Allocation!$N$4="VOL_EFF",$L212,IF(Allocation!$N$4="VOL_CLASS",$M212,$N212)))</f>
        <v>13</v>
      </c>
      <c r="AE212">
        <f>IF($A212="","",IF(Allocation!$N$3="VOL_EFF",$L212,IF(Allocation!$N$3="VOL_CLASS",$M212,$N212)))</f>
        <v>338.49820199999994</v>
      </c>
      <c r="AF212">
        <f>IF($A212="","",IF(Allocation!$N$3="VOL_EFF",$Q212,IF(Allocation!$N$3="VOL_CLASS",$R212,$S212)))</f>
        <v>1305.0354259999999</v>
      </c>
      <c r="AG212">
        <f>IF($A212="","",IF(Allocation!$N$1="VOL_EFF",$Q212,IF(Allocation!$N$1="VOL_CLASS",$R212,$S212)))</f>
        <v>1305.0354259999999</v>
      </c>
      <c r="AH212">
        <f>IF($A212="","",IF(Allocation!$N$1="VOL_EFF",$T212,IF(Allocation!$N$1="VOL_CLASS",$U212,$V212)))</f>
        <v>3253.6168479999983</v>
      </c>
      <c r="AI212">
        <f t="shared" si="69"/>
        <v>24861.28312046154</v>
      </c>
      <c r="AJ212">
        <f t="shared" si="70"/>
        <v>65631.619200000001</v>
      </c>
      <c r="AK212">
        <f t="shared" si="71"/>
        <v>23590.542722687522</v>
      </c>
      <c r="AL212">
        <f t="shared" si="72"/>
        <v>151574.44210492307</v>
      </c>
      <c r="AM212">
        <f t="shared" si="73"/>
        <v>47630.959247505154</v>
      </c>
      <c r="AN212">
        <f t="shared" si="74"/>
        <v>148876.77405811119</v>
      </c>
      <c r="AO212">
        <f>IF($A212="","",Allocation!CJ212)</f>
        <v>743978.4</v>
      </c>
      <c r="AP212">
        <f>IF($A212="","",IF(Allocation!$N$2="VOL_EFF",$Q212,IF(Allocation!$N$2="VOL_CLASS",$R212,$S212)))</f>
        <v>10043742.187895998</v>
      </c>
      <c r="AQ212">
        <f>IF($A212="","",IF(Allocation!$N$2="VOL_EFF",$T212,IF(Allocation!$N$2="VOL_CLASS",$U212,$V212)))</f>
        <v>24231703.809424989</v>
      </c>
      <c r="AR212">
        <f t="shared" si="75"/>
        <v>12305.312286311553</v>
      </c>
      <c r="AS212" t="str">
        <f>IF($A212="","",$A212&amp;"|"&amp;Allocation!BG212)</f>
        <v>2027|V01</v>
      </c>
    </row>
    <row r="213" spans="1:45" x14ac:dyDescent="0.45">
      <c r="A213" t="str">
        <f>IF(Allocation!BI213="","",Allocation!BI213)</f>
        <v>2027</v>
      </c>
      <c r="B213" t="str">
        <f>IF(Allocation!BJ213="","",Allocation!BJ213)</f>
        <v>MBWAY_LYO</v>
      </c>
      <c r="C213" t="str">
        <f>IF(Allocation!BK213="","",Allocation!BK213)</f>
        <v>MBWAY</v>
      </c>
      <c r="D213" t="str">
        <f>IF(Allocation!BL213="","",Allocation!BL213)</f>
        <v>BAC_MGT</v>
      </c>
      <c r="E213" t="str">
        <f>IF(Allocation!BM213="","",Allocation!BM213)</f>
        <v>B3</v>
      </c>
      <c r="F213" t="str">
        <f>IF(Allocation!BN213="","",Allocation!BN213)</f>
        <v>ALT</v>
      </c>
      <c r="G213">
        <f>IF(Allocation!BO213="","",Allocation!BO213)</f>
        <v>63.32</v>
      </c>
      <c r="H213">
        <f>IF(Allocation!BP213="","",Allocation!BP213)</f>
        <v>2</v>
      </c>
      <c r="I213">
        <f>IF(Allocation!BQ213="","",Allocation!BQ213)</f>
        <v>467021.59895999997</v>
      </c>
      <c r="J213">
        <f>IF(Allocation!CC213="","",Allocation!CC213)</f>
        <v>0</v>
      </c>
      <c r="K213">
        <f t="shared" si="57"/>
        <v>960</v>
      </c>
      <c r="L213">
        <f t="shared" si="58"/>
        <v>338.49820199999994</v>
      </c>
      <c r="M213">
        <f t="shared" si="59"/>
        <v>13</v>
      </c>
      <c r="N213">
        <f t="shared" si="60"/>
        <v>2620797.0556059997</v>
      </c>
      <c r="O213">
        <f t="shared" si="61"/>
        <v>6240</v>
      </c>
      <c r="P213">
        <f t="shared" si="62"/>
        <v>145.518202</v>
      </c>
      <c r="Q213">
        <f t="shared" si="63"/>
        <v>1305.0354259999999</v>
      </c>
      <c r="R213">
        <f t="shared" si="64"/>
        <v>50</v>
      </c>
      <c r="S213">
        <f t="shared" si="65"/>
        <v>10043742.187895998</v>
      </c>
      <c r="T213">
        <f t="shared" si="66"/>
        <v>3253.6168479999983</v>
      </c>
      <c r="U213">
        <f t="shared" si="67"/>
        <v>135</v>
      </c>
      <c r="V213">
        <f t="shared" si="68"/>
        <v>24231703.809424989</v>
      </c>
      <c r="W213">
        <f>IF($A213="","",Allocation!CD213)</f>
        <v>161598.340283</v>
      </c>
      <c r="X213">
        <f>IF($A213="","",Allocation!CE213)</f>
        <v>426605.52480000001</v>
      </c>
      <c r="Y213">
        <f>IF($A213="","",Allocation!CF213)</f>
        <v>124131.140927</v>
      </c>
      <c r="Z213">
        <f>IF($A213="","",Allocation!CG213)</f>
        <v>45125.64</v>
      </c>
      <c r="AA213">
        <f>IF($A213="","",Allocation!CH213)</f>
        <v>985233.87368199998</v>
      </c>
      <c r="AB213">
        <f>IF($A213="","",Allocation!CI213)</f>
        <v>2975861.5814200002</v>
      </c>
      <c r="AC213">
        <f>IF($A213="","",IF(Allocation!$N$4="VOL_EFF",$G213,IF(Allocation!$N$4="VOL_CLASS",$H213,$I213)))</f>
        <v>2</v>
      </c>
      <c r="AD213">
        <f>IF($A213="","",IF(Allocation!$N$4="VOL_EFF",$L213,IF(Allocation!$N$4="VOL_CLASS",$M213,$N213)))</f>
        <v>13</v>
      </c>
      <c r="AE213">
        <f>IF($A213="","",IF(Allocation!$N$3="VOL_EFF",$L213,IF(Allocation!$N$3="VOL_CLASS",$M213,$N213)))</f>
        <v>338.49820199999994</v>
      </c>
      <c r="AF213">
        <f>IF($A213="","",IF(Allocation!$N$3="VOL_EFF",$Q213,IF(Allocation!$N$3="VOL_CLASS",$R213,$S213)))</f>
        <v>1305.0354259999999</v>
      </c>
      <c r="AG213">
        <f>IF($A213="","",IF(Allocation!$N$1="VOL_EFF",$Q213,IF(Allocation!$N$1="VOL_CLASS",$R213,$S213)))</f>
        <v>1305.0354259999999</v>
      </c>
      <c r="AH213">
        <f>IF($A213="","",IF(Allocation!$N$1="VOL_EFF",$T213,IF(Allocation!$N$1="VOL_CLASS",$U213,$V213)))</f>
        <v>3253.6168479999983</v>
      </c>
      <c r="AI213">
        <f t="shared" si="69"/>
        <v>24861.28312046154</v>
      </c>
      <c r="AJ213">
        <f t="shared" si="70"/>
        <v>65631.619200000001</v>
      </c>
      <c r="AK213">
        <f t="shared" si="71"/>
        <v>23220.164234425214</v>
      </c>
      <c r="AL213">
        <f t="shared" si="72"/>
        <v>151574.44210492307</v>
      </c>
      <c r="AM213">
        <f t="shared" si="73"/>
        <v>47630.959247505154</v>
      </c>
      <c r="AN213">
        <f t="shared" si="74"/>
        <v>141797.81876637344</v>
      </c>
      <c r="AO213">
        <f>IF($A213="","",Allocation!CJ213)</f>
        <v>743978.4</v>
      </c>
      <c r="AP213">
        <f>IF($A213="","",IF(Allocation!$N$2="VOL_EFF",$Q213,IF(Allocation!$N$2="VOL_CLASS",$R213,$S213)))</f>
        <v>10043742.187895998</v>
      </c>
      <c r="AQ213">
        <f>IF($A213="","",IF(Allocation!$N$2="VOL_EFF",$T213,IF(Allocation!$N$2="VOL_CLASS",$U213,$V213)))</f>
        <v>24231703.809424989</v>
      </c>
      <c r="AR213">
        <f t="shared" si="75"/>
        <v>12305.312286311553</v>
      </c>
      <c r="AS213" t="str">
        <f>IF($A213="","",$A213&amp;"|"&amp;Allocation!BG213)</f>
        <v>2027|V01</v>
      </c>
    </row>
    <row r="214" spans="1:45" x14ac:dyDescent="0.45">
      <c r="A214" t="str">
        <f>IF(Allocation!BI214="","",Allocation!BI214)</f>
        <v>2027</v>
      </c>
      <c r="B214" t="str">
        <f>IF(Allocation!BJ214="","",Allocation!BJ214)</f>
        <v>MBWAY_LYO</v>
      </c>
      <c r="C214" t="str">
        <f>IF(Allocation!BK214="","",Allocation!BK214)</f>
        <v>MBWAY</v>
      </c>
      <c r="D214" t="str">
        <f>IF(Allocation!BL214="","",Allocation!BL214)</f>
        <v>MAS_MGT</v>
      </c>
      <c r="E214" t="str">
        <f>IF(Allocation!BM214="","",Allocation!BM214)</f>
        <v>M1</v>
      </c>
      <c r="F214" t="str">
        <f>IF(Allocation!BN214="","",Allocation!BN214)</f>
        <v>ALT</v>
      </c>
      <c r="G214">
        <f>IF(Allocation!BO214="","",Allocation!BO214)</f>
        <v>73.512347000000005</v>
      </c>
      <c r="H214">
        <f>IF(Allocation!BP214="","",Allocation!BP214)</f>
        <v>3</v>
      </c>
      <c r="I214">
        <f>IF(Allocation!BQ214="","",Allocation!BQ214)</f>
        <v>587540.44972499995</v>
      </c>
      <c r="J214">
        <f>IF(Allocation!CC214="","",Allocation!CC214)</f>
        <v>73.512347000000005</v>
      </c>
      <c r="K214">
        <f t="shared" si="57"/>
        <v>1260</v>
      </c>
      <c r="L214">
        <f t="shared" si="58"/>
        <v>338.49820199999994</v>
      </c>
      <c r="M214">
        <f t="shared" si="59"/>
        <v>13</v>
      </c>
      <c r="N214">
        <f t="shared" si="60"/>
        <v>2620797.0556059997</v>
      </c>
      <c r="O214">
        <f t="shared" si="61"/>
        <v>6240</v>
      </c>
      <c r="P214">
        <f t="shared" si="62"/>
        <v>145.518202</v>
      </c>
      <c r="Q214">
        <f t="shared" si="63"/>
        <v>1305.0354259999999</v>
      </c>
      <c r="R214">
        <f t="shared" si="64"/>
        <v>50</v>
      </c>
      <c r="S214">
        <f t="shared" si="65"/>
        <v>10043742.187895998</v>
      </c>
      <c r="T214">
        <f t="shared" si="66"/>
        <v>3253.6168479999983</v>
      </c>
      <c r="U214">
        <f t="shared" si="67"/>
        <v>135</v>
      </c>
      <c r="V214">
        <f t="shared" si="68"/>
        <v>24231703.809424989</v>
      </c>
      <c r="W214">
        <f>IF($A214="","",Allocation!CD214)</f>
        <v>161598.340283</v>
      </c>
      <c r="X214">
        <f>IF($A214="","",Allocation!CE214)</f>
        <v>426605.52480000001</v>
      </c>
      <c r="Y214">
        <f>IF($A214="","",Allocation!CF214)</f>
        <v>124131.140927</v>
      </c>
      <c r="Z214">
        <f>IF($A214="","",Allocation!CG214)</f>
        <v>45125.64</v>
      </c>
      <c r="AA214">
        <f>IF($A214="","",Allocation!CH214)</f>
        <v>985233.87368199998</v>
      </c>
      <c r="AB214">
        <f>IF($A214="","",Allocation!CI214)</f>
        <v>2975861.5814200002</v>
      </c>
      <c r="AC214">
        <f>IF($A214="","",IF(Allocation!$N$4="VOL_EFF",$G214,IF(Allocation!$N$4="VOL_CLASS",$H214,$I214)))</f>
        <v>3</v>
      </c>
      <c r="AD214">
        <f>IF($A214="","",IF(Allocation!$N$4="VOL_EFF",$L214,IF(Allocation!$N$4="VOL_CLASS",$M214,$N214)))</f>
        <v>13</v>
      </c>
      <c r="AE214">
        <f>IF($A214="","",IF(Allocation!$N$3="VOL_EFF",$L214,IF(Allocation!$N$3="VOL_CLASS",$M214,$N214)))</f>
        <v>338.49820199999994</v>
      </c>
      <c r="AF214">
        <f>IF($A214="","",IF(Allocation!$N$3="VOL_EFF",$Q214,IF(Allocation!$N$3="VOL_CLASS",$R214,$S214)))</f>
        <v>1305.0354259999999</v>
      </c>
      <c r="AG214">
        <f>IF($A214="","",IF(Allocation!$N$1="VOL_EFF",$Q214,IF(Allocation!$N$1="VOL_CLASS",$R214,$S214)))</f>
        <v>1305.0354259999999</v>
      </c>
      <c r="AH214">
        <f>IF($A214="","",IF(Allocation!$N$1="VOL_EFF",$T214,IF(Allocation!$N$1="VOL_CLASS",$U214,$V214)))</f>
        <v>3253.6168479999983</v>
      </c>
      <c r="AI214">
        <f t="shared" si="69"/>
        <v>32630.434095605768</v>
      </c>
      <c r="AJ214">
        <f t="shared" si="70"/>
        <v>86141.500200000009</v>
      </c>
      <c r="AK214">
        <f t="shared" si="71"/>
        <v>49754.217703302449</v>
      </c>
      <c r="AL214">
        <f t="shared" si="72"/>
        <v>227361.66315738461</v>
      </c>
      <c r="AM214">
        <f t="shared" si="73"/>
        <v>71446.438871257735</v>
      </c>
      <c r="AN214">
        <f t="shared" si="74"/>
        <v>101748.22726798203</v>
      </c>
      <c r="AO214">
        <f>IF($A214="","",Allocation!CJ214)</f>
        <v>743978.4</v>
      </c>
      <c r="AP214">
        <f>IF($A214="","",IF(Allocation!$N$2="VOL_EFF",$Q214,IF(Allocation!$N$2="VOL_CLASS",$R214,$S214)))</f>
        <v>10043742.187895998</v>
      </c>
      <c r="AQ214">
        <f>IF($A214="","",IF(Allocation!$N$2="VOL_EFF",$T214,IF(Allocation!$N$2="VOL_CLASS",$U214,$V214)))</f>
        <v>24231703.809424989</v>
      </c>
      <c r="AR214">
        <f t="shared" si="75"/>
        <v>18457.968429467328</v>
      </c>
      <c r="AS214" t="str">
        <f>IF($A214="","",$A214&amp;"|"&amp;Allocation!BG214)</f>
        <v>2027|V01</v>
      </c>
    </row>
    <row r="215" spans="1:45" x14ac:dyDescent="0.45">
      <c r="A215" t="str">
        <f>IF(Allocation!BI215="","",Allocation!BI215)</f>
        <v>2027</v>
      </c>
      <c r="B215" t="str">
        <f>IF(Allocation!BJ215="","",Allocation!BJ215)</f>
        <v>MBWAY_LYO</v>
      </c>
      <c r="C215" t="str">
        <f>IF(Allocation!BK215="","",Allocation!BK215)</f>
        <v>MBWAY</v>
      </c>
      <c r="D215" t="str">
        <f>IF(Allocation!BL215="","",Allocation!BL215)</f>
        <v>MAS_MGT</v>
      </c>
      <c r="E215" t="str">
        <f>IF(Allocation!BM215="","",Allocation!BM215)</f>
        <v>M2</v>
      </c>
      <c r="F215" t="str">
        <f>IF(Allocation!BN215="","",Allocation!BN215)</f>
        <v>ALT</v>
      </c>
      <c r="G215">
        <f>IF(Allocation!BO215="","",Allocation!BO215)</f>
        <v>65.33</v>
      </c>
      <c r="H215">
        <f>IF(Allocation!BP215="","",Allocation!BP215)</f>
        <v>3</v>
      </c>
      <c r="I215">
        <f>IF(Allocation!BQ215="","",Allocation!BQ215)</f>
        <v>516264.11865000002</v>
      </c>
      <c r="J215">
        <f>IF(Allocation!CC215="","",Allocation!CC215)</f>
        <v>0</v>
      </c>
      <c r="K215">
        <f t="shared" si="57"/>
        <v>1260</v>
      </c>
      <c r="L215">
        <f t="shared" si="58"/>
        <v>338.49820199999994</v>
      </c>
      <c r="M215">
        <f t="shared" si="59"/>
        <v>13</v>
      </c>
      <c r="N215">
        <f t="shared" si="60"/>
        <v>2620797.0556059997</v>
      </c>
      <c r="O215">
        <f t="shared" si="61"/>
        <v>6240</v>
      </c>
      <c r="P215">
        <f t="shared" si="62"/>
        <v>145.518202</v>
      </c>
      <c r="Q215">
        <f t="shared" si="63"/>
        <v>1305.0354259999999</v>
      </c>
      <c r="R215">
        <f t="shared" si="64"/>
        <v>50</v>
      </c>
      <c r="S215">
        <f t="shared" si="65"/>
        <v>10043742.187895998</v>
      </c>
      <c r="T215">
        <f t="shared" si="66"/>
        <v>3253.6168479999983</v>
      </c>
      <c r="U215">
        <f t="shared" si="67"/>
        <v>135</v>
      </c>
      <c r="V215">
        <f t="shared" si="68"/>
        <v>24231703.809424989</v>
      </c>
      <c r="W215">
        <f>IF($A215="","",Allocation!CD215)</f>
        <v>161598.340283</v>
      </c>
      <c r="X215">
        <f>IF($A215="","",Allocation!CE215)</f>
        <v>426605.52480000001</v>
      </c>
      <c r="Y215">
        <f>IF($A215="","",Allocation!CF215)</f>
        <v>124131.140927</v>
      </c>
      <c r="Z215">
        <f>IF($A215="","",Allocation!CG215)</f>
        <v>45125.64</v>
      </c>
      <c r="AA215">
        <f>IF($A215="","",Allocation!CH215)</f>
        <v>985233.87368199998</v>
      </c>
      <c r="AB215">
        <f>IF($A215="","",Allocation!CI215)</f>
        <v>2975861.5814200002</v>
      </c>
      <c r="AC215">
        <f>IF($A215="","",IF(Allocation!$N$4="VOL_EFF",$G215,IF(Allocation!$N$4="VOL_CLASS",$H215,$I215)))</f>
        <v>3</v>
      </c>
      <c r="AD215">
        <f>IF($A215="","",IF(Allocation!$N$4="VOL_EFF",$L215,IF(Allocation!$N$4="VOL_CLASS",$M215,$N215)))</f>
        <v>13</v>
      </c>
      <c r="AE215">
        <f>IF($A215="","",IF(Allocation!$N$3="VOL_EFF",$L215,IF(Allocation!$N$3="VOL_CLASS",$M215,$N215)))</f>
        <v>338.49820199999994</v>
      </c>
      <c r="AF215">
        <f>IF($A215="","",IF(Allocation!$N$3="VOL_EFF",$Q215,IF(Allocation!$N$3="VOL_CLASS",$R215,$S215)))</f>
        <v>1305.0354259999999</v>
      </c>
      <c r="AG215">
        <f>IF($A215="","",IF(Allocation!$N$1="VOL_EFF",$Q215,IF(Allocation!$N$1="VOL_CLASS",$R215,$S215)))</f>
        <v>1305.0354259999999</v>
      </c>
      <c r="AH215">
        <f>IF($A215="","",IF(Allocation!$N$1="VOL_EFF",$T215,IF(Allocation!$N$1="VOL_CLASS",$U215,$V215)))</f>
        <v>3253.6168479999983</v>
      </c>
      <c r="AI215">
        <f t="shared" si="69"/>
        <v>32630.434095605768</v>
      </c>
      <c r="AJ215">
        <f t="shared" si="70"/>
        <v>86141.500200000009</v>
      </c>
      <c r="AK215">
        <f t="shared" si="71"/>
        <v>23957.254097204663</v>
      </c>
      <c r="AL215">
        <f t="shared" si="72"/>
        <v>227361.66315738461</v>
      </c>
      <c r="AM215">
        <f t="shared" si="73"/>
        <v>71446.438871257735</v>
      </c>
      <c r="AN215">
        <f t="shared" si="74"/>
        <v>56268.859799079946</v>
      </c>
      <c r="AO215">
        <f>IF($A215="","",Allocation!CJ215)</f>
        <v>743978.4</v>
      </c>
      <c r="AP215">
        <f>IF($A215="","",IF(Allocation!$N$2="VOL_EFF",$Q215,IF(Allocation!$N$2="VOL_CLASS",$R215,$S215)))</f>
        <v>10043742.187895998</v>
      </c>
      <c r="AQ215">
        <f>IF($A215="","",IF(Allocation!$N$2="VOL_EFF",$T215,IF(Allocation!$N$2="VOL_CLASS",$U215,$V215)))</f>
        <v>24231703.809424989</v>
      </c>
      <c r="AR215">
        <f t="shared" si="75"/>
        <v>18457.968429467328</v>
      </c>
      <c r="AS215" t="str">
        <f>IF($A215="","",$A215&amp;"|"&amp;Allocation!BG215)</f>
        <v>2027|V01</v>
      </c>
    </row>
    <row r="216" spans="1:45" x14ac:dyDescent="0.45">
      <c r="A216" t="str">
        <f>IF(Allocation!BI216="","",Allocation!BI216)</f>
        <v>2027</v>
      </c>
      <c r="B216" t="str">
        <f>IF(Allocation!BJ216="","",Allocation!BJ216)</f>
        <v>MBWAY_NAN</v>
      </c>
      <c r="C216" t="str">
        <f>IF(Allocation!BK216="","",Allocation!BK216)</f>
        <v>MBWAY</v>
      </c>
      <c r="D216" t="str">
        <f>IF(Allocation!BL216="","",Allocation!BL216)</f>
        <v>BAC_MGT</v>
      </c>
      <c r="E216" t="str">
        <f>IF(Allocation!BM216="","",Allocation!BM216)</f>
        <v>B1</v>
      </c>
      <c r="F216" t="str">
        <f>IF(Allocation!BN216="","",Allocation!BN216)</f>
        <v>INIT</v>
      </c>
      <c r="G216">
        <f>IF(Allocation!BO216="","",Allocation!BO216)</f>
        <v>65.539302000000006</v>
      </c>
      <c r="H216">
        <f>IF(Allocation!BP216="","",Allocation!BP216)</f>
        <v>2</v>
      </c>
      <c r="I216">
        <f>IF(Allocation!BQ216="","",Allocation!BQ216)</f>
        <v>499153.87796200003</v>
      </c>
      <c r="J216">
        <f>IF(Allocation!CC216="","",Allocation!CC216)</f>
        <v>65.539302000000006</v>
      </c>
      <c r="K216">
        <f t="shared" si="57"/>
        <v>1200</v>
      </c>
      <c r="L216">
        <f t="shared" si="58"/>
        <v>307.34295700000001</v>
      </c>
      <c r="M216">
        <f t="shared" si="59"/>
        <v>12</v>
      </c>
      <c r="N216">
        <f t="shared" si="60"/>
        <v>2267018.4682080001</v>
      </c>
      <c r="O216">
        <f t="shared" si="61"/>
        <v>5640</v>
      </c>
      <c r="P216">
        <f t="shared" si="62"/>
        <v>132.45295700000003</v>
      </c>
      <c r="Q216">
        <f t="shared" si="63"/>
        <v>1305.0354259999999</v>
      </c>
      <c r="R216">
        <f t="shared" si="64"/>
        <v>50</v>
      </c>
      <c r="S216">
        <f t="shared" si="65"/>
        <v>10043742.187895998</v>
      </c>
      <c r="T216">
        <f t="shared" si="66"/>
        <v>3253.6168479999983</v>
      </c>
      <c r="U216">
        <f t="shared" si="67"/>
        <v>135</v>
      </c>
      <c r="V216">
        <f t="shared" si="68"/>
        <v>24231703.809424989</v>
      </c>
      <c r="W216">
        <f>IF($A216="","",Allocation!CD216)</f>
        <v>149167.61952099999</v>
      </c>
      <c r="X216">
        <f>IF($A216="","",Allocation!CE216)</f>
        <v>366973.05839999998</v>
      </c>
      <c r="Y216">
        <f>IF($A216="","",Allocation!CF216)</f>
        <v>112637.38329699999</v>
      </c>
      <c r="Z216">
        <f>IF($A216="","",Allocation!CG216)</f>
        <v>34055.64</v>
      </c>
      <c r="AA216">
        <f>IF($A216="","",Allocation!CH216)</f>
        <v>837601.24817300006</v>
      </c>
      <c r="AB216">
        <f>IF($A216="","",Allocation!CI216)</f>
        <v>2975861.5814200002</v>
      </c>
      <c r="AC216">
        <f>IF($A216="","",IF(Allocation!$N$4="VOL_EFF",$G216,IF(Allocation!$N$4="VOL_CLASS",$H216,$I216)))</f>
        <v>2</v>
      </c>
      <c r="AD216">
        <f>IF($A216="","",IF(Allocation!$N$4="VOL_EFF",$L216,IF(Allocation!$N$4="VOL_CLASS",$M216,$N216)))</f>
        <v>12</v>
      </c>
      <c r="AE216">
        <f>IF($A216="","",IF(Allocation!$N$3="VOL_EFF",$L216,IF(Allocation!$N$3="VOL_CLASS",$M216,$N216)))</f>
        <v>307.34295700000001</v>
      </c>
      <c r="AF216">
        <f>IF($A216="","",IF(Allocation!$N$3="VOL_EFF",$Q216,IF(Allocation!$N$3="VOL_CLASS",$R216,$S216)))</f>
        <v>1305.0354259999999</v>
      </c>
      <c r="AG216">
        <f>IF($A216="","",IF(Allocation!$N$1="VOL_EFF",$Q216,IF(Allocation!$N$1="VOL_CLASS",$R216,$S216)))</f>
        <v>1305.0354259999999</v>
      </c>
      <c r="AH216">
        <f>IF($A216="","",IF(Allocation!$N$1="VOL_EFF",$T216,IF(Allocation!$N$1="VOL_CLASS",$U216,$V216)))</f>
        <v>3253.6168479999983</v>
      </c>
      <c r="AI216">
        <f t="shared" si="69"/>
        <v>31737.791387446807</v>
      </c>
      <c r="AJ216">
        <f t="shared" si="70"/>
        <v>78079.374127659568</v>
      </c>
      <c r="AK216">
        <f t="shared" si="71"/>
        <v>40870.478250338158</v>
      </c>
      <c r="AL216">
        <f t="shared" si="72"/>
        <v>139600.20802883332</v>
      </c>
      <c r="AM216">
        <f t="shared" si="73"/>
        <v>46850.942647540636</v>
      </c>
      <c r="AN216">
        <f t="shared" si="74"/>
        <v>149911.28613096022</v>
      </c>
      <c r="AO216">
        <f>IF($A216="","",Allocation!CJ216)</f>
        <v>743978.4</v>
      </c>
      <c r="AP216">
        <f>IF($A216="","",IF(Allocation!$N$2="VOL_EFF",$Q216,IF(Allocation!$N$2="VOL_CLASS",$R216,$S216)))</f>
        <v>10043742.187895998</v>
      </c>
      <c r="AQ216">
        <f>IF($A216="","",IF(Allocation!$N$2="VOL_EFF",$T216,IF(Allocation!$N$2="VOL_CLASS",$U216,$V216)))</f>
        <v>24231703.809424989</v>
      </c>
      <c r="AR216">
        <f t="shared" si="75"/>
        <v>12103.797389221314</v>
      </c>
      <c r="AS216" t="str">
        <f>IF($A216="","",$A216&amp;"|"&amp;Allocation!BG216)</f>
        <v>2027|V01</v>
      </c>
    </row>
    <row r="217" spans="1:45" x14ac:dyDescent="0.45">
      <c r="A217" t="str">
        <f>IF(Allocation!BI217="","",Allocation!BI217)</f>
        <v>2027</v>
      </c>
      <c r="B217" t="str">
        <f>IF(Allocation!BJ217="","",Allocation!BJ217)</f>
        <v>MBWAY_NAN</v>
      </c>
      <c r="C217" t="str">
        <f>IF(Allocation!BK217="","",Allocation!BK217)</f>
        <v>MBWAY</v>
      </c>
      <c r="D217" t="str">
        <f>IF(Allocation!BL217="","",Allocation!BL217)</f>
        <v>BAC_MGT</v>
      </c>
      <c r="E217" t="str">
        <f>IF(Allocation!BM217="","",Allocation!BM217)</f>
        <v>B2</v>
      </c>
      <c r="F217" t="str">
        <f>IF(Allocation!BN217="","",Allocation!BN217)</f>
        <v>ALT</v>
      </c>
      <c r="G217">
        <f>IF(Allocation!BO217="","",Allocation!BO217)</f>
        <v>58.3</v>
      </c>
      <c r="H217">
        <f>IF(Allocation!BP217="","",Allocation!BP217)</f>
        <v>2</v>
      </c>
      <c r="I217">
        <f>IF(Allocation!BQ217="","",Allocation!BQ217)</f>
        <v>409520.18800000002</v>
      </c>
      <c r="J217">
        <f>IF(Allocation!CC217="","",Allocation!CC217)</f>
        <v>0</v>
      </c>
      <c r="K217">
        <f t="shared" si="57"/>
        <v>960</v>
      </c>
      <c r="L217">
        <f t="shared" si="58"/>
        <v>307.34295700000001</v>
      </c>
      <c r="M217">
        <f t="shared" si="59"/>
        <v>12</v>
      </c>
      <c r="N217">
        <f t="shared" si="60"/>
        <v>2267018.4682080001</v>
      </c>
      <c r="O217">
        <f t="shared" si="61"/>
        <v>5640</v>
      </c>
      <c r="P217">
        <f t="shared" si="62"/>
        <v>132.45295700000003</v>
      </c>
      <c r="Q217">
        <f t="shared" si="63"/>
        <v>1305.0354259999999</v>
      </c>
      <c r="R217">
        <f t="shared" si="64"/>
        <v>50</v>
      </c>
      <c r="S217">
        <f t="shared" si="65"/>
        <v>10043742.187895998</v>
      </c>
      <c r="T217">
        <f t="shared" si="66"/>
        <v>3253.6168479999983</v>
      </c>
      <c r="U217">
        <f t="shared" si="67"/>
        <v>135</v>
      </c>
      <c r="V217">
        <f t="shared" si="68"/>
        <v>24231703.809424989</v>
      </c>
      <c r="W217">
        <f>IF($A217="","",Allocation!CD217)</f>
        <v>149167.61952099999</v>
      </c>
      <c r="X217">
        <f>IF($A217="","",Allocation!CE217)</f>
        <v>366973.05839999998</v>
      </c>
      <c r="Y217">
        <f>IF($A217="","",Allocation!CF217)</f>
        <v>112637.38329699999</v>
      </c>
      <c r="Z217">
        <f>IF($A217="","",Allocation!CG217)</f>
        <v>34055.64</v>
      </c>
      <c r="AA217">
        <f>IF($A217="","",Allocation!CH217)</f>
        <v>837601.24817300006</v>
      </c>
      <c r="AB217">
        <f>IF($A217="","",Allocation!CI217)</f>
        <v>2975861.5814200002</v>
      </c>
      <c r="AC217">
        <f>IF($A217="","",IF(Allocation!$N$4="VOL_EFF",$G217,IF(Allocation!$N$4="VOL_CLASS",$H217,$I217)))</f>
        <v>2</v>
      </c>
      <c r="AD217">
        <f>IF($A217="","",IF(Allocation!$N$4="VOL_EFF",$L217,IF(Allocation!$N$4="VOL_CLASS",$M217,$N217)))</f>
        <v>12</v>
      </c>
      <c r="AE217">
        <f>IF($A217="","",IF(Allocation!$N$3="VOL_EFF",$L217,IF(Allocation!$N$3="VOL_CLASS",$M217,$N217)))</f>
        <v>307.34295700000001</v>
      </c>
      <c r="AF217">
        <f>IF($A217="","",IF(Allocation!$N$3="VOL_EFF",$Q217,IF(Allocation!$N$3="VOL_CLASS",$R217,$S217)))</f>
        <v>1305.0354259999999</v>
      </c>
      <c r="AG217">
        <f>IF($A217="","",IF(Allocation!$N$1="VOL_EFF",$Q217,IF(Allocation!$N$1="VOL_CLASS",$R217,$S217)))</f>
        <v>1305.0354259999999</v>
      </c>
      <c r="AH217">
        <f>IF($A217="","",IF(Allocation!$N$1="VOL_EFF",$T217,IF(Allocation!$N$1="VOL_CLASS",$U217,$V217)))</f>
        <v>3253.6168479999983</v>
      </c>
      <c r="AI217">
        <f t="shared" si="69"/>
        <v>25390.233109957444</v>
      </c>
      <c r="AJ217">
        <f t="shared" si="70"/>
        <v>62463.499302127653</v>
      </c>
      <c r="AK217">
        <f t="shared" si="71"/>
        <v>21366.227195553074</v>
      </c>
      <c r="AL217">
        <f t="shared" si="72"/>
        <v>139600.20802883332</v>
      </c>
      <c r="AM217">
        <f t="shared" si="73"/>
        <v>46850.942647540636</v>
      </c>
      <c r="AN217">
        <f t="shared" si="74"/>
        <v>101745.28032676654</v>
      </c>
      <c r="AO217">
        <f>IF($A217="","",Allocation!CJ217)</f>
        <v>743978.4</v>
      </c>
      <c r="AP217">
        <f>IF($A217="","",IF(Allocation!$N$2="VOL_EFF",$Q217,IF(Allocation!$N$2="VOL_CLASS",$R217,$S217)))</f>
        <v>10043742.187895998</v>
      </c>
      <c r="AQ217">
        <f>IF($A217="","",IF(Allocation!$N$2="VOL_EFF",$T217,IF(Allocation!$N$2="VOL_CLASS",$U217,$V217)))</f>
        <v>24231703.809424989</v>
      </c>
      <c r="AR217">
        <f t="shared" si="75"/>
        <v>12103.797389221314</v>
      </c>
      <c r="AS217" t="str">
        <f>IF($A217="","",$A217&amp;"|"&amp;Allocation!BG217)</f>
        <v>2027|V01</v>
      </c>
    </row>
    <row r="218" spans="1:45" x14ac:dyDescent="0.45">
      <c r="A218" t="str">
        <f>IF(Allocation!BI218="","",Allocation!BI218)</f>
        <v>2027</v>
      </c>
      <c r="B218" t="str">
        <f>IF(Allocation!BJ218="","",Allocation!BJ218)</f>
        <v>MBWAY_NAN</v>
      </c>
      <c r="C218" t="str">
        <f>IF(Allocation!BK218="","",Allocation!BK218)</f>
        <v>MBWAY</v>
      </c>
      <c r="D218" t="str">
        <f>IF(Allocation!BL218="","",Allocation!BL218)</f>
        <v>BAC_MGT</v>
      </c>
      <c r="E218" t="str">
        <f>IF(Allocation!BM218="","",Allocation!BM218)</f>
        <v>B3</v>
      </c>
      <c r="F218" t="str">
        <f>IF(Allocation!BN218="","",Allocation!BN218)</f>
        <v>ALT</v>
      </c>
      <c r="G218">
        <f>IF(Allocation!BO218="","",Allocation!BO218)</f>
        <v>57.29</v>
      </c>
      <c r="H218">
        <f>IF(Allocation!BP218="","",Allocation!BP218)</f>
        <v>2</v>
      </c>
      <c r="I218">
        <f>IF(Allocation!BQ218="","",Allocation!BQ218)</f>
        <v>402425.58439999999</v>
      </c>
      <c r="J218">
        <f>IF(Allocation!CC218="","",Allocation!CC218)</f>
        <v>0</v>
      </c>
      <c r="K218">
        <f t="shared" si="57"/>
        <v>960</v>
      </c>
      <c r="L218">
        <f t="shared" si="58"/>
        <v>307.34295700000001</v>
      </c>
      <c r="M218">
        <f t="shared" si="59"/>
        <v>12</v>
      </c>
      <c r="N218">
        <f t="shared" si="60"/>
        <v>2267018.4682080001</v>
      </c>
      <c r="O218">
        <f t="shared" si="61"/>
        <v>5640</v>
      </c>
      <c r="P218">
        <f t="shared" si="62"/>
        <v>132.45295700000003</v>
      </c>
      <c r="Q218">
        <f t="shared" si="63"/>
        <v>1305.0354259999999</v>
      </c>
      <c r="R218">
        <f t="shared" si="64"/>
        <v>50</v>
      </c>
      <c r="S218">
        <f t="shared" si="65"/>
        <v>10043742.187895998</v>
      </c>
      <c r="T218">
        <f t="shared" si="66"/>
        <v>3253.6168479999983</v>
      </c>
      <c r="U218">
        <f t="shared" si="67"/>
        <v>135</v>
      </c>
      <c r="V218">
        <f t="shared" si="68"/>
        <v>24231703.809424989</v>
      </c>
      <c r="W218">
        <f>IF($A218="","",Allocation!CD218)</f>
        <v>149167.61952099999</v>
      </c>
      <c r="X218">
        <f>IF($A218="","",Allocation!CE218)</f>
        <v>366973.05839999998</v>
      </c>
      <c r="Y218">
        <f>IF($A218="","",Allocation!CF218)</f>
        <v>112637.38329699999</v>
      </c>
      <c r="Z218">
        <f>IF($A218="","",Allocation!CG218)</f>
        <v>34055.64</v>
      </c>
      <c r="AA218">
        <f>IF($A218="","",Allocation!CH218)</f>
        <v>837601.24817300006</v>
      </c>
      <c r="AB218">
        <f>IF($A218="","",Allocation!CI218)</f>
        <v>2975861.5814200002</v>
      </c>
      <c r="AC218">
        <f>IF($A218="","",IF(Allocation!$N$4="VOL_EFF",$G218,IF(Allocation!$N$4="VOL_CLASS",$H218,$I218)))</f>
        <v>2</v>
      </c>
      <c r="AD218">
        <f>IF($A218="","",IF(Allocation!$N$4="VOL_EFF",$L218,IF(Allocation!$N$4="VOL_CLASS",$M218,$N218)))</f>
        <v>12</v>
      </c>
      <c r="AE218">
        <f>IF($A218="","",IF(Allocation!$N$3="VOL_EFF",$L218,IF(Allocation!$N$3="VOL_CLASS",$M218,$N218)))</f>
        <v>307.34295700000001</v>
      </c>
      <c r="AF218">
        <f>IF($A218="","",IF(Allocation!$N$3="VOL_EFF",$Q218,IF(Allocation!$N$3="VOL_CLASS",$R218,$S218)))</f>
        <v>1305.0354259999999</v>
      </c>
      <c r="AG218">
        <f>IF($A218="","",IF(Allocation!$N$1="VOL_EFF",$Q218,IF(Allocation!$N$1="VOL_CLASS",$R218,$S218)))</f>
        <v>1305.0354259999999</v>
      </c>
      <c r="AH218">
        <f>IF($A218="","",IF(Allocation!$N$1="VOL_EFF",$T218,IF(Allocation!$N$1="VOL_CLASS",$U218,$V218)))</f>
        <v>3253.6168479999983</v>
      </c>
      <c r="AI218">
        <f t="shared" si="69"/>
        <v>25390.233109957444</v>
      </c>
      <c r="AJ218">
        <f t="shared" si="70"/>
        <v>62463.499302127653</v>
      </c>
      <c r="AK218">
        <f t="shared" si="71"/>
        <v>20996.074717551212</v>
      </c>
      <c r="AL218">
        <f t="shared" si="72"/>
        <v>139600.20802883332</v>
      </c>
      <c r="AM218">
        <f t="shared" si="73"/>
        <v>46850.942647540636</v>
      </c>
      <c r="AN218">
        <f t="shared" si="74"/>
        <v>95020.829204768408</v>
      </c>
      <c r="AO218">
        <f>IF($A218="","",Allocation!CJ218)</f>
        <v>743978.4</v>
      </c>
      <c r="AP218">
        <f>IF($A218="","",IF(Allocation!$N$2="VOL_EFF",$Q218,IF(Allocation!$N$2="VOL_CLASS",$R218,$S218)))</f>
        <v>10043742.187895998</v>
      </c>
      <c r="AQ218">
        <f>IF($A218="","",IF(Allocation!$N$2="VOL_EFF",$T218,IF(Allocation!$N$2="VOL_CLASS",$U218,$V218)))</f>
        <v>24231703.809424989</v>
      </c>
      <c r="AR218">
        <f t="shared" si="75"/>
        <v>12103.797389221314</v>
      </c>
      <c r="AS218" t="str">
        <f>IF($A218="","",$A218&amp;"|"&amp;Allocation!BG218)</f>
        <v>2027|V01</v>
      </c>
    </row>
    <row r="219" spans="1:45" x14ac:dyDescent="0.45">
      <c r="A219" t="str">
        <f>IF(Allocation!BI219="","",Allocation!BI219)</f>
        <v>2027</v>
      </c>
      <c r="B219" t="str">
        <f>IF(Allocation!BJ219="","",Allocation!BJ219)</f>
        <v>MBWAY_NAN</v>
      </c>
      <c r="C219" t="str">
        <f>IF(Allocation!BK219="","",Allocation!BK219)</f>
        <v>MBWAY</v>
      </c>
      <c r="D219" t="str">
        <f>IF(Allocation!BL219="","",Allocation!BL219)</f>
        <v>MAS_MGT</v>
      </c>
      <c r="E219" t="str">
        <f>IF(Allocation!BM219="","",Allocation!BM219)</f>
        <v>M1</v>
      </c>
      <c r="F219" t="str">
        <f>IF(Allocation!BN219="","",Allocation!BN219)</f>
        <v>ALT</v>
      </c>
      <c r="G219">
        <f>IF(Allocation!BO219="","",Allocation!BO219)</f>
        <v>66.913655000000006</v>
      </c>
      <c r="H219">
        <f>IF(Allocation!BP219="","",Allocation!BP219)</f>
        <v>3</v>
      </c>
      <c r="I219">
        <f>IF(Allocation!BQ219="","",Allocation!BQ219)</f>
        <v>509621.08784599998</v>
      </c>
      <c r="J219">
        <f>IF(Allocation!CC219="","",Allocation!CC219)</f>
        <v>66.913655000000006</v>
      </c>
      <c r="K219">
        <f t="shared" si="57"/>
        <v>1260</v>
      </c>
      <c r="L219">
        <f t="shared" si="58"/>
        <v>307.34295700000001</v>
      </c>
      <c r="M219">
        <f t="shared" si="59"/>
        <v>12</v>
      </c>
      <c r="N219">
        <f t="shared" si="60"/>
        <v>2267018.4682080001</v>
      </c>
      <c r="O219">
        <f t="shared" si="61"/>
        <v>5640</v>
      </c>
      <c r="P219">
        <f t="shared" si="62"/>
        <v>132.45295700000003</v>
      </c>
      <c r="Q219">
        <f t="shared" si="63"/>
        <v>1305.0354259999999</v>
      </c>
      <c r="R219">
        <f t="shared" si="64"/>
        <v>50</v>
      </c>
      <c r="S219">
        <f t="shared" si="65"/>
        <v>10043742.187895998</v>
      </c>
      <c r="T219">
        <f t="shared" si="66"/>
        <v>3253.6168479999983</v>
      </c>
      <c r="U219">
        <f t="shared" si="67"/>
        <v>135</v>
      </c>
      <c r="V219">
        <f t="shared" si="68"/>
        <v>24231703.809424989</v>
      </c>
      <c r="W219">
        <f>IF($A219="","",Allocation!CD219)</f>
        <v>149167.61952099999</v>
      </c>
      <c r="X219">
        <f>IF($A219="","",Allocation!CE219)</f>
        <v>366973.05839999998</v>
      </c>
      <c r="Y219">
        <f>IF($A219="","",Allocation!CF219)</f>
        <v>112637.38329699999</v>
      </c>
      <c r="Z219">
        <f>IF($A219="","",Allocation!CG219)</f>
        <v>34055.64</v>
      </c>
      <c r="AA219">
        <f>IF($A219="","",Allocation!CH219)</f>
        <v>837601.24817300006</v>
      </c>
      <c r="AB219">
        <f>IF($A219="","",Allocation!CI219)</f>
        <v>2975861.5814200002</v>
      </c>
      <c r="AC219">
        <f>IF($A219="","",IF(Allocation!$N$4="VOL_EFF",$G219,IF(Allocation!$N$4="VOL_CLASS",$H219,$I219)))</f>
        <v>3</v>
      </c>
      <c r="AD219">
        <f>IF($A219="","",IF(Allocation!$N$4="VOL_EFF",$L219,IF(Allocation!$N$4="VOL_CLASS",$M219,$N219)))</f>
        <v>12</v>
      </c>
      <c r="AE219">
        <f>IF($A219="","",IF(Allocation!$N$3="VOL_EFF",$L219,IF(Allocation!$N$3="VOL_CLASS",$M219,$N219)))</f>
        <v>307.34295700000001</v>
      </c>
      <c r="AF219">
        <f>IF($A219="","",IF(Allocation!$N$3="VOL_EFF",$Q219,IF(Allocation!$N$3="VOL_CLASS",$R219,$S219)))</f>
        <v>1305.0354259999999</v>
      </c>
      <c r="AG219">
        <f>IF($A219="","",IF(Allocation!$N$1="VOL_EFF",$Q219,IF(Allocation!$N$1="VOL_CLASS",$R219,$S219)))</f>
        <v>1305.0354259999999</v>
      </c>
      <c r="AH219">
        <f>IF($A219="","",IF(Allocation!$N$1="VOL_EFF",$T219,IF(Allocation!$N$1="VOL_CLASS",$U219,$V219)))</f>
        <v>3253.6168479999983</v>
      </c>
      <c r="AI219">
        <f t="shared" si="69"/>
        <v>33324.680956819146</v>
      </c>
      <c r="AJ219">
        <f t="shared" si="70"/>
        <v>81983.342834042545</v>
      </c>
      <c r="AK219">
        <f t="shared" si="71"/>
        <v>41727.52833602242</v>
      </c>
      <c r="AL219">
        <f t="shared" si="72"/>
        <v>209400.31204325001</v>
      </c>
      <c r="AM219">
        <f t="shared" si="73"/>
        <v>70276.413971310962</v>
      </c>
      <c r="AN219">
        <f t="shared" si="74"/>
        <v>54753.113620722957</v>
      </c>
      <c r="AO219">
        <f>IF($A219="","",Allocation!CJ219)</f>
        <v>743978.4</v>
      </c>
      <c r="AP219">
        <f>IF($A219="","",IF(Allocation!$N$2="VOL_EFF",$Q219,IF(Allocation!$N$2="VOL_CLASS",$R219,$S219)))</f>
        <v>10043742.187895998</v>
      </c>
      <c r="AQ219">
        <f>IF($A219="","",IF(Allocation!$N$2="VOL_EFF",$T219,IF(Allocation!$N$2="VOL_CLASS",$U219,$V219)))</f>
        <v>24231703.809424989</v>
      </c>
      <c r="AR219">
        <f t="shared" si="75"/>
        <v>18155.696083831972</v>
      </c>
      <c r="AS219" t="str">
        <f>IF($A219="","",$A219&amp;"|"&amp;Allocation!BG219)</f>
        <v>2027|V01</v>
      </c>
    </row>
    <row r="220" spans="1:45" x14ac:dyDescent="0.45">
      <c r="A220" t="str">
        <f>IF(Allocation!BI220="","",Allocation!BI220)</f>
        <v>2027</v>
      </c>
      <c r="B220" t="str">
        <f>IF(Allocation!BJ220="","",Allocation!BJ220)</f>
        <v>MBWAY_NAN</v>
      </c>
      <c r="C220" t="str">
        <f>IF(Allocation!BK220="","",Allocation!BK220)</f>
        <v>MBWAY</v>
      </c>
      <c r="D220" t="str">
        <f>IF(Allocation!BL220="","",Allocation!BL220)</f>
        <v>MAS_MGT</v>
      </c>
      <c r="E220" t="str">
        <f>IF(Allocation!BM220="","",Allocation!BM220)</f>
        <v>M2</v>
      </c>
      <c r="F220" t="str">
        <f>IF(Allocation!BN220="","",Allocation!BN220)</f>
        <v>ALT</v>
      </c>
      <c r="G220">
        <f>IF(Allocation!BO220="","",Allocation!BO220)</f>
        <v>59.3</v>
      </c>
      <c r="H220">
        <f>IF(Allocation!BP220="","",Allocation!BP220)</f>
        <v>3</v>
      </c>
      <c r="I220">
        <f>IF(Allocation!BQ220="","",Allocation!BQ220)</f>
        <v>446297.73</v>
      </c>
      <c r="J220">
        <f>IF(Allocation!CC220="","",Allocation!CC220)</f>
        <v>0</v>
      </c>
      <c r="K220">
        <f t="shared" si="57"/>
        <v>1260</v>
      </c>
      <c r="L220">
        <f t="shared" si="58"/>
        <v>307.34295700000001</v>
      </c>
      <c r="M220">
        <f t="shared" si="59"/>
        <v>12</v>
      </c>
      <c r="N220">
        <f t="shared" si="60"/>
        <v>2267018.4682080001</v>
      </c>
      <c r="O220">
        <f t="shared" si="61"/>
        <v>5640</v>
      </c>
      <c r="P220">
        <f t="shared" si="62"/>
        <v>132.45295700000003</v>
      </c>
      <c r="Q220">
        <f t="shared" si="63"/>
        <v>1305.0354259999999</v>
      </c>
      <c r="R220">
        <f t="shared" si="64"/>
        <v>50</v>
      </c>
      <c r="S220">
        <f t="shared" si="65"/>
        <v>10043742.187895998</v>
      </c>
      <c r="T220">
        <f t="shared" si="66"/>
        <v>3253.6168479999983</v>
      </c>
      <c r="U220">
        <f t="shared" si="67"/>
        <v>135</v>
      </c>
      <c r="V220">
        <f t="shared" si="68"/>
        <v>24231703.809424989</v>
      </c>
      <c r="W220">
        <f>IF($A220="","",Allocation!CD220)</f>
        <v>149167.61952099999</v>
      </c>
      <c r="X220">
        <f>IF($A220="","",Allocation!CE220)</f>
        <v>366973.05839999998</v>
      </c>
      <c r="Y220">
        <f>IF($A220="","",Allocation!CF220)</f>
        <v>112637.38329699999</v>
      </c>
      <c r="Z220">
        <f>IF($A220="","",Allocation!CG220)</f>
        <v>34055.64</v>
      </c>
      <c r="AA220">
        <f>IF($A220="","",Allocation!CH220)</f>
        <v>837601.24817300006</v>
      </c>
      <c r="AB220">
        <f>IF($A220="","",Allocation!CI220)</f>
        <v>2975861.5814200002</v>
      </c>
      <c r="AC220">
        <f>IF($A220="","",IF(Allocation!$N$4="VOL_EFF",$G220,IF(Allocation!$N$4="VOL_CLASS",$H220,$I220)))</f>
        <v>3</v>
      </c>
      <c r="AD220">
        <f>IF($A220="","",IF(Allocation!$N$4="VOL_EFF",$L220,IF(Allocation!$N$4="VOL_CLASS",$M220,$N220)))</f>
        <v>12</v>
      </c>
      <c r="AE220">
        <f>IF($A220="","",IF(Allocation!$N$3="VOL_EFF",$L220,IF(Allocation!$N$3="VOL_CLASS",$M220,$N220)))</f>
        <v>307.34295700000001</v>
      </c>
      <c r="AF220">
        <f>IF($A220="","",IF(Allocation!$N$3="VOL_EFF",$Q220,IF(Allocation!$N$3="VOL_CLASS",$R220,$S220)))</f>
        <v>1305.0354259999999</v>
      </c>
      <c r="AG220">
        <f>IF($A220="","",IF(Allocation!$N$1="VOL_EFF",$Q220,IF(Allocation!$N$1="VOL_CLASS",$R220,$S220)))</f>
        <v>1305.0354259999999</v>
      </c>
      <c r="AH220">
        <f>IF($A220="","",IF(Allocation!$N$1="VOL_EFF",$T220,IF(Allocation!$N$1="VOL_CLASS",$U220,$V220)))</f>
        <v>3253.6168479999983</v>
      </c>
      <c r="AI220">
        <f t="shared" si="69"/>
        <v>33324.680956819146</v>
      </c>
      <c r="AJ220">
        <f t="shared" si="70"/>
        <v>81983.342834042545</v>
      </c>
      <c r="AK220">
        <f t="shared" si="71"/>
        <v>21732.714797535114</v>
      </c>
      <c r="AL220">
        <f t="shared" si="72"/>
        <v>209400.31204325001</v>
      </c>
      <c r="AM220">
        <f t="shared" si="73"/>
        <v>70276.413971310962</v>
      </c>
      <c r="AN220">
        <f t="shared" si="74"/>
        <v>11424.569313210261</v>
      </c>
      <c r="AO220">
        <f>IF($A220="","",Allocation!CJ220)</f>
        <v>743978.4</v>
      </c>
      <c r="AP220">
        <f>IF($A220="","",IF(Allocation!$N$2="VOL_EFF",$Q220,IF(Allocation!$N$2="VOL_CLASS",$R220,$S220)))</f>
        <v>10043742.187895998</v>
      </c>
      <c r="AQ220">
        <f>IF($A220="","",IF(Allocation!$N$2="VOL_EFF",$T220,IF(Allocation!$N$2="VOL_CLASS",$U220,$V220)))</f>
        <v>24231703.809424989</v>
      </c>
      <c r="AR220">
        <f t="shared" si="75"/>
        <v>18155.696083831972</v>
      </c>
      <c r="AS220" t="str">
        <f>IF($A220="","",$A220&amp;"|"&amp;Allocation!BG220)</f>
        <v>2027|V01</v>
      </c>
    </row>
    <row r="221" spans="1:45" x14ac:dyDescent="0.45">
      <c r="A221" t="str">
        <f>IF(Allocation!BI221="","",Allocation!BI221)</f>
        <v>2027</v>
      </c>
      <c r="B221" t="str">
        <f>IF(Allocation!BJ221="","",Allocation!BJ221)</f>
        <v>MBWAY_PAR</v>
      </c>
      <c r="C221" t="str">
        <f>IF(Allocation!BK221="","",Allocation!BK221)</f>
        <v>MBWAY</v>
      </c>
      <c r="D221" t="str">
        <f>IF(Allocation!BL221="","",Allocation!BL221)</f>
        <v>BAC_MGT</v>
      </c>
      <c r="E221" t="str">
        <f>IF(Allocation!BM221="","",Allocation!BM221)</f>
        <v>B1</v>
      </c>
      <c r="F221" t="str">
        <f>IF(Allocation!BN221="","",Allocation!BN221)</f>
        <v>INIT</v>
      </c>
      <c r="G221">
        <f>IF(Allocation!BO221="","",Allocation!BO221)</f>
        <v>84.920597000000001</v>
      </c>
      <c r="H221">
        <f>IF(Allocation!BP221="","",Allocation!BP221)</f>
        <v>3</v>
      </c>
      <c r="I221">
        <f>IF(Allocation!BQ221="","",Allocation!BQ221)</f>
        <v>723458.26742199995</v>
      </c>
      <c r="J221">
        <f>IF(Allocation!CC221="","",Allocation!CC221)</f>
        <v>84.920597000000001</v>
      </c>
      <c r="K221">
        <f t="shared" si="57"/>
        <v>1800</v>
      </c>
      <c r="L221">
        <f t="shared" si="58"/>
        <v>398.78245699999997</v>
      </c>
      <c r="M221">
        <f t="shared" si="59"/>
        <v>15</v>
      </c>
      <c r="N221">
        <f t="shared" si="60"/>
        <v>3292150.8481380004</v>
      </c>
      <c r="O221">
        <f t="shared" si="61"/>
        <v>7200</v>
      </c>
      <c r="P221">
        <f t="shared" si="62"/>
        <v>171.622457</v>
      </c>
      <c r="Q221">
        <f t="shared" si="63"/>
        <v>1305.0354259999999</v>
      </c>
      <c r="R221">
        <f t="shared" si="64"/>
        <v>50</v>
      </c>
      <c r="S221">
        <f t="shared" si="65"/>
        <v>10043742.187895998</v>
      </c>
      <c r="T221">
        <f t="shared" si="66"/>
        <v>3253.6168479999983</v>
      </c>
      <c r="U221">
        <f t="shared" si="67"/>
        <v>135</v>
      </c>
      <c r="V221">
        <f t="shared" si="68"/>
        <v>24231703.809424989</v>
      </c>
      <c r="W221">
        <f>IF($A221="","",Allocation!CD221)</f>
        <v>186459.781808</v>
      </c>
      <c r="X221">
        <f>IF($A221="","",Allocation!CE221)</f>
        <v>535199.11536000005</v>
      </c>
      <c r="Y221">
        <f>IF($A221="","",Allocation!CF221)</f>
        <v>146351.58197500001</v>
      </c>
      <c r="Z221">
        <f>IF($A221="","",Allocation!CG221)</f>
        <v>73754.28</v>
      </c>
      <c r="AA221">
        <f>IF($A221="","",Allocation!CH221)</f>
        <v>1254602.3804220001</v>
      </c>
      <c r="AB221">
        <f>IF($A221="","",Allocation!CI221)</f>
        <v>2975861.5814200002</v>
      </c>
      <c r="AC221">
        <f>IF($A221="","",IF(Allocation!$N$4="VOL_EFF",$G221,IF(Allocation!$N$4="VOL_CLASS",$H221,$I221)))</f>
        <v>3</v>
      </c>
      <c r="AD221">
        <f>IF($A221="","",IF(Allocation!$N$4="VOL_EFF",$L221,IF(Allocation!$N$4="VOL_CLASS",$M221,$N221)))</f>
        <v>15</v>
      </c>
      <c r="AE221">
        <f>IF($A221="","",IF(Allocation!$N$3="VOL_EFF",$L221,IF(Allocation!$N$3="VOL_CLASS",$M221,$N221)))</f>
        <v>398.78245699999997</v>
      </c>
      <c r="AF221">
        <f>IF($A221="","",IF(Allocation!$N$3="VOL_EFF",$Q221,IF(Allocation!$N$3="VOL_CLASS",$R221,$S221)))</f>
        <v>1305.0354259999999</v>
      </c>
      <c r="AG221">
        <f>IF($A221="","",IF(Allocation!$N$1="VOL_EFF",$Q221,IF(Allocation!$N$1="VOL_CLASS",$R221,$S221)))</f>
        <v>1305.0354259999999</v>
      </c>
      <c r="AH221">
        <f>IF($A221="","",IF(Allocation!$N$1="VOL_EFF",$T221,IF(Allocation!$N$1="VOL_CLASS",$U221,$V221)))</f>
        <v>3253.6168479999983</v>
      </c>
      <c r="AI221">
        <f t="shared" si="69"/>
        <v>46614.945452</v>
      </c>
      <c r="AJ221">
        <f t="shared" si="70"/>
        <v>133799.77884000001</v>
      </c>
      <c r="AK221">
        <f t="shared" si="71"/>
        <v>67659.916249598784</v>
      </c>
      <c r="AL221">
        <f t="shared" si="72"/>
        <v>250920.47608440003</v>
      </c>
      <c r="AM221">
        <f t="shared" si="73"/>
        <v>72947.826899780906</v>
      </c>
      <c r="AN221">
        <f t="shared" si="74"/>
        <v>132669.47647280048</v>
      </c>
      <c r="AO221">
        <f>IF($A221="","",Allocation!CJ221)</f>
        <v>743978.4</v>
      </c>
      <c r="AP221">
        <f>IF($A221="","",IF(Allocation!$N$2="VOL_EFF",$Q221,IF(Allocation!$N$2="VOL_CLASS",$R221,$S221)))</f>
        <v>10043742.187895998</v>
      </c>
      <c r="AQ221">
        <f>IF($A221="","",IF(Allocation!$N$2="VOL_EFF",$T221,IF(Allocation!$N$2="VOL_CLASS",$U221,$V221)))</f>
        <v>24231703.809424989</v>
      </c>
      <c r="AR221">
        <f t="shared" si="75"/>
        <v>18845.847423419673</v>
      </c>
      <c r="AS221" t="str">
        <f>IF($A221="","",$A221&amp;"|"&amp;Allocation!BG221)</f>
        <v>2027|V01</v>
      </c>
    </row>
    <row r="222" spans="1:45" x14ac:dyDescent="0.45">
      <c r="A222" t="str">
        <f>IF(Allocation!BI222="","",Allocation!BI222)</f>
        <v>2027</v>
      </c>
      <c r="B222" t="str">
        <f>IF(Allocation!BJ222="","",Allocation!BJ222)</f>
        <v>MBWAY_PAR</v>
      </c>
      <c r="C222" t="str">
        <f>IF(Allocation!BK222="","",Allocation!BK222)</f>
        <v>MBWAY</v>
      </c>
      <c r="D222" t="str">
        <f>IF(Allocation!BL222="","",Allocation!BL222)</f>
        <v>BAC_MGT</v>
      </c>
      <c r="E222" t="str">
        <f>IF(Allocation!BM222="","",Allocation!BM222)</f>
        <v>B2</v>
      </c>
      <c r="F222" t="str">
        <f>IF(Allocation!BN222="","",Allocation!BN222)</f>
        <v>ALT</v>
      </c>
      <c r="G222">
        <f>IF(Allocation!BO222="","",Allocation!BO222)</f>
        <v>76.39</v>
      </c>
      <c r="H222">
        <f>IF(Allocation!BP222="","",Allocation!BP222)</f>
        <v>3</v>
      </c>
      <c r="I222">
        <f>IF(Allocation!BQ222="","",Allocation!BQ222)</f>
        <v>600981.76364799996</v>
      </c>
      <c r="J222">
        <f>IF(Allocation!CC222="","",Allocation!CC222)</f>
        <v>0</v>
      </c>
      <c r="K222">
        <f t="shared" si="57"/>
        <v>1440</v>
      </c>
      <c r="L222">
        <f t="shared" si="58"/>
        <v>398.78245699999997</v>
      </c>
      <c r="M222">
        <f t="shared" si="59"/>
        <v>15</v>
      </c>
      <c r="N222">
        <f t="shared" si="60"/>
        <v>3292150.8481380004</v>
      </c>
      <c r="O222">
        <f t="shared" si="61"/>
        <v>7200</v>
      </c>
      <c r="P222">
        <f t="shared" si="62"/>
        <v>171.622457</v>
      </c>
      <c r="Q222">
        <f t="shared" si="63"/>
        <v>1305.0354259999999</v>
      </c>
      <c r="R222">
        <f t="shared" si="64"/>
        <v>50</v>
      </c>
      <c r="S222">
        <f t="shared" si="65"/>
        <v>10043742.187895998</v>
      </c>
      <c r="T222">
        <f t="shared" si="66"/>
        <v>3253.6168479999983</v>
      </c>
      <c r="U222">
        <f t="shared" si="67"/>
        <v>135</v>
      </c>
      <c r="V222">
        <f t="shared" si="68"/>
        <v>24231703.809424989</v>
      </c>
      <c r="W222">
        <f>IF($A222="","",Allocation!CD222)</f>
        <v>186459.781808</v>
      </c>
      <c r="X222">
        <f>IF($A222="","",Allocation!CE222)</f>
        <v>535199.11536000005</v>
      </c>
      <c r="Y222">
        <f>IF($A222="","",Allocation!CF222)</f>
        <v>146351.58197500001</v>
      </c>
      <c r="Z222">
        <f>IF($A222="","",Allocation!CG222)</f>
        <v>73754.28</v>
      </c>
      <c r="AA222">
        <f>IF($A222="","",Allocation!CH222)</f>
        <v>1254602.3804220001</v>
      </c>
      <c r="AB222">
        <f>IF($A222="","",Allocation!CI222)</f>
        <v>2975861.5814200002</v>
      </c>
      <c r="AC222">
        <f>IF($A222="","",IF(Allocation!$N$4="VOL_EFF",$G222,IF(Allocation!$N$4="VOL_CLASS",$H222,$I222)))</f>
        <v>3</v>
      </c>
      <c r="AD222">
        <f>IF($A222="","",IF(Allocation!$N$4="VOL_EFF",$L222,IF(Allocation!$N$4="VOL_CLASS",$M222,$N222)))</f>
        <v>15</v>
      </c>
      <c r="AE222">
        <f>IF($A222="","",IF(Allocation!$N$3="VOL_EFF",$L222,IF(Allocation!$N$3="VOL_CLASS",$M222,$N222)))</f>
        <v>398.78245699999997</v>
      </c>
      <c r="AF222">
        <f>IF($A222="","",IF(Allocation!$N$3="VOL_EFF",$Q222,IF(Allocation!$N$3="VOL_CLASS",$R222,$S222)))</f>
        <v>1305.0354259999999</v>
      </c>
      <c r="AG222">
        <f>IF($A222="","",IF(Allocation!$N$1="VOL_EFF",$Q222,IF(Allocation!$N$1="VOL_CLASS",$R222,$S222)))</f>
        <v>1305.0354259999999</v>
      </c>
      <c r="AH222">
        <f>IF($A222="","",IF(Allocation!$N$1="VOL_EFF",$T222,IF(Allocation!$N$1="VOL_CLASS",$U222,$V222)))</f>
        <v>3253.6168479999983</v>
      </c>
      <c r="AI222">
        <f t="shared" si="69"/>
        <v>37291.956361600001</v>
      </c>
      <c r="AJ222">
        <f t="shared" si="70"/>
        <v>107039.82307200001</v>
      </c>
      <c r="AK222">
        <f t="shared" si="71"/>
        <v>28034.827387279605</v>
      </c>
      <c r="AL222">
        <f t="shared" si="72"/>
        <v>250920.47608440003</v>
      </c>
      <c r="AM222">
        <f t="shared" si="73"/>
        <v>72947.826899780906</v>
      </c>
      <c r="AN222">
        <f t="shared" si="74"/>
        <v>85901.006419519777</v>
      </c>
      <c r="AO222">
        <f>IF($A222="","",Allocation!CJ222)</f>
        <v>743978.4</v>
      </c>
      <c r="AP222">
        <f>IF($A222="","",IF(Allocation!$N$2="VOL_EFF",$Q222,IF(Allocation!$N$2="VOL_CLASS",$R222,$S222)))</f>
        <v>10043742.187895998</v>
      </c>
      <c r="AQ222">
        <f>IF($A222="","",IF(Allocation!$N$2="VOL_EFF",$T222,IF(Allocation!$N$2="VOL_CLASS",$U222,$V222)))</f>
        <v>24231703.809424989</v>
      </c>
      <c r="AR222">
        <f t="shared" si="75"/>
        <v>18845.847423419673</v>
      </c>
      <c r="AS222" t="str">
        <f>IF($A222="","",$A222&amp;"|"&amp;Allocation!BG222)</f>
        <v>2027|V01</v>
      </c>
    </row>
    <row r="223" spans="1:45" x14ac:dyDescent="0.45">
      <c r="A223" t="str">
        <f>IF(Allocation!BI223="","",Allocation!BI223)</f>
        <v>2027</v>
      </c>
      <c r="B223" t="str">
        <f>IF(Allocation!BJ223="","",Allocation!BJ223)</f>
        <v>MBWAY_PAR</v>
      </c>
      <c r="C223" t="str">
        <f>IF(Allocation!BK223="","",Allocation!BK223)</f>
        <v>MBWAY</v>
      </c>
      <c r="D223" t="str">
        <f>IF(Allocation!BL223="","",Allocation!BL223)</f>
        <v>BAC_MGT</v>
      </c>
      <c r="E223" t="str">
        <f>IF(Allocation!BM223="","",Allocation!BM223)</f>
        <v>B3</v>
      </c>
      <c r="F223" t="str">
        <f>IF(Allocation!BN223="","",Allocation!BN223)</f>
        <v>ALT</v>
      </c>
      <c r="G223">
        <f>IF(Allocation!BO223="","",Allocation!BO223)</f>
        <v>74.38</v>
      </c>
      <c r="H223">
        <f>IF(Allocation!BP223="","",Allocation!BP223)</f>
        <v>3</v>
      </c>
      <c r="I223">
        <f>IF(Allocation!BQ223="","",Allocation!BQ223)</f>
        <v>585168.524416</v>
      </c>
      <c r="J223">
        <f>IF(Allocation!CC223="","",Allocation!CC223)</f>
        <v>0</v>
      </c>
      <c r="K223">
        <f t="shared" si="57"/>
        <v>1440</v>
      </c>
      <c r="L223">
        <f t="shared" si="58"/>
        <v>398.78245699999997</v>
      </c>
      <c r="M223">
        <f t="shared" si="59"/>
        <v>15</v>
      </c>
      <c r="N223">
        <f t="shared" si="60"/>
        <v>3292150.8481380004</v>
      </c>
      <c r="O223">
        <f t="shared" si="61"/>
        <v>7200</v>
      </c>
      <c r="P223">
        <f t="shared" si="62"/>
        <v>171.622457</v>
      </c>
      <c r="Q223">
        <f t="shared" si="63"/>
        <v>1305.0354259999999</v>
      </c>
      <c r="R223">
        <f t="shared" si="64"/>
        <v>50</v>
      </c>
      <c r="S223">
        <f t="shared" si="65"/>
        <v>10043742.187895998</v>
      </c>
      <c r="T223">
        <f t="shared" si="66"/>
        <v>3253.6168479999983</v>
      </c>
      <c r="U223">
        <f t="shared" si="67"/>
        <v>135</v>
      </c>
      <c r="V223">
        <f t="shared" si="68"/>
        <v>24231703.809424989</v>
      </c>
      <c r="W223">
        <f>IF($A223="","",Allocation!CD223)</f>
        <v>186459.781808</v>
      </c>
      <c r="X223">
        <f>IF($A223="","",Allocation!CE223)</f>
        <v>535199.11536000005</v>
      </c>
      <c r="Y223">
        <f>IF($A223="","",Allocation!CF223)</f>
        <v>146351.58197500001</v>
      </c>
      <c r="Z223">
        <f>IF($A223="","",Allocation!CG223)</f>
        <v>73754.28</v>
      </c>
      <c r="AA223">
        <f>IF($A223="","",Allocation!CH223)</f>
        <v>1254602.3804220001</v>
      </c>
      <c r="AB223">
        <f>IF($A223="","",Allocation!CI223)</f>
        <v>2975861.5814200002</v>
      </c>
      <c r="AC223">
        <f>IF($A223="","",IF(Allocation!$N$4="VOL_EFF",$G223,IF(Allocation!$N$4="VOL_CLASS",$H223,$I223)))</f>
        <v>3</v>
      </c>
      <c r="AD223">
        <f>IF($A223="","",IF(Allocation!$N$4="VOL_EFF",$L223,IF(Allocation!$N$4="VOL_CLASS",$M223,$N223)))</f>
        <v>15</v>
      </c>
      <c r="AE223">
        <f>IF($A223="","",IF(Allocation!$N$3="VOL_EFF",$L223,IF(Allocation!$N$3="VOL_CLASS",$M223,$N223)))</f>
        <v>398.78245699999997</v>
      </c>
      <c r="AF223">
        <f>IF($A223="","",IF(Allocation!$N$3="VOL_EFF",$Q223,IF(Allocation!$N$3="VOL_CLASS",$R223,$S223)))</f>
        <v>1305.0354259999999</v>
      </c>
      <c r="AG223">
        <f>IF($A223="","",IF(Allocation!$N$1="VOL_EFF",$Q223,IF(Allocation!$N$1="VOL_CLASS",$R223,$S223)))</f>
        <v>1305.0354259999999</v>
      </c>
      <c r="AH223">
        <f>IF($A223="","",IF(Allocation!$N$1="VOL_EFF",$T223,IF(Allocation!$N$1="VOL_CLASS",$U223,$V223)))</f>
        <v>3253.6168479999983</v>
      </c>
      <c r="AI223">
        <f t="shared" si="69"/>
        <v>37291.956361600001</v>
      </c>
      <c r="AJ223">
        <f t="shared" si="70"/>
        <v>107039.82307200001</v>
      </c>
      <c r="AK223">
        <f t="shared" si="71"/>
        <v>27297.165349729767</v>
      </c>
      <c r="AL223">
        <f t="shared" si="72"/>
        <v>250920.47608440003</v>
      </c>
      <c r="AM223">
        <f t="shared" si="73"/>
        <v>72947.826899780906</v>
      </c>
      <c r="AN223">
        <f t="shared" si="74"/>
        <v>70825.429225069645</v>
      </c>
      <c r="AO223">
        <f>IF($A223="","",Allocation!CJ223)</f>
        <v>743978.4</v>
      </c>
      <c r="AP223">
        <f>IF($A223="","",IF(Allocation!$N$2="VOL_EFF",$Q223,IF(Allocation!$N$2="VOL_CLASS",$R223,$S223)))</f>
        <v>10043742.187895998</v>
      </c>
      <c r="AQ223">
        <f>IF($A223="","",IF(Allocation!$N$2="VOL_EFF",$T223,IF(Allocation!$N$2="VOL_CLASS",$U223,$V223)))</f>
        <v>24231703.809424989</v>
      </c>
      <c r="AR223">
        <f t="shared" si="75"/>
        <v>18845.847423419673</v>
      </c>
      <c r="AS223" t="str">
        <f>IF($A223="","",$A223&amp;"|"&amp;Allocation!BG223)</f>
        <v>2027|V01</v>
      </c>
    </row>
    <row r="224" spans="1:45" x14ac:dyDescent="0.45">
      <c r="A224" t="str">
        <f>IF(Allocation!BI224="","",Allocation!BI224)</f>
        <v>2027</v>
      </c>
      <c r="B224" t="str">
        <f>IF(Allocation!BJ224="","",Allocation!BJ224)</f>
        <v>MBWAY_PAR</v>
      </c>
      <c r="C224" t="str">
        <f>IF(Allocation!BK224="","",Allocation!BK224)</f>
        <v>MBWAY</v>
      </c>
      <c r="D224" t="str">
        <f>IF(Allocation!BL224="","",Allocation!BL224)</f>
        <v>MAS_MGT</v>
      </c>
      <c r="E224" t="str">
        <f>IF(Allocation!BM224="","",Allocation!BM224)</f>
        <v>M1</v>
      </c>
      <c r="F224" t="str">
        <f>IF(Allocation!BN224="","",Allocation!BN224)</f>
        <v>ALT</v>
      </c>
      <c r="G224">
        <f>IF(Allocation!BO224="","",Allocation!BO224)</f>
        <v>86.701859999999996</v>
      </c>
      <c r="H224">
        <f>IF(Allocation!BP224="","",Allocation!BP224)</f>
        <v>3</v>
      </c>
      <c r="I224">
        <f>IF(Allocation!BQ224="","",Allocation!BQ224)</f>
        <v>738633.26017200004</v>
      </c>
      <c r="J224">
        <f>IF(Allocation!CC224="","",Allocation!CC224)</f>
        <v>86.701859999999996</v>
      </c>
      <c r="K224">
        <f t="shared" si="57"/>
        <v>1260</v>
      </c>
      <c r="L224">
        <f t="shared" si="58"/>
        <v>398.78245699999997</v>
      </c>
      <c r="M224">
        <f t="shared" si="59"/>
        <v>15</v>
      </c>
      <c r="N224">
        <f t="shared" si="60"/>
        <v>3292150.8481380004</v>
      </c>
      <c r="O224">
        <f t="shared" si="61"/>
        <v>7200</v>
      </c>
      <c r="P224">
        <f t="shared" si="62"/>
        <v>171.622457</v>
      </c>
      <c r="Q224">
        <f t="shared" si="63"/>
        <v>1305.0354259999999</v>
      </c>
      <c r="R224">
        <f t="shared" si="64"/>
        <v>50</v>
      </c>
      <c r="S224">
        <f t="shared" si="65"/>
        <v>10043742.187895998</v>
      </c>
      <c r="T224">
        <f t="shared" si="66"/>
        <v>3253.6168479999983</v>
      </c>
      <c r="U224">
        <f t="shared" si="67"/>
        <v>135</v>
      </c>
      <c r="V224">
        <f t="shared" si="68"/>
        <v>24231703.809424989</v>
      </c>
      <c r="W224">
        <f>IF($A224="","",Allocation!CD224)</f>
        <v>186459.781808</v>
      </c>
      <c r="X224">
        <f>IF($A224="","",Allocation!CE224)</f>
        <v>535199.11536000005</v>
      </c>
      <c r="Y224">
        <f>IF($A224="","",Allocation!CF224)</f>
        <v>146351.58197500001</v>
      </c>
      <c r="Z224">
        <f>IF($A224="","",Allocation!CG224)</f>
        <v>73754.28</v>
      </c>
      <c r="AA224">
        <f>IF($A224="","",Allocation!CH224)</f>
        <v>1254602.3804220001</v>
      </c>
      <c r="AB224">
        <f>IF($A224="","",Allocation!CI224)</f>
        <v>2975861.5814200002</v>
      </c>
      <c r="AC224">
        <f>IF($A224="","",IF(Allocation!$N$4="VOL_EFF",$G224,IF(Allocation!$N$4="VOL_CLASS",$H224,$I224)))</f>
        <v>3</v>
      </c>
      <c r="AD224">
        <f>IF($A224="","",IF(Allocation!$N$4="VOL_EFF",$L224,IF(Allocation!$N$4="VOL_CLASS",$M224,$N224)))</f>
        <v>15</v>
      </c>
      <c r="AE224">
        <f>IF($A224="","",IF(Allocation!$N$3="VOL_EFF",$L224,IF(Allocation!$N$3="VOL_CLASS",$M224,$N224)))</f>
        <v>398.78245699999997</v>
      </c>
      <c r="AF224">
        <f>IF($A224="","",IF(Allocation!$N$3="VOL_EFF",$Q224,IF(Allocation!$N$3="VOL_CLASS",$R224,$S224)))</f>
        <v>1305.0354259999999</v>
      </c>
      <c r="AG224">
        <f>IF($A224="","",IF(Allocation!$N$1="VOL_EFF",$Q224,IF(Allocation!$N$1="VOL_CLASS",$R224,$S224)))</f>
        <v>1305.0354259999999</v>
      </c>
      <c r="AH224">
        <f>IF($A224="","",IF(Allocation!$N$1="VOL_EFF",$T224,IF(Allocation!$N$1="VOL_CLASS",$U224,$V224)))</f>
        <v>3253.6168479999983</v>
      </c>
      <c r="AI224">
        <f t="shared" si="69"/>
        <v>32630.461816399998</v>
      </c>
      <c r="AJ224">
        <f t="shared" si="70"/>
        <v>93659.845188000007</v>
      </c>
      <c r="AK224">
        <f t="shared" si="71"/>
        <v>69079.12560111226</v>
      </c>
      <c r="AL224">
        <f t="shared" si="72"/>
        <v>250920.47608440003</v>
      </c>
      <c r="AM224">
        <f t="shared" si="73"/>
        <v>72947.826899780906</v>
      </c>
      <c r="AN224">
        <f t="shared" si="74"/>
        <v>200549.67715888715</v>
      </c>
      <c r="AO224">
        <f>IF($A224="","",Allocation!CJ224)</f>
        <v>743978.4</v>
      </c>
      <c r="AP224">
        <f>IF($A224="","",IF(Allocation!$N$2="VOL_EFF",$Q224,IF(Allocation!$N$2="VOL_CLASS",$R224,$S224)))</f>
        <v>10043742.187895998</v>
      </c>
      <c r="AQ224">
        <f>IF($A224="","",IF(Allocation!$N$2="VOL_EFF",$T224,IF(Allocation!$N$2="VOL_CLASS",$U224,$V224)))</f>
        <v>24231703.809424989</v>
      </c>
      <c r="AR224">
        <f t="shared" si="75"/>
        <v>18845.847423419673</v>
      </c>
      <c r="AS224" t="str">
        <f>IF($A224="","",$A224&amp;"|"&amp;Allocation!BG224)</f>
        <v>2027|V01</v>
      </c>
    </row>
    <row r="225" spans="1:45" x14ac:dyDescent="0.45">
      <c r="A225" t="str">
        <f>IF(Allocation!BI225="","",Allocation!BI225)</f>
        <v>2027</v>
      </c>
      <c r="B225" t="str">
        <f>IF(Allocation!BJ225="","",Allocation!BJ225)</f>
        <v>MBWAY_PAR</v>
      </c>
      <c r="C225" t="str">
        <f>IF(Allocation!BK225="","",Allocation!BK225)</f>
        <v>MBWAY</v>
      </c>
      <c r="D225" t="str">
        <f>IF(Allocation!BL225="","",Allocation!BL225)</f>
        <v>MAS_MGT</v>
      </c>
      <c r="E225" t="str">
        <f>IF(Allocation!BM225="","",Allocation!BM225)</f>
        <v>M2</v>
      </c>
      <c r="F225" t="str">
        <f>IF(Allocation!BN225="","",Allocation!BN225)</f>
        <v>ALT</v>
      </c>
      <c r="G225">
        <f>IF(Allocation!BO225="","",Allocation!BO225)</f>
        <v>76.39</v>
      </c>
      <c r="H225">
        <f>IF(Allocation!BP225="","",Allocation!BP225)</f>
        <v>3</v>
      </c>
      <c r="I225">
        <f>IF(Allocation!BQ225="","",Allocation!BQ225)</f>
        <v>643909.03248000005</v>
      </c>
      <c r="J225">
        <f>IF(Allocation!CC225="","",Allocation!CC225)</f>
        <v>0</v>
      </c>
      <c r="K225">
        <f t="shared" si="57"/>
        <v>1260</v>
      </c>
      <c r="L225">
        <f t="shared" si="58"/>
        <v>398.78245699999997</v>
      </c>
      <c r="M225">
        <f t="shared" si="59"/>
        <v>15</v>
      </c>
      <c r="N225">
        <f t="shared" si="60"/>
        <v>3292150.8481380004</v>
      </c>
      <c r="O225">
        <f t="shared" si="61"/>
        <v>7200</v>
      </c>
      <c r="P225">
        <f t="shared" si="62"/>
        <v>171.622457</v>
      </c>
      <c r="Q225">
        <f t="shared" si="63"/>
        <v>1305.0354259999999</v>
      </c>
      <c r="R225">
        <f t="shared" si="64"/>
        <v>50</v>
      </c>
      <c r="S225">
        <f t="shared" si="65"/>
        <v>10043742.187895998</v>
      </c>
      <c r="T225">
        <f t="shared" si="66"/>
        <v>3253.6168479999983</v>
      </c>
      <c r="U225">
        <f t="shared" si="67"/>
        <v>135</v>
      </c>
      <c r="V225">
        <f t="shared" si="68"/>
        <v>24231703.809424989</v>
      </c>
      <c r="W225">
        <f>IF($A225="","",Allocation!CD225)</f>
        <v>186459.781808</v>
      </c>
      <c r="X225">
        <f>IF($A225="","",Allocation!CE225)</f>
        <v>535199.11536000005</v>
      </c>
      <c r="Y225">
        <f>IF($A225="","",Allocation!CF225)</f>
        <v>146351.58197500001</v>
      </c>
      <c r="Z225">
        <f>IF($A225="","",Allocation!CG225)</f>
        <v>73754.28</v>
      </c>
      <c r="AA225">
        <f>IF($A225="","",Allocation!CH225)</f>
        <v>1254602.3804220001</v>
      </c>
      <c r="AB225">
        <f>IF($A225="","",Allocation!CI225)</f>
        <v>2975861.5814200002</v>
      </c>
      <c r="AC225">
        <f>IF($A225="","",IF(Allocation!$N$4="VOL_EFF",$G225,IF(Allocation!$N$4="VOL_CLASS",$H225,$I225)))</f>
        <v>3</v>
      </c>
      <c r="AD225">
        <f>IF($A225="","",IF(Allocation!$N$4="VOL_EFF",$L225,IF(Allocation!$N$4="VOL_CLASS",$M225,$N225)))</f>
        <v>15</v>
      </c>
      <c r="AE225">
        <f>IF($A225="","",IF(Allocation!$N$3="VOL_EFF",$L225,IF(Allocation!$N$3="VOL_CLASS",$M225,$N225)))</f>
        <v>398.78245699999997</v>
      </c>
      <c r="AF225">
        <f>IF($A225="","",IF(Allocation!$N$3="VOL_EFF",$Q225,IF(Allocation!$N$3="VOL_CLASS",$R225,$S225)))</f>
        <v>1305.0354259999999</v>
      </c>
      <c r="AG225">
        <f>IF($A225="","",IF(Allocation!$N$1="VOL_EFF",$Q225,IF(Allocation!$N$1="VOL_CLASS",$R225,$S225)))</f>
        <v>1305.0354259999999</v>
      </c>
      <c r="AH225">
        <f>IF($A225="","",IF(Allocation!$N$1="VOL_EFF",$T225,IF(Allocation!$N$1="VOL_CLASS",$U225,$V225)))</f>
        <v>3253.6168479999983</v>
      </c>
      <c r="AI225">
        <f t="shared" si="69"/>
        <v>32630.461816399998</v>
      </c>
      <c r="AJ225">
        <f t="shared" si="70"/>
        <v>93659.845188000007</v>
      </c>
      <c r="AK225">
        <f t="shared" si="71"/>
        <v>28034.827387279605</v>
      </c>
      <c r="AL225">
        <f t="shared" si="72"/>
        <v>250920.47608440003</v>
      </c>
      <c r="AM225">
        <f t="shared" si="73"/>
        <v>72947.826899780906</v>
      </c>
      <c r="AN225">
        <f t="shared" si="74"/>
        <v>146869.74768071988</v>
      </c>
      <c r="AO225">
        <f>IF($A225="","",Allocation!CJ225)</f>
        <v>743978.4</v>
      </c>
      <c r="AP225">
        <f>IF($A225="","",IF(Allocation!$N$2="VOL_EFF",$Q225,IF(Allocation!$N$2="VOL_CLASS",$R225,$S225)))</f>
        <v>10043742.187895998</v>
      </c>
      <c r="AQ225">
        <f>IF($A225="","",IF(Allocation!$N$2="VOL_EFF",$T225,IF(Allocation!$N$2="VOL_CLASS",$U225,$V225)))</f>
        <v>24231703.809424989</v>
      </c>
      <c r="AR225">
        <f t="shared" si="75"/>
        <v>18845.847423419673</v>
      </c>
      <c r="AS225" t="str">
        <f>IF($A225="","",$A225&amp;"|"&amp;Allocation!BG225)</f>
        <v>2027|V01</v>
      </c>
    </row>
    <row r="226" spans="1:45" x14ac:dyDescent="0.45">
      <c r="A226" t="str">
        <f>IF(Allocation!BI226="","",Allocation!BI226)</f>
        <v>2027</v>
      </c>
      <c r="B226" t="str">
        <f>IF(Allocation!BJ226="","",Allocation!BJ226)</f>
        <v>PIGIER_BOR</v>
      </c>
      <c r="C226" t="str">
        <f>IF(Allocation!BK226="","",Allocation!BK226)</f>
        <v>PIGIER</v>
      </c>
      <c r="D226" t="str">
        <f>IF(Allocation!BL226="","",Allocation!BL226)</f>
        <v>BTS_GES</v>
      </c>
      <c r="E226" t="str">
        <f>IF(Allocation!BM226="","",Allocation!BM226)</f>
        <v>BTS1</v>
      </c>
      <c r="F226" t="str">
        <f>IF(Allocation!BN226="","",Allocation!BN226)</f>
        <v>ALT</v>
      </c>
      <c r="G226">
        <f>IF(Allocation!BO226="","",Allocation!BO226)</f>
        <v>40.090820000000001</v>
      </c>
      <c r="H226">
        <f>IF(Allocation!BP226="","",Allocation!BP226)</f>
        <v>2</v>
      </c>
      <c r="I226">
        <f>IF(Allocation!BQ226="","",Allocation!BQ226)</f>
        <v>237545.73377399999</v>
      </c>
      <c r="J226">
        <f>IF(Allocation!CC226="","",Allocation!CC226)</f>
        <v>40.090820000000001</v>
      </c>
      <c r="K226">
        <f t="shared" si="57"/>
        <v>1400</v>
      </c>
      <c r="L226">
        <f t="shared" si="58"/>
        <v>184.71663999999998</v>
      </c>
      <c r="M226">
        <f t="shared" si="59"/>
        <v>10</v>
      </c>
      <c r="N226">
        <f t="shared" si="60"/>
        <v>1191512.604488</v>
      </c>
      <c r="O226">
        <f t="shared" si="61"/>
        <v>5680</v>
      </c>
      <c r="P226">
        <f t="shared" si="62"/>
        <v>80.181640000000002</v>
      </c>
      <c r="Q226">
        <f t="shared" si="63"/>
        <v>421.66417199999995</v>
      </c>
      <c r="R226">
        <f t="shared" si="64"/>
        <v>20</v>
      </c>
      <c r="S226">
        <f t="shared" si="65"/>
        <v>2845382.6681989999</v>
      </c>
      <c r="T226">
        <f t="shared" si="66"/>
        <v>3253.6168479999983</v>
      </c>
      <c r="U226">
        <f t="shared" si="67"/>
        <v>135</v>
      </c>
      <c r="V226">
        <f t="shared" si="68"/>
        <v>24231703.809424989</v>
      </c>
      <c r="W226">
        <f>IF($A226="","",Allocation!CD226)</f>
        <v>99444.736470000003</v>
      </c>
      <c r="X226">
        <f>IF($A226="","",Allocation!CE226)</f>
        <v>194818.2691</v>
      </c>
      <c r="Y226">
        <f>IF($A226="","",Allocation!CF226)</f>
        <v>54403.580192000001</v>
      </c>
      <c r="Z226">
        <f>IF($A226="","",Allocation!CG226)</f>
        <v>23725.439999999999</v>
      </c>
      <c r="AA226">
        <f>IF($A226="","",Allocation!CH226)</f>
        <v>360701.11720899999</v>
      </c>
      <c r="AB226">
        <f>IF($A226="","",Allocation!CI226)</f>
        <v>2975861.5814200002</v>
      </c>
      <c r="AC226">
        <f>IF($A226="","",IF(Allocation!$N$4="VOL_EFF",$G226,IF(Allocation!$N$4="VOL_CLASS",$H226,$I226)))</f>
        <v>2</v>
      </c>
      <c r="AD226">
        <f>IF($A226="","",IF(Allocation!$N$4="VOL_EFF",$L226,IF(Allocation!$N$4="VOL_CLASS",$M226,$N226)))</f>
        <v>10</v>
      </c>
      <c r="AE226">
        <f>IF($A226="","",IF(Allocation!$N$3="VOL_EFF",$L226,IF(Allocation!$N$3="VOL_CLASS",$M226,$N226)))</f>
        <v>184.71663999999998</v>
      </c>
      <c r="AF226">
        <f>IF($A226="","",IF(Allocation!$N$3="VOL_EFF",$Q226,IF(Allocation!$N$3="VOL_CLASS",$R226,$S226)))</f>
        <v>421.66417199999995</v>
      </c>
      <c r="AG226">
        <f>IF($A226="","",IF(Allocation!$N$1="VOL_EFF",$Q226,IF(Allocation!$N$1="VOL_CLASS",$R226,$S226)))</f>
        <v>421.66417199999995</v>
      </c>
      <c r="AH226">
        <f>IF($A226="","",IF(Allocation!$N$1="VOL_EFF",$T226,IF(Allocation!$N$1="VOL_CLASS",$U226,$V226)))</f>
        <v>3253.6168479999983</v>
      </c>
      <c r="AI226">
        <f t="shared" si="69"/>
        <v>24511.026594718311</v>
      </c>
      <c r="AJ226">
        <f t="shared" si="70"/>
        <v>48018.587454225351</v>
      </c>
      <c r="AK226">
        <f t="shared" si="71"/>
        <v>23670.449616741826</v>
      </c>
      <c r="AL226">
        <f t="shared" si="72"/>
        <v>72140.223441800001</v>
      </c>
      <c r="AM226">
        <f t="shared" si="73"/>
        <v>33789.544258285023</v>
      </c>
      <c r="AN226">
        <f t="shared" si="74"/>
        <v>27761.939184447256</v>
      </c>
      <c r="AO226">
        <f>IF($A226="","",Allocation!CJ226)</f>
        <v>743978.4</v>
      </c>
      <c r="AP226">
        <f>IF($A226="","",IF(Allocation!$N$2="VOL_EFF",$Q226,IF(Allocation!$N$2="VOL_CLASS",$R226,$S226)))</f>
        <v>2845382.6681989999</v>
      </c>
      <c r="AQ226">
        <f>IF($A226="","",IF(Allocation!$N$2="VOL_EFF",$T226,IF(Allocation!$N$2="VOL_CLASS",$U226,$V226)))</f>
        <v>24231703.809424989</v>
      </c>
      <c r="AR226">
        <f t="shared" si="75"/>
        <v>7653.9632237822198</v>
      </c>
      <c r="AS226" t="str">
        <f>IF($A226="","",$A226&amp;"|"&amp;Allocation!BG226)</f>
        <v>2027|V01</v>
      </c>
    </row>
    <row r="227" spans="1:45" x14ac:dyDescent="0.45">
      <c r="A227" t="str">
        <f>IF(Allocation!BI227="","",Allocation!BI227)</f>
        <v>2027</v>
      </c>
      <c r="B227" t="str">
        <f>IF(Allocation!BJ227="","",Allocation!BJ227)</f>
        <v>PIGIER_BOR</v>
      </c>
      <c r="C227" t="str">
        <f>IF(Allocation!BK227="","",Allocation!BK227)</f>
        <v>PIGIER</v>
      </c>
      <c r="D227" t="str">
        <f>IF(Allocation!BL227="","",Allocation!BL227)</f>
        <v>BTS_GES</v>
      </c>
      <c r="E227" t="str">
        <f>IF(Allocation!BM227="","",Allocation!BM227)</f>
        <v>BTS2</v>
      </c>
      <c r="F227" t="str">
        <f>IF(Allocation!BN227="","",Allocation!BN227)</f>
        <v>ALT</v>
      </c>
      <c r="G227">
        <f>IF(Allocation!BO227="","",Allocation!BO227)</f>
        <v>35.18</v>
      </c>
      <c r="H227">
        <f>IF(Allocation!BP227="","",Allocation!BP227)</f>
        <v>2</v>
      </c>
      <c r="I227">
        <f>IF(Allocation!BQ227="","",Allocation!BQ227)</f>
        <v>205281.991236</v>
      </c>
      <c r="J227">
        <f>IF(Allocation!CC227="","",Allocation!CC227)</f>
        <v>0</v>
      </c>
      <c r="K227">
        <f t="shared" si="57"/>
        <v>1400</v>
      </c>
      <c r="L227">
        <f t="shared" si="58"/>
        <v>184.71663999999998</v>
      </c>
      <c r="M227">
        <f t="shared" si="59"/>
        <v>10</v>
      </c>
      <c r="N227">
        <f t="shared" si="60"/>
        <v>1191512.604488</v>
      </c>
      <c r="O227">
        <f t="shared" si="61"/>
        <v>5680</v>
      </c>
      <c r="P227">
        <f t="shared" si="62"/>
        <v>80.181640000000002</v>
      </c>
      <c r="Q227">
        <f t="shared" si="63"/>
        <v>421.66417199999995</v>
      </c>
      <c r="R227">
        <f t="shared" si="64"/>
        <v>20</v>
      </c>
      <c r="S227">
        <f t="shared" si="65"/>
        <v>2845382.6681989999</v>
      </c>
      <c r="T227">
        <f t="shared" si="66"/>
        <v>3253.6168479999983</v>
      </c>
      <c r="U227">
        <f t="shared" si="67"/>
        <v>135</v>
      </c>
      <c r="V227">
        <f t="shared" si="68"/>
        <v>24231703.809424989</v>
      </c>
      <c r="W227">
        <f>IF($A227="","",Allocation!CD227)</f>
        <v>99444.736470000003</v>
      </c>
      <c r="X227">
        <f>IF($A227="","",Allocation!CE227)</f>
        <v>194818.2691</v>
      </c>
      <c r="Y227">
        <f>IF($A227="","",Allocation!CF227)</f>
        <v>54403.580192000001</v>
      </c>
      <c r="Z227">
        <f>IF($A227="","",Allocation!CG227)</f>
        <v>23725.439999999999</v>
      </c>
      <c r="AA227">
        <f>IF($A227="","",Allocation!CH227)</f>
        <v>360701.11720899999</v>
      </c>
      <c r="AB227">
        <f>IF($A227="","",Allocation!CI227)</f>
        <v>2975861.5814200002</v>
      </c>
      <c r="AC227">
        <f>IF($A227="","",IF(Allocation!$N$4="VOL_EFF",$G227,IF(Allocation!$N$4="VOL_CLASS",$H227,$I227)))</f>
        <v>2</v>
      </c>
      <c r="AD227">
        <f>IF($A227="","",IF(Allocation!$N$4="VOL_EFF",$L227,IF(Allocation!$N$4="VOL_CLASS",$M227,$N227)))</f>
        <v>10</v>
      </c>
      <c r="AE227">
        <f>IF($A227="","",IF(Allocation!$N$3="VOL_EFF",$L227,IF(Allocation!$N$3="VOL_CLASS",$M227,$N227)))</f>
        <v>184.71663999999998</v>
      </c>
      <c r="AF227">
        <f>IF($A227="","",IF(Allocation!$N$3="VOL_EFF",$Q227,IF(Allocation!$N$3="VOL_CLASS",$R227,$S227)))</f>
        <v>421.66417199999995</v>
      </c>
      <c r="AG227">
        <f>IF($A227="","",IF(Allocation!$N$1="VOL_EFF",$Q227,IF(Allocation!$N$1="VOL_CLASS",$R227,$S227)))</f>
        <v>421.66417199999995</v>
      </c>
      <c r="AH227">
        <f>IF($A227="","",IF(Allocation!$N$1="VOL_EFF",$T227,IF(Allocation!$N$1="VOL_CLASS",$U227,$V227)))</f>
        <v>3253.6168479999983</v>
      </c>
      <c r="AI227">
        <f t="shared" si="69"/>
        <v>24511.026594718311</v>
      </c>
      <c r="AJ227">
        <f t="shared" si="70"/>
        <v>48018.587454225351</v>
      </c>
      <c r="AK227">
        <f t="shared" si="71"/>
        <v>10361.372701206346</v>
      </c>
      <c r="AL227">
        <f t="shared" si="72"/>
        <v>72140.223441800001</v>
      </c>
      <c r="AM227">
        <f t="shared" si="73"/>
        <v>33789.544258285023</v>
      </c>
      <c r="AN227">
        <f t="shared" si="74"/>
        <v>8807.273561982729</v>
      </c>
      <c r="AO227">
        <f>IF($A227="","",Allocation!CJ227)</f>
        <v>743978.4</v>
      </c>
      <c r="AP227">
        <f>IF($A227="","",IF(Allocation!$N$2="VOL_EFF",$Q227,IF(Allocation!$N$2="VOL_CLASS",$R227,$S227)))</f>
        <v>2845382.6681989999</v>
      </c>
      <c r="AQ227">
        <f>IF($A227="","",IF(Allocation!$N$2="VOL_EFF",$T227,IF(Allocation!$N$2="VOL_CLASS",$U227,$V227)))</f>
        <v>24231703.809424989</v>
      </c>
      <c r="AR227">
        <f t="shared" si="75"/>
        <v>7653.9632237822198</v>
      </c>
      <c r="AS227" t="str">
        <f>IF($A227="","",$A227&amp;"|"&amp;Allocation!BG227)</f>
        <v>2027|V01</v>
      </c>
    </row>
    <row r="228" spans="1:45" x14ac:dyDescent="0.45">
      <c r="A228" t="str">
        <f>IF(Allocation!BI228="","",Allocation!BI228)</f>
        <v>2027</v>
      </c>
      <c r="B228" t="str">
        <f>IF(Allocation!BJ228="","",Allocation!BJ228)</f>
        <v>PIGIER_BOR</v>
      </c>
      <c r="C228" t="str">
        <f>IF(Allocation!BK228="","",Allocation!BK228)</f>
        <v>PIGIER</v>
      </c>
      <c r="D228" t="str">
        <f>IF(Allocation!BL228="","",Allocation!BL228)</f>
        <v>BAC_RH</v>
      </c>
      <c r="E228" t="str">
        <f>IF(Allocation!BM228="","",Allocation!BM228)</f>
        <v>B1</v>
      </c>
      <c r="F228" t="str">
        <f>IF(Allocation!BN228="","",Allocation!BN228)</f>
        <v>ALT</v>
      </c>
      <c r="G228">
        <f>IF(Allocation!BO228="","",Allocation!BO228)</f>
        <v>40.090820000000001</v>
      </c>
      <c r="H228">
        <f>IF(Allocation!BP228="","",Allocation!BP228)</f>
        <v>2</v>
      </c>
      <c r="I228">
        <f>IF(Allocation!BQ228="","",Allocation!BQ228)</f>
        <v>276535.32710300002</v>
      </c>
      <c r="J228">
        <f>IF(Allocation!CC228="","",Allocation!CC228)</f>
        <v>40.090820000000001</v>
      </c>
      <c r="K228">
        <f t="shared" si="57"/>
        <v>960</v>
      </c>
      <c r="L228">
        <f t="shared" si="58"/>
        <v>184.71663999999998</v>
      </c>
      <c r="M228">
        <f t="shared" si="59"/>
        <v>10</v>
      </c>
      <c r="N228">
        <f t="shared" si="60"/>
        <v>1191512.604488</v>
      </c>
      <c r="O228">
        <f t="shared" si="61"/>
        <v>5680</v>
      </c>
      <c r="P228">
        <f t="shared" si="62"/>
        <v>80.181640000000002</v>
      </c>
      <c r="Q228">
        <f t="shared" si="63"/>
        <v>421.66417199999995</v>
      </c>
      <c r="R228">
        <f t="shared" si="64"/>
        <v>20</v>
      </c>
      <c r="S228">
        <f t="shared" si="65"/>
        <v>2845382.6681989999</v>
      </c>
      <c r="T228">
        <f t="shared" si="66"/>
        <v>3253.6168479999983</v>
      </c>
      <c r="U228">
        <f t="shared" si="67"/>
        <v>135</v>
      </c>
      <c r="V228">
        <f t="shared" si="68"/>
        <v>24231703.809424989</v>
      </c>
      <c r="W228">
        <f>IF($A228="","",Allocation!CD228)</f>
        <v>99444.736470000003</v>
      </c>
      <c r="X228">
        <f>IF($A228="","",Allocation!CE228)</f>
        <v>194818.2691</v>
      </c>
      <c r="Y228">
        <f>IF($A228="","",Allocation!CF228)</f>
        <v>54403.580192000001</v>
      </c>
      <c r="Z228">
        <f>IF($A228="","",Allocation!CG228)</f>
        <v>23725.439999999999</v>
      </c>
      <c r="AA228">
        <f>IF($A228="","",Allocation!CH228)</f>
        <v>360701.11720899999</v>
      </c>
      <c r="AB228">
        <f>IF($A228="","",Allocation!CI228)</f>
        <v>2975861.5814200002</v>
      </c>
      <c r="AC228">
        <f>IF($A228="","",IF(Allocation!$N$4="VOL_EFF",$G228,IF(Allocation!$N$4="VOL_CLASS",$H228,$I228)))</f>
        <v>2</v>
      </c>
      <c r="AD228">
        <f>IF($A228="","",IF(Allocation!$N$4="VOL_EFF",$L228,IF(Allocation!$N$4="VOL_CLASS",$M228,$N228)))</f>
        <v>10</v>
      </c>
      <c r="AE228">
        <f>IF($A228="","",IF(Allocation!$N$3="VOL_EFF",$L228,IF(Allocation!$N$3="VOL_CLASS",$M228,$N228)))</f>
        <v>184.71663999999998</v>
      </c>
      <c r="AF228">
        <f>IF($A228="","",IF(Allocation!$N$3="VOL_EFF",$Q228,IF(Allocation!$N$3="VOL_CLASS",$R228,$S228)))</f>
        <v>421.66417199999995</v>
      </c>
      <c r="AG228">
        <f>IF($A228="","",IF(Allocation!$N$1="VOL_EFF",$Q228,IF(Allocation!$N$1="VOL_CLASS",$R228,$S228)))</f>
        <v>421.66417199999995</v>
      </c>
      <c r="AH228">
        <f>IF($A228="","",IF(Allocation!$N$1="VOL_EFF",$T228,IF(Allocation!$N$1="VOL_CLASS",$U228,$V228)))</f>
        <v>3253.6168479999983</v>
      </c>
      <c r="AI228">
        <f t="shared" si="69"/>
        <v>16807.561093521126</v>
      </c>
      <c r="AJ228">
        <f t="shared" si="70"/>
        <v>32927.031397183098</v>
      </c>
      <c r="AK228">
        <f t="shared" si="71"/>
        <v>23670.449616741826</v>
      </c>
      <c r="AL228">
        <f t="shared" si="72"/>
        <v>72140.223441800001</v>
      </c>
      <c r="AM228">
        <f t="shared" si="73"/>
        <v>33789.544258285023</v>
      </c>
      <c r="AN228">
        <f t="shared" si="74"/>
        <v>89546.554071686725</v>
      </c>
      <c r="AO228">
        <f>IF($A228="","",Allocation!CJ228)</f>
        <v>743978.4</v>
      </c>
      <c r="AP228">
        <f>IF($A228="","",IF(Allocation!$N$2="VOL_EFF",$Q228,IF(Allocation!$N$2="VOL_CLASS",$R228,$S228)))</f>
        <v>2845382.6681989999</v>
      </c>
      <c r="AQ228">
        <f>IF($A228="","",IF(Allocation!$N$2="VOL_EFF",$T228,IF(Allocation!$N$2="VOL_CLASS",$U228,$V228)))</f>
        <v>24231703.809424989</v>
      </c>
      <c r="AR228">
        <f t="shared" si="75"/>
        <v>7653.9632237822198</v>
      </c>
      <c r="AS228" t="str">
        <f>IF($A228="","",$A228&amp;"|"&amp;Allocation!BG228)</f>
        <v>2027|V01</v>
      </c>
    </row>
    <row r="229" spans="1:45" x14ac:dyDescent="0.45">
      <c r="A229" t="str">
        <f>IF(Allocation!BI229="","",Allocation!BI229)</f>
        <v>2027</v>
      </c>
      <c r="B229" t="str">
        <f>IF(Allocation!BJ229="","",Allocation!BJ229)</f>
        <v>PIGIER_BOR</v>
      </c>
      <c r="C229" t="str">
        <f>IF(Allocation!BK229="","",Allocation!BK229)</f>
        <v>PIGIER</v>
      </c>
      <c r="D229" t="str">
        <f>IF(Allocation!BL229="","",Allocation!BL229)</f>
        <v>BAC_RH</v>
      </c>
      <c r="E229" t="str">
        <f>IF(Allocation!BM229="","",Allocation!BM229)</f>
        <v>B2</v>
      </c>
      <c r="F229" t="str">
        <f>IF(Allocation!BN229="","",Allocation!BN229)</f>
        <v>ALT</v>
      </c>
      <c r="G229">
        <f>IF(Allocation!BO229="","",Allocation!BO229)</f>
        <v>35.18</v>
      </c>
      <c r="H229">
        <f>IF(Allocation!BP229="","",Allocation!BP229)</f>
        <v>2</v>
      </c>
      <c r="I229">
        <f>IF(Allocation!BQ229="","",Allocation!BQ229)</f>
        <v>239495.65644200001</v>
      </c>
      <c r="J229">
        <f>IF(Allocation!CC229="","",Allocation!CC229)</f>
        <v>0</v>
      </c>
      <c r="K229">
        <f t="shared" si="57"/>
        <v>960</v>
      </c>
      <c r="L229">
        <f t="shared" si="58"/>
        <v>184.71663999999998</v>
      </c>
      <c r="M229">
        <f t="shared" si="59"/>
        <v>10</v>
      </c>
      <c r="N229">
        <f t="shared" si="60"/>
        <v>1191512.604488</v>
      </c>
      <c r="O229">
        <f t="shared" si="61"/>
        <v>5680</v>
      </c>
      <c r="P229">
        <f t="shared" si="62"/>
        <v>80.181640000000002</v>
      </c>
      <c r="Q229">
        <f t="shared" si="63"/>
        <v>421.66417199999995</v>
      </c>
      <c r="R229">
        <f t="shared" si="64"/>
        <v>20</v>
      </c>
      <c r="S229">
        <f t="shared" si="65"/>
        <v>2845382.6681989999</v>
      </c>
      <c r="T229">
        <f t="shared" si="66"/>
        <v>3253.6168479999983</v>
      </c>
      <c r="U229">
        <f t="shared" si="67"/>
        <v>135</v>
      </c>
      <c r="V229">
        <f t="shared" si="68"/>
        <v>24231703.809424989</v>
      </c>
      <c r="W229">
        <f>IF($A229="","",Allocation!CD229)</f>
        <v>99444.736470000003</v>
      </c>
      <c r="X229">
        <f>IF($A229="","",Allocation!CE229)</f>
        <v>194818.2691</v>
      </c>
      <c r="Y229">
        <f>IF($A229="","",Allocation!CF229)</f>
        <v>54403.580192000001</v>
      </c>
      <c r="Z229">
        <f>IF($A229="","",Allocation!CG229)</f>
        <v>23725.439999999999</v>
      </c>
      <c r="AA229">
        <f>IF($A229="","",Allocation!CH229)</f>
        <v>360701.11720899999</v>
      </c>
      <c r="AB229">
        <f>IF($A229="","",Allocation!CI229)</f>
        <v>2975861.5814200002</v>
      </c>
      <c r="AC229">
        <f>IF($A229="","",IF(Allocation!$N$4="VOL_EFF",$G229,IF(Allocation!$N$4="VOL_CLASS",$H229,$I229)))</f>
        <v>2</v>
      </c>
      <c r="AD229">
        <f>IF($A229="","",IF(Allocation!$N$4="VOL_EFF",$L229,IF(Allocation!$N$4="VOL_CLASS",$M229,$N229)))</f>
        <v>10</v>
      </c>
      <c r="AE229">
        <f>IF($A229="","",IF(Allocation!$N$3="VOL_EFF",$L229,IF(Allocation!$N$3="VOL_CLASS",$M229,$N229)))</f>
        <v>184.71663999999998</v>
      </c>
      <c r="AF229">
        <f>IF($A229="","",IF(Allocation!$N$3="VOL_EFF",$Q229,IF(Allocation!$N$3="VOL_CLASS",$R229,$S229)))</f>
        <v>421.66417199999995</v>
      </c>
      <c r="AG229">
        <f>IF($A229="","",IF(Allocation!$N$1="VOL_EFF",$Q229,IF(Allocation!$N$1="VOL_CLASS",$R229,$S229)))</f>
        <v>421.66417199999995</v>
      </c>
      <c r="AH229">
        <f>IF($A229="","",IF(Allocation!$N$1="VOL_EFF",$T229,IF(Allocation!$N$1="VOL_CLASS",$U229,$V229)))</f>
        <v>3253.6168479999983</v>
      </c>
      <c r="AI229">
        <f t="shared" si="69"/>
        <v>16807.561093521126</v>
      </c>
      <c r="AJ229">
        <f t="shared" si="70"/>
        <v>32927.031397183098</v>
      </c>
      <c r="AK229">
        <f t="shared" si="71"/>
        <v>10361.372701206346</v>
      </c>
      <c r="AL229">
        <f t="shared" si="72"/>
        <v>72140.223441800001</v>
      </c>
      <c r="AM229">
        <f t="shared" si="73"/>
        <v>33789.544258285023</v>
      </c>
      <c r="AN229">
        <f t="shared" si="74"/>
        <v>65815.960326222208</v>
      </c>
      <c r="AO229">
        <f>IF($A229="","",Allocation!CJ229)</f>
        <v>743978.4</v>
      </c>
      <c r="AP229">
        <f>IF($A229="","",IF(Allocation!$N$2="VOL_EFF",$Q229,IF(Allocation!$N$2="VOL_CLASS",$R229,$S229)))</f>
        <v>2845382.6681989999</v>
      </c>
      <c r="AQ229">
        <f>IF($A229="","",IF(Allocation!$N$2="VOL_EFF",$T229,IF(Allocation!$N$2="VOL_CLASS",$U229,$V229)))</f>
        <v>24231703.809424989</v>
      </c>
      <c r="AR229">
        <f t="shared" si="75"/>
        <v>7653.9632237822198</v>
      </c>
      <c r="AS229" t="str">
        <f>IF($A229="","",$A229&amp;"|"&amp;Allocation!BG229)</f>
        <v>2027|V01</v>
      </c>
    </row>
    <row r="230" spans="1:45" x14ac:dyDescent="0.45">
      <c r="A230" t="str">
        <f>IF(Allocation!BI230="","",Allocation!BI230)</f>
        <v>2027</v>
      </c>
      <c r="B230" t="str">
        <f>IF(Allocation!BJ230="","",Allocation!BJ230)</f>
        <v>PIGIER_BOR</v>
      </c>
      <c r="C230" t="str">
        <f>IF(Allocation!BK230="","",Allocation!BK230)</f>
        <v>PIGIER</v>
      </c>
      <c r="D230" t="str">
        <f>IF(Allocation!BL230="","",Allocation!BL230)</f>
        <v>BAC_RH</v>
      </c>
      <c r="E230" t="str">
        <f>IF(Allocation!BM230="","",Allocation!BM230)</f>
        <v>B3</v>
      </c>
      <c r="F230" t="str">
        <f>IF(Allocation!BN230="","",Allocation!BN230)</f>
        <v>ALT</v>
      </c>
      <c r="G230">
        <f>IF(Allocation!BO230="","",Allocation!BO230)</f>
        <v>34.174999999999997</v>
      </c>
      <c r="H230">
        <f>IF(Allocation!BP230="","",Allocation!BP230)</f>
        <v>2</v>
      </c>
      <c r="I230">
        <f>IF(Allocation!BQ230="","",Allocation!BQ230)</f>
        <v>232653.89593299999</v>
      </c>
      <c r="J230">
        <f>IF(Allocation!CC230="","",Allocation!CC230)</f>
        <v>0</v>
      </c>
      <c r="K230">
        <f t="shared" si="57"/>
        <v>960</v>
      </c>
      <c r="L230">
        <f t="shared" si="58"/>
        <v>184.71663999999998</v>
      </c>
      <c r="M230">
        <f t="shared" si="59"/>
        <v>10</v>
      </c>
      <c r="N230">
        <f t="shared" si="60"/>
        <v>1191512.604488</v>
      </c>
      <c r="O230">
        <f t="shared" si="61"/>
        <v>5680</v>
      </c>
      <c r="P230">
        <f t="shared" si="62"/>
        <v>80.181640000000002</v>
      </c>
      <c r="Q230">
        <f t="shared" si="63"/>
        <v>421.66417199999995</v>
      </c>
      <c r="R230">
        <f t="shared" si="64"/>
        <v>20</v>
      </c>
      <c r="S230">
        <f t="shared" si="65"/>
        <v>2845382.6681989999</v>
      </c>
      <c r="T230">
        <f t="shared" si="66"/>
        <v>3253.6168479999983</v>
      </c>
      <c r="U230">
        <f t="shared" si="67"/>
        <v>135</v>
      </c>
      <c r="V230">
        <f t="shared" si="68"/>
        <v>24231703.809424989</v>
      </c>
      <c r="W230">
        <f>IF($A230="","",Allocation!CD230)</f>
        <v>99444.736470000003</v>
      </c>
      <c r="X230">
        <f>IF($A230="","",Allocation!CE230)</f>
        <v>194818.2691</v>
      </c>
      <c r="Y230">
        <f>IF($A230="","",Allocation!CF230)</f>
        <v>54403.580192000001</v>
      </c>
      <c r="Z230">
        <f>IF($A230="","",Allocation!CG230)</f>
        <v>23725.439999999999</v>
      </c>
      <c r="AA230">
        <f>IF($A230="","",Allocation!CH230)</f>
        <v>360701.11720899999</v>
      </c>
      <c r="AB230">
        <f>IF($A230="","",Allocation!CI230)</f>
        <v>2975861.5814200002</v>
      </c>
      <c r="AC230">
        <f>IF($A230="","",IF(Allocation!$N$4="VOL_EFF",$G230,IF(Allocation!$N$4="VOL_CLASS",$H230,$I230)))</f>
        <v>2</v>
      </c>
      <c r="AD230">
        <f>IF($A230="","",IF(Allocation!$N$4="VOL_EFF",$L230,IF(Allocation!$N$4="VOL_CLASS",$M230,$N230)))</f>
        <v>10</v>
      </c>
      <c r="AE230">
        <f>IF($A230="","",IF(Allocation!$N$3="VOL_EFF",$L230,IF(Allocation!$N$3="VOL_CLASS",$M230,$N230)))</f>
        <v>184.71663999999998</v>
      </c>
      <c r="AF230">
        <f>IF($A230="","",IF(Allocation!$N$3="VOL_EFF",$Q230,IF(Allocation!$N$3="VOL_CLASS",$R230,$S230)))</f>
        <v>421.66417199999995</v>
      </c>
      <c r="AG230">
        <f>IF($A230="","",IF(Allocation!$N$1="VOL_EFF",$Q230,IF(Allocation!$N$1="VOL_CLASS",$R230,$S230)))</f>
        <v>421.66417199999995</v>
      </c>
      <c r="AH230">
        <f>IF($A230="","",IF(Allocation!$N$1="VOL_EFF",$T230,IF(Allocation!$N$1="VOL_CLASS",$U230,$V230)))</f>
        <v>3253.6168479999983</v>
      </c>
      <c r="AI230">
        <f t="shared" si="69"/>
        <v>16807.561093521126</v>
      </c>
      <c r="AJ230">
        <f t="shared" si="70"/>
        <v>32927.031397183098</v>
      </c>
      <c r="AK230">
        <f t="shared" si="71"/>
        <v>10065.375556103663</v>
      </c>
      <c r="AL230">
        <f t="shared" si="72"/>
        <v>72140.223441800001</v>
      </c>
      <c r="AM230">
        <f t="shared" si="73"/>
        <v>33789.544258285023</v>
      </c>
      <c r="AN230">
        <f t="shared" si="74"/>
        <v>59270.196962324844</v>
      </c>
      <c r="AO230">
        <f>IF($A230="","",Allocation!CJ230)</f>
        <v>743978.4</v>
      </c>
      <c r="AP230">
        <f>IF($A230="","",IF(Allocation!$N$2="VOL_EFF",$Q230,IF(Allocation!$N$2="VOL_CLASS",$R230,$S230)))</f>
        <v>2845382.6681989999</v>
      </c>
      <c r="AQ230">
        <f>IF($A230="","",IF(Allocation!$N$2="VOL_EFF",$T230,IF(Allocation!$N$2="VOL_CLASS",$U230,$V230)))</f>
        <v>24231703.809424989</v>
      </c>
      <c r="AR230">
        <f t="shared" si="75"/>
        <v>7653.9632237822198</v>
      </c>
      <c r="AS230" t="str">
        <f>IF($A230="","",$A230&amp;"|"&amp;Allocation!BG230)</f>
        <v>2027|V01</v>
      </c>
    </row>
    <row r="231" spans="1:45" x14ac:dyDescent="0.45">
      <c r="A231" t="str">
        <f>IF(Allocation!BI231="","",Allocation!BI231)</f>
        <v>2027</v>
      </c>
      <c r="B231" t="str">
        <f>IF(Allocation!BJ231="","",Allocation!BJ231)</f>
        <v>PIGIER_LYO</v>
      </c>
      <c r="C231" t="str">
        <f>IF(Allocation!BK231="","",Allocation!BK231)</f>
        <v>PIGIER</v>
      </c>
      <c r="D231" t="str">
        <f>IF(Allocation!BL231="","",Allocation!BL231)</f>
        <v>BAC_RH</v>
      </c>
      <c r="E231" t="str">
        <f>IF(Allocation!BM231="","",Allocation!BM231)</f>
        <v>B3</v>
      </c>
      <c r="F231" t="str">
        <f>IF(Allocation!BN231="","",Allocation!BN231)</f>
        <v>ALT</v>
      </c>
      <c r="G231">
        <f>IF(Allocation!BO231="","",Allocation!BO231)</f>
        <v>44.225000000000001</v>
      </c>
      <c r="H231">
        <f>IF(Allocation!BP231="","",Allocation!BP231)</f>
        <v>2</v>
      </c>
      <c r="I231">
        <f>IF(Allocation!BQ231="","",Allocation!BQ231)</f>
        <v>325902.140288</v>
      </c>
      <c r="J231">
        <f>IF(Allocation!CC231="","",Allocation!CC231)</f>
        <v>0</v>
      </c>
      <c r="K231">
        <f t="shared" si="57"/>
        <v>960</v>
      </c>
      <c r="L231">
        <f t="shared" si="58"/>
        <v>236.94753199999997</v>
      </c>
      <c r="M231">
        <f t="shared" si="59"/>
        <v>10</v>
      </c>
      <c r="N231">
        <f t="shared" si="60"/>
        <v>1653870.0637109999</v>
      </c>
      <c r="O231">
        <f t="shared" si="61"/>
        <v>5680</v>
      </c>
      <c r="P231">
        <f t="shared" si="62"/>
        <v>102.26253199999999</v>
      </c>
      <c r="Q231">
        <f t="shared" si="63"/>
        <v>421.66417199999995</v>
      </c>
      <c r="R231">
        <f t="shared" si="64"/>
        <v>20</v>
      </c>
      <c r="S231">
        <f t="shared" si="65"/>
        <v>2845382.6681989999</v>
      </c>
      <c r="T231">
        <f t="shared" si="66"/>
        <v>3253.6168479999983</v>
      </c>
      <c r="U231">
        <f t="shared" si="67"/>
        <v>135</v>
      </c>
      <c r="V231">
        <f t="shared" si="68"/>
        <v>24231703.809424989</v>
      </c>
      <c r="W231">
        <f>IF($A231="","",Allocation!CD231)</f>
        <v>99444.736470000003</v>
      </c>
      <c r="X231">
        <f>IF($A231="","",Allocation!CE231)</f>
        <v>257235.0742</v>
      </c>
      <c r="Y231">
        <f>IF($A231="","",Allocation!CF231)</f>
        <v>69728.590364999996</v>
      </c>
      <c r="Z231">
        <f>IF($A231="","",Allocation!CG231)</f>
        <v>39540.959999999999</v>
      </c>
      <c r="AA231">
        <f>IF($A231="","",Allocation!CH231)</f>
        <v>558386.85225500003</v>
      </c>
      <c r="AB231">
        <f>IF($A231="","",Allocation!CI231)</f>
        <v>2975861.5814200002</v>
      </c>
      <c r="AC231">
        <f>IF($A231="","",IF(Allocation!$N$4="VOL_EFF",$G231,IF(Allocation!$N$4="VOL_CLASS",$H231,$I231)))</f>
        <v>2</v>
      </c>
      <c r="AD231">
        <f>IF($A231="","",IF(Allocation!$N$4="VOL_EFF",$L231,IF(Allocation!$N$4="VOL_CLASS",$M231,$N231)))</f>
        <v>10</v>
      </c>
      <c r="AE231">
        <f>IF($A231="","",IF(Allocation!$N$3="VOL_EFF",$L231,IF(Allocation!$N$3="VOL_CLASS",$M231,$N231)))</f>
        <v>236.94753199999997</v>
      </c>
      <c r="AF231">
        <f>IF($A231="","",IF(Allocation!$N$3="VOL_EFF",$Q231,IF(Allocation!$N$3="VOL_CLASS",$R231,$S231)))</f>
        <v>421.66417199999995</v>
      </c>
      <c r="AG231">
        <f>IF($A231="","",IF(Allocation!$N$1="VOL_EFF",$Q231,IF(Allocation!$N$1="VOL_CLASS",$R231,$S231)))</f>
        <v>421.66417199999995</v>
      </c>
      <c r="AH231">
        <f>IF($A231="","",IF(Allocation!$N$1="VOL_EFF",$T231,IF(Allocation!$N$1="VOL_CLASS",$U231,$V231)))</f>
        <v>3253.6168479999983</v>
      </c>
      <c r="AI231">
        <f t="shared" si="69"/>
        <v>16807.561093521126</v>
      </c>
      <c r="AJ231">
        <f t="shared" si="70"/>
        <v>43476.350569014081</v>
      </c>
      <c r="AK231">
        <f t="shared" si="71"/>
        <v>13014.47152820366</v>
      </c>
      <c r="AL231">
        <f t="shared" si="72"/>
        <v>111677.37045100001</v>
      </c>
      <c r="AM231">
        <f t="shared" si="73"/>
        <v>43343.951684078958</v>
      </c>
      <c r="AN231">
        <f t="shared" si="74"/>
        <v>87764.219906440791</v>
      </c>
      <c r="AO231">
        <f>IF($A231="","",Allocation!CJ231)</f>
        <v>743978.4</v>
      </c>
      <c r="AP231">
        <f>IF($A231="","",IF(Allocation!$N$2="VOL_EFF",$Q231,IF(Allocation!$N$2="VOL_CLASS",$R231,$S231)))</f>
        <v>2845382.6681989999</v>
      </c>
      <c r="AQ231">
        <f>IF($A231="","",IF(Allocation!$N$2="VOL_EFF",$T231,IF(Allocation!$N$2="VOL_CLASS",$U231,$V231)))</f>
        <v>24231703.809424989</v>
      </c>
      <c r="AR231">
        <f t="shared" si="75"/>
        <v>9818.2150557413825</v>
      </c>
      <c r="AS231" t="str">
        <f>IF($A231="","",$A231&amp;"|"&amp;Allocation!BG231)</f>
        <v>2027|V01</v>
      </c>
    </row>
    <row r="232" spans="1:45" x14ac:dyDescent="0.45">
      <c r="A232" t="str">
        <f>IF(Allocation!BI232="","",Allocation!BI232)</f>
        <v>2027</v>
      </c>
      <c r="B232" t="str">
        <f>IF(Allocation!BJ232="","",Allocation!BJ232)</f>
        <v>PIGIER_LYO</v>
      </c>
      <c r="C232" t="str">
        <f>IF(Allocation!BK232="","",Allocation!BK232)</f>
        <v>PIGIER</v>
      </c>
      <c r="D232" t="str">
        <f>IF(Allocation!BL232="","",Allocation!BL232)</f>
        <v>BAC_RH</v>
      </c>
      <c r="E232" t="str">
        <f>IF(Allocation!BM232="","",Allocation!BM232)</f>
        <v>B2</v>
      </c>
      <c r="F232" t="str">
        <f>IF(Allocation!BN232="","",Allocation!BN232)</f>
        <v>ALT</v>
      </c>
      <c r="G232">
        <f>IF(Allocation!BO232="","",Allocation!BO232)</f>
        <v>45.23</v>
      </c>
      <c r="H232">
        <f>IF(Allocation!BP232="","",Allocation!BP232)</f>
        <v>2</v>
      </c>
      <c r="I232">
        <f>IF(Allocation!BQ232="","",Allocation!BQ232)</f>
        <v>333308.16970500001</v>
      </c>
      <c r="J232">
        <f>IF(Allocation!CC232="","",Allocation!CC232)</f>
        <v>0</v>
      </c>
      <c r="K232">
        <f t="shared" si="57"/>
        <v>960</v>
      </c>
      <c r="L232">
        <f t="shared" si="58"/>
        <v>236.94753199999997</v>
      </c>
      <c r="M232">
        <f t="shared" si="59"/>
        <v>10</v>
      </c>
      <c r="N232">
        <f t="shared" si="60"/>
        <v>1653870.0637109999</v>
      </c>
      <c r="O232">
        <f t="shared" si="61"/>
        <v>5680</v>
      </c>
      <c r="P232">
        <f t="shared" si="62"/>
        <v>102.26253199999999</v>
      </c>
      <c r="Q232">
        <f t="shared" si="63"/>
        <v>421.66417199999995</v>
      </c>
      <c r="R232">
        <f t="shared" si="64"/>
        <v>20</v>
      </c>
      <c r="S232">
        <f t="shared" si="65"/>
        <v>2845382.6681989999</v>
      </c>
      <c r="T232">
        <f t="shared" si="66"/>
        <v>3253.6168479999983</v>
      </c>
      <c r="U232">
        <f t="shared" si="67"/>
        <v>135</v>
      </c>
      <c r="V232">
        <f t="shared" si="68"/>
        <v>24231703.809424989</v>
      </c>
      <c r="W232">
        <f>IF($A232="","",Allocation!CD232)</f>
        <v>99444.736470000003</v>
      </c>
      <c r="X232">
        <f>IF($A232="","",Allocation!CE232)</f>
        <v>257235.0742</v>
      </c>
      <c r="Y232">
        <f>IF($A232="","",Allocation!CF232)</f>
        <v>69728.590364999996</v>
      </c>
      <c r="Z232">
        <f>IF($A232="","",Allocation!CG232)</f>
        <v>39540.959999999999</v>
      </c>
      <c r="AA232">
        <f>IF($A232="","",Allocation!CH232)</f>
        <v>558386.85225500003</v>
      </c>
      <c r="AB232">
        <f>IF($A232="","",Allocation!CI232)</f>
        <v>2975861.5814200002</v>
      </c>
      <c r="AC232">
        <f>IF($A232="","",IF(Allocation!$N$4="VOL_EFF",$G232,IF(Allocation!$N$4="VOL_CLASS",$H232,$I232)))</f>
        <v>2</v>
      </c>
      <c r="AD232">
        <f>IF($A232="","",IF(Allocation!$N$4="VOL_EFF",$L232,IF(Allocation!$N$4="VOL_CLASS",$M232,$N232)))</f>
        <v>10</v>
      </c>
      <c r="AE232">
        <f>IF($A232="","",IF(Allocation!$N$3="VOL_EFF",$L232,IF(Allocation!$N$3="VOL_CLASS",$M232,$N232)))</f>
        <v>236.94753199999997</v>
      </c>
      <c r="AF232">
        <f>IF($A232="","",IF(Allocation!$N$3="VOL_EFF",$Q232,IF(Allocation!$N$3="VOL_CLASS",$R232,$S232)))</f>
        <v>421.66417199999995</v>
      </c>
      <c r="AG232">
        <f>IF($A232="","",IF(Allocation!$N$1="VOL_EFF",$Q232,IF(Allocation!$N$1="VOL_CLASS",$R232,$S232)))</f>
        <v>421.66417199999995</v>
      </c>
      <c r="AH232">
        <f>IF($A232="","",IF(Allocation!$N$1="VOL_EFF",$T232,IF(Allocation!$N$1="VOL_CLASS",$U232,$V232)))</f>
        <v>3253.6168479999983</v>
      </c>
      <c r="AI232">
        <f t="shared" si="69"/>
        <v>16807.561093521126</v>
      </c>
      <c r="AJ232">
        <f t="shared" si="70"/>
        <v>43476.350569014081</v>
      </c>
      <c r="AK232">
        <f t="shared" si="71"/>
        <v>13310.221531275329</v>
      </c>
      <c r="AL232">
        <f t="shared" si="72"/>
        <v>111677.37045100001</v>
      </c>
      <c r="AM232">
        <f t="shared" si="73"/>
        <v>43343.951684078958</v>
      </c>
      <c r="AN232">
        <f t="shared" si="74"/>
        <v>94874.499320369156</v>
      </c>
      <c r="AO232">
        <f>IF($A232="","",Allocation!CJ232)</f>
        <v>743978.4</v>
      </c>
      <c r="AP232">
        <f>IF($A232="","",IF(Allocation!$N$2="VOL_EFF",$Q232,IF(Allocation!$N$2="VOL_CLASS",$R232,$S232)))</f>
        <v>2845382.6681989999</v>
      </c>
      <c r="AQ232">
        <f>IF($A232="","",IF(Allocation!$N$2="VOL_EFF",$T232,IF(Allocation!$N$2="VOL_CLASS",$U232,$V232)))</f>
        <v>24231703.809424989</v>
      </c>
      <c r="AR232">
        <f t="shared" si="75"/>
        <v>9818.2150557413825</v>
      </c>
      <c r="AS232" t="str">
        <f>IF($A232="","",$A232&amp;"|"&amp;Allocation!BG232)</f>
        <v>2027|V01</v>
      </c>
    </row>
    <row r="233" spans="1:45" x14ac:dyDescent="0.45">
      <c r="A233" t="str">
        <f>IF(Allocation!BI233="","",Allocation!BI233)</f>
        <v>2027</v>
      </c>
      <c r="B233" t="str">
        <f>IF(Allocation!BJ233="","",Allocation!BJ233)</f>
        <v>PIGIER_LYO</v>
      </c>
      <c r="C233" t="str">
        <f>IF(Allocation!BK233="","",Allocation!BK233)</f>
        <v>PIGIER</v>
      </c>
      <c r="D233" t="str">
        <f>IF(Allocation!BL233="","",Allocation!BL233)</f>
        <v>BTS_GES</v>
      </c>
      <c r="E233" t="str">
        <f>IF(Allocation!BM233="","",Allocation!BM233)</f>
        <v>BTS1</v>
      </c>
      <c r="F233" t="str">
        <f>IF(Allocation!BN233="","",Allocation!BN233)</f>
        <v>ALT</v>
      </c>
      <c r="G233">
        <f>IF(Allocation!BO233="","",Allocation!BO233)</f>
        <v>51.131265999999997</v>
      </c>
      <c r="H233">
        <f>IF(Allocation!BP233="","",Allocation!BP233)</f>
        <v>2</v>
      </c>
      <c r="I233">
        <f>IF(Allocation!BQ233="","",Allocation!BQ233)</f>
        <v>327569.54114699998</v>
      </c>
      <c r="J233">
        <f>IF(Allocation!CC233="","",Allocation!CC233)</f>
        <v>51.131265999999997</v>
      </c>
      <c r="K233">
        <f t="shared" si="57"/>
        <v>1400</v>
      </c>
      <c r="L233">
        <f t="shared" si="58"/>
        <v>236.94753199999997</v>
      </c>
      <c r="M233">
        <f t="shared" si="59"/>
        <v>10</v>
      </c>
      <c r="N233">
        <f t="shared" si="60"/>
        <v>1653870.0637109999</v>
      </c>
      <c r="O233">
        <f t="shared" si="61"/>
        <v>5680</v>
      </c>
      <c r="P233">
        <f t="shared" si="62"/>
        <v>102.26253199999999</v>
      </c>
      <c r="Q233">
        <f t="shared" si="63"/>
        <v>421.66417199999995</v>
      </c>
      <c r="R233">
        <f t="shared" si="64"/>
        <v>20</v>
      </c>
      <c r="S233">
        <f t="shared" si="65"/>
        <v>2845382.6681989999</v>
      </c>
      <c r="T233">
        <f t="shared" si="66"/>
        <v>3253.6168479999983</v>
      </c>
      <c r="U233">
        <f t="shared" si="67"/>
        <v>135</v>
      </c>
      <c r="V233">
        <f t="shared" si="68"/>
        <v>24231703.809424989</v>
      </c>
      <c r="W233">
        <f>IF($A233="","",Allocation!CD233)</f>
        <v>99444.736470000003</v>
      </c>
      <c r="X233">
        <f>IF($A233="","",Allocation!CE233)</f>
        <v>257235.0742</v>
      </c>
      <c r="Y233">
        <f>IF($A233="","",Allocation!CF233)</f>
        <v>69728.590364999996</v>
      </c>
      <c r="Z233">
        <f>IF($A233="","",Allocation!CG233)</f>
        <v>39540.959999999999</v>
      </c>
      <c r="AA233">
        <f>IF($A233="","",Allocation!CH233)</f>
        <v>558386.85225500003</v>
      </c>
      <c r="AB233">
        <f>IF($A233="","",Allocation!CI233)</f>
        <v>2975861.5814200002</v>
      </c>
      <c r="AC233">
        <f>IF($A233="","",IF(Allocation!$N$4="VOL_EFF",$G233,IF(Allocation!$N$4="VOL_CLASS",$H233,$I233)))</f>
        <v>2</v>
      </c>
      <c r="AD233">
        <f>IF($A233="","",IF(Allocation!$N$4="VOL_EFF",$L233,IF(Allocation!$N$4="VOL_CLASS",$M233,$N233)))</f>
        <v>10</v>
      </c>
      <c r="AE233">
        <f>IF($A233="","",IF(Allocation!$N$3="VOL_EFF",$L233,IF(Allocation!$N$3="VOL_CLASS",$M233,$N233)))</f>
        <v>236.94753199999997</v>
      </c>
      <c r="AF233">
        <f>IF($A233="","",IF(Allocation!$N$3="VOL_EFF",$Q233,IF(Allocation!$N$3="VOL_CLASS",$R233,$S233)))</f>
        <v>421.66417199999995</v>
      </c>
      <c r="AG233">
        <f>IF($A233="","",IF(Allocation!$N$1="VOL_EFF",$Q233,IF(Allocation!$N$1="VOL_CLASS",$R233,$S233)))</f>
        <v>421.66417199999995</v>
      </c>
      <c r="AH233">
        <f>IF($A233="","",IF(Allocation!$N$1="VOL_EFF",$T233,IF(Allocation!$N$1="VOL_CLASS",$U233,$V233)))</f>
        <v>3253.6168479999983</v>
      </c>
      <c r="AI233">
        <f t="shared" si="69"/>
        <v>24511.026594718311</v>
      </c>
      <c r="AJ233">
        <f t="shared" si="70"/>
        <v>63403.011246478876</v>
      </c>
      <c r="AK233">
        <f t="shared" si="71"/>
        <v>34817.317887122845</v>
      </c>
      <c r="AL233">
        <f t="shared" si="72"/>
        <v>111677.37045100001</v>
      </c>
      <c r="AM233">
        <f t="shared" si="73"/>
        <v>43343.951684078958</v>
      </c>
      <c r="AN233">
        <f t="shared" si="74"/>
        <v>39998.648227859579</v>
      </c>
      <c r="AO233">
        <f>IF($A233="","",Allocation!CJ233)</f>
        <v>743978.4</v>
      </c>
      <c r="AP233">
        <f>IF($A233="","",IF(Allocation!$N$2="VOL_EFF",$Q233,IF(Allocation!$N$2="VOL_CLASS",$R233,$S233)))</f>
        <v>2845382.6681989999</v>
      </c>
      <c r="AQ233">
        <f>IF($A233="","",IF(Allocation!$N$2="VOL_EFF",$T233,IF(Allocation!$N$2="VOL_CLASS",$U233,$V233)))</f>
        <v>24231703.809424989</v>
      </c>
      <c r="AR233">
        <f t="shared" si="75"/>
        <v>9818.2150557413825</v>
      </c>
      <c r="AS233" t="str">
        <f>IF($A233="","",$A233&amp;"|"&amp;Allocation!BG233)</f>
        <v>2027|V01</v>
      </c>
    </row>
    <row r="234" spans="1:45" x14ac:dyDescent="0.45">
      <c r="A234" t="str">
        <f>IF(Allocation!BI234="","",Allocation!BI234)</f>
        <v>2027</v>
      </c>
      <c r="B234" t="str">
        <f>IF(Allocation!BJ234="","",Allocation!BJ234)</f>
        <v>PIGIER_LYO</v>
      </c>
      <c r="C234" t="str">
        <f>IF(Allocation!BK234="","",Allocation!BK234)</f>
        <v>PIGIER</v>
      </c>
      <c r="D234" t="str">
        <f>IF(Allocation!BL234="","",Allocation!BL234)</f>
        <v>BTS_GES</v>
      </c>
      <c r="E234" t="str">
        <f>IF(Allocation!BM234="","",Allocation!BM234)</f>
        <v>BTS2</v>
      </c>
      <c r="F234" t="str">
        <f>IF(Allocation!BN234="","",Allocation!BN234)</f>
        <v>ALT</v>
      </c>
      <c r="G234">
        <f>IF(Allocation!BO234="","",Allocation!BO234)</f>
        <v>45.23</v>
      </c>
      <c r="H234">
        <f>IF(Allocation!BP234="","",Allocation!BP234)</f>
        <v>2</v>
      </c>
      <c r="I234">
        <f>IF(Allocation!BQ234="","",Allocation!BQ234)</f>
        <v>285692.71688999998</v>
      </c>
      <c r="J234">
        <f>IF(Allocation!CC234="","",Allocation!CC234)</f>
        <v>0</v>
      </c>
      <c r="K234">
        <f t="shared" si="57"/>
        <v>1400</v>
      </c>
      <c r="L234">
        <f t="shared" si="58"/>
        <v>236.94753199999997</v>
      </c>
      <c r="M234">
        <f t="shared" si="59"/>
        <v>10</v>
      </c>
      <c r="N234">
        <f t="shared" si="60"/>
        <v>1653870.0637109999</v>
      </c>
      <c r="O234">
        <f t="shared" si="61"/>
        <v>5680</v>
      </c>
      <c r="P234">
        <f t="shared" si="62"/>
        <v>102.26253199999999</v>
      </c>
      <c r="Q234">
        <f t="shared" si="63"/>
        <v>421.66417199999995</v>
      </c>
      <c r="R234">
        <f t="shared" si="64"/>
        <v>20</v>
      </c>
      <c r="S234">
        <f t="shared" si="65"/>
        <v>2845382.6681989999</v>
      </c>
      <c r="T234">
        <f t="shared" si="66"/>
        <v>3253.6168479999983</v>
      </c>
      <c r="U234">
        <f t="shared" si="67"/>
        <v>135</v>
      </c>
      <c r="V234">
        <f t="shared" si="68"/>
        <v>24231703.809424989</v>
      </c>
      <c r="W234">
        <f>IF($A234="","",Allocation!CD234)</f>
        <v>99444.736470000003</v>
      </c>
      <c r="X234">
        <f>IF($A234="","",Allocation!CE234)</f>
        <v>257235.0742</v>
      </c>
      <c r="Y234">
        <f>IF($A234="","",Allocation!CF234)</f>
        <v>69728.590364999996</v>
      </c>
      <c r="Z234">
        <f>IF($A234="","",Allocation!CG234)</f>
        <v>39540.959999999999</v>
      </c>
      <c r="AA234">
        <f>IF($A234="","",Allocation!CH234)</f>
        <v>558386.85225500003</v>
      </c>
      <c r="AB234">
        <f>IF($A234="","",Allocation!CI234)</f>
        <v>2975861.5814200002</v>
      </c>
      <c r="AC234">
        <f>IF($A234="","",IF(Allocation!$N$4="VOL_EFF",$G234,IF(Allocation!$N$4="VOL_CLASS",$H234,$I234)))</f>
        <v>2</v>
      </c>
      <c r="AD234">
        <f>IF($A234="","",IF(Allocation!$N$4="VOL_EFF",$L234,IF(Allocation!$N$4="VOL_CLASS",$M234,$N234)))</f>
        <v>10</v>
      </c>
      <c r="AE234">
        <f>IF($A234="","",IF(Allocation!$N$3="VOL_EFF",$L234,IF(Allocation!$N$3="VOL_CLASS",$M234,$N234)))</f>
        <v>236.94753199999997</v>
      </c>
      <c r="AF234">
        <f>IF($A234="","",IF(Allocation!$N$3="VOL_EFF",$Q234,IF(Allocation!$N$3="VOL_CLASS",$R234,$S234)))</f>
        <v>421.66417199999995</v>
      </c>
      <c r="AG234">
        <f>IF($A234="","",IF(Allocation!$N$1="VOL_EFF",$Q234,IF(Allocation!$N$1="VOL_CLASS",$R234,$S234)))</f>
        <v>421.66417199999995</v>
      </c>
      <c r="AH234">
        <f>IF($A234="","",IF(Allocation!$N$1="VOL_EFF",$T234,IF(Allocation!$N$1="VOL_CLASS",$U234,$V234)))</f>
        <v>3253.6168479999983</v>
      </c>
      <c r="AI234">
        <f t="shared" si="69"/>
        <v>24511.026594718311</v>
      </c>
      <c r="AJ234">
        <f t="shared" si="70"/>
        <v>63403.011246478876</v>
      </c>
      <c r="AK234">
        <f t="shared" si="71"/>
        <v>13310.221531275329</v>
      </c>
      <c r="AL234">
        <f t="shared" si="72"/>
        <v>111677.37045100001</v>
      </c>
      <c r="AM234">
        <f t="shared" si="73"/>
        <v>43343.951684078958</v>
      </c>
      <c r="AN234">
        <f t="shared" si="74"/>
        <v>19628.920326707128</v>
      </c>
      <c r="AO234">
        <f>IF($A234="","",Allocation!CJ234)</f>
        <v>743978.4</v>
      </c>
      <c r="AP234">
        <f>IF($A234="","",IF(Allocation!$N$2="VOL_EFF",$Q234,IF(Allocation!$N$2="VOL_CLASS",$R234,$S234)))</f>
        <v>2845382.6681989999</v>
      </c>
      <c r="AQ234">
        <f>IF($A234="","",IF(Allocation!$N$2="VOL_EFF",$T234,IF(Allocation!$N$2="VOL_CLASS",$U234,$V234)))</f>
        <v>24231703.809424989</v>
      </c>
      <c r="AR234">
        <f t="shared" si="75"/>
        <v>9818.2150557413825</v>
      </c>
      <c r="AS234" t="str">
        <f>IF($A234="","",$A234&amp;"|"&amp;Allocation!BG234)</f>
        <v>2027|V01</v>
      </c>
    </row>
    <row r="235" spans="1:45" x14ac:dyDescent="0.45">
      <c r="A235" t="str">
        <f>IF(Allocation!BI235="","",Allocation!BI235)</f>
        <v>2027</v>
      </c>
      <c r="B235" t="str">
        <f>IF(Allocation!BJ235="","",Allocation!BJ235)</f>
        <v>PIGIER_LYO</v>
      </c>
      <c r="C235" t="str">
        <f>IF(Allocation!BK235="","",Allocation!BK235)</f>
        <v>PIGIER</v>
      </c>
      <c r="D235" t="str">
        <f>IF(Allocation!BL235="","",Allocation!BL235)</f>
        <v>BAC_RH</v>
      </c>
      <c r="E235" t="str">
        <f>IF(Allocation!BM235="","",Allocation!BM235)</f>
        <v>B1</v>
      </c>
      <c r="F235" t="str">
        <f>IF(Allocation!BN235="","",Allocation!BN235)</f>
        <v>ALT</v>
      </c>
      <c r="G235">
        <f>IF(Allocation!BO235="","",Allocation!BO235)</f>
        <v>51.131265999999997</v>
      </c>
      <c r="H235">
        <f>IF(Allocation!BP235="","",Allocation!BP235)</f>
        <v>2</v>
      </c>
      <c r="I235">
        <f>IF(Allocation!BQ235="","",Allocation!BQ235)</f>
        <v>381397.495681</v>
      </c>
      <c r="J235">
        <f>IF(Allocation!CC235="","",Allocation!CC235)</f>
        <v>51.131265999999997</v>
      </c>
      <c r="K235">
        <f t="shared" si="57"/>
        <v>960</v>
      </c>
      <c r="L235">
        <f t="shared" si="58"/>
        <v>236.94753199999997</v>
      </c>
      <c r="M235">
        <f t="shared" si="59"/>
        <v>10</v>
      </c>
      <c r="N235">
        <f t="shared" si="60"/>
        <v>1653870.0637109999</v>
      </c>
      <c r="O235">
        <f t="shared" si="61"/>
        <v>5680</v>
      </c>
      <c r="P235">
        <f t="shared" si="62"/>
        <v>102.26253199999999</v>
      </c>
      <c r="Q235">
        <f t="shared" si="63"/>
        <v>421.66417199999995</v>
      </c>
      <c r="R235">
        <f t="shared" si="64"/>
        <v>20</v>
      </c>
      <c r="S235">
        <f t="shared" si="65"/>
        <v>2845382.6681989999</v>
      </c>
      <c r="T235">
        <f t="shared" si="66"/>
        <v>3253.6168479999983</v>
      </c>
      <c r="U235">
        <f t="shared" si="67"/>
        <v>135</v>
      </c>
      <c r="V235">
        <f t="shared" si="68"/>
        <v>24231703.809424989</v>
      </c>
      <c r="W235">
        <f>IF($A235="","",Allocation!CD235)</f>
        <v>99444.736470000003</v>
      </c>
      <c r="X235">
        <f>IF($A235="","",Allocation!CE235)</f>
        <v>257235.0742</v>
      </c>
      <c r="Y235">
        <f>IF($A235="","",Allocation!CF235)</f>
        <v>69728.590364999996</v>
      </c>
      <c r="Z235">
        <f>IF($A235="","",Allocation!CG235)</f>
        <v>39540.959999999999</v>
      </c>
      <c r="AA235">
        <f>IF($A235="","",Allocation!CH235)</f>
        <v>558386.85225500003</v>
      </c>
      <c r="AB235">
        <f>IF($A235="","",Allocation!CI235)</f>
        <v>2975861.5814200002</v>
      </c>
      <c r="AC235">
        <f>IF($A235="","",IF(Allocation!$N$4="VOL_EFF",$G235,IF(Allocation!$N$4="VOL_CLASS",$H235,$I235)))</f>
        <v>2</v>
      </c>
      <c r="AD235">
        <f>IF($A235="","",IF(Allocation!$N$4="VOL_EFF",$L235,IF(Allocation!$N$4="VOL_CLASS",$M235,$N235)))</f>
        <v>10</v>
      </c>
      <c r="AE235">
        <f>IF($A235="","",IF(Allocation!$N$3="VOL_EFF",$L235,IF(Allocation!$N$3="VOL_CLASS",$M235,$N235)))</f>
        <v>236.94753199999997</v>
      </c>
      <c r="AF235">
        <f>IF($A235="","",IF(Allocation!$N$3="VOL_EFF",$Q235,IF(Allocation!$N$3="VOL_CLASS",$R235,$S235)))</f>
        <v>421.66417199999995</v>
      </c>
      <c r="AG235">
        <f>IF($A235="","",IF(Allocation!$N$1="VOL_EFF",$Q235,IF(Allocation!$N$1="VOL_CLASS",$R235,$S235)))</f>
        <v>421.66417199999995</v>
      </c>
      <c r="AH235">
        <f>IF($A235="","",IF(Allocation!$N$1="VOL_EFF",$T235,IF(Allocation!$N$1="VOL_CLASS",$U235,$V235)))</f>
        <v>3253.6168479999983</v>
      </c>
      <c r="AI235">
        <f t="shared" si="69"/>
        <v>16807.561093521126</v>
      </c>
      <c r="AJ235">
        <f t="shared" si="70"/>
        <v>43476.350569014081</v>
      </c>
      <c r="AK235">
        <f t="shared" si="71"/>
        <v>34817.317887122845</v>
      </c>
      <c r="AL235">
        <f t="shared" si="72"/>
        <v>111677.37045100001</v>
      </c>
      <c r="AM235">
        <f t="shared" si="73"/>
        <v>43343.951684078958</v>
      </c>
      <c r="AN235">
        <f t="shared" si="74"/>
        <v>121456.7289405216</v>
      </c>
      <c r="AO235">
        <f>IF($A235="","",Allocation!CJ235)</f>
        <v>743978.4</v>
      </c>
      <c r="AP235">
        <f>IF($A235="","",IF(Allocation!$N$2="VOL_EFF",$Q235,IF(Allocation!$N$2="VOL_CLASS",$R235,$S235)))</f>
        <v>2845382.6681989999</v>
      </c>
      <c r="AQ235">
        <f>IF($A235="","",IF(Allocation!$N$2="VOL_EFF",$T235,IF(Allocation!$N$2="VOL_CLASS",$U235,$V235)))</f>
        <v>24231703.809424989</v>
      </c>
      <c r="AR235">
        <f t="shared" si="75"/>
        <v>9818.2150557413825</v>
      </c>
      <c r="AS235" t="str">
        <f>IF($A235="","",$A235&amp;"|"&amp;Allocation!BG235)</f>
        <v>2027|V01</v>
      </c>
    </row>
    <row r="236" spans="1:45" x14ac:dyDescent="0.45">
      <c r="A236" t="str">
        <f>IF(Allocation!BI236="","",Allocation!BI236)</f>
        <v>2027</v>
      </c>
      <c r="B236" t="str">
        <f>IF(Allocation!BJ236="","",Allocation!BJ236)</f>
        <v>TUNON_LYO</v>
      </c>
      <c r="C236" t="str">
        <f>IF(Allocation!BK236="","",Allocation!BK236)</f>
        <v>TUNON</v>
      </c>
      <c r="D236" t="str">
        <f>IF(Allocation!BL236="","",Allocation!BL236)</f>
        <v>BAC_TOU</v>
      </c>
      <c r="E236" t="str">
        <f>IF(Allocation!BM236="","",Allocation!BM236)</f>
        <v>B1</v>
      </c>
      <c r="F236" t="str">
        <f>IF(Allocation!BN236="","",Allocation!BN236)</f>
        <v>ALT</v>
      </c>
      <c r="G236">
        <f>IF(Allocation!BO236="","",Allocation!BO236)</f>
        <v>44.464880999999998</v>
      </c>
      <c r="H236">
        <f>IF(Allocation!BP236="","",Allocation!BP236)</f>
        <v>2</v>
      </c>
      <c r="I236">
        <f>IF(Allocation!BQ236="","",Allocation!BQ236)</f>
        <v>331813.87202499999</v>
      </c>
      <c r="J236">
        <f>IF(Allocation!CC236="","",Allocation!CC236)</f>
        <v>44.464880999999998</v>
      </c>
      <c r="K236">
        <f t="shared" si="57"/>
        <v>960</v>
      </c>
      <c r="L236">
        <f t="shared" si="58"/>
        <v>121.859881</v>
      </c>
      <c r="M236">
        <f t="shared" si="59"/>
        <v>6</v>
      </c>
      <c r="N236">
        <f t="shared" si="60"/>
        <v>902399.28017099993</v>
      </c>
      <c r="O236">
        <f t="shared" si="61"/>
        <v>2880</v>
      </c>
      <c r="P236">
        <f t="shared" si="62"/>
        <v>44.464880999999998</v>
      </c>
      <c r="Q236">
        <f t="shared" si="63"/>
        <v>265.420186</v>
      </c>
      <c r="R236">
        <f t="shared" si="64"/>
        <v>12</v>
      </c>
      <c r="S236">
        <f t="shared" si="65"/>
        <v>2036027.8352699997</v>
      </c>
      <c r="T236">
        <f t="shared" si="66"/>
        <v>3253.6168479999983</v>
      </c>
      <c r="U236">
        <f t="shared" si="67"/>
        <v>135</v>
      </c>
      <c r="V236">
        <f t="shared" si="68"/>
        <v>24231703.809424989</v>
      </c>
      <c r="W236">
        <f>IF($A236="","",Allocation!CD236)</f>
        <v>74584.324575000006</v>
      </c>
      <c r="X236">
        <f>IF($A236="","",Allocation!CE236)</f>
        <v>198220.26952</v>
      </c>
      <c r="Y236">
        <f>IF($A236="","",Allocation!CF236)</f>
        <v>44824.934018</v>
      </c>
      <c r="Z236">
        <f>IF($A236="","",Allocation!CG236)</f>
        <v>20358</v>
      </c>
      <c r="AA236">
        <f>IF($A236="","",Allocation!CH236)</f>
        <v>389149.62724300002</v>
      </c>
      <c r="AB236">
        <f>IF($A236="","",Allocation!CI236)</f>
        <v>2975861.5814200002</v>
      </c>
      <c r="AC236">
        <f>IF($A236="","",IF(Allocation!$N$4="VOL_EFF",$G236,IF(Allocation!$N$4="VOL_CLASS",$H236,$I236)))</f>
        <v>2</v>
      </c>
      <c r="AD236">
        <f>IF($A236="","",IF(Allocation!$N$4="VOL_EFF",$L236,IF(Allocation!$N$4="VOL_CLASS",$M236,$N236)))</f>
        <v>6</v>
      </c>
      <c r="AE236">
        <f>IF($A236="","",IF(Allocation!$N$3="VOL_EFF",$L236,IF(Allocation!$N$3="VOL_CLASS",$M236,$N236)))</f>
        <v>121.859881</v>
      </c>
      <c r="AF236">
        <f>IF($A236="","",IF(Allocation!$N$3="VOL_EFF",$Q236,IF(Allocation!$N$3="VOL_CLASS",$R236,$S236)))</f>
        <v>265.420186</v>
      </c>
      <c r="AG236">
        <f>IF($A236="","",IF(Allocation!$N$1="VOL_EFF",$Q236,IF(Allocation!$N$1="VOL_CLASS",$R236,$S236)))</f>
        <v>265.420186</v>
      </c>
      <c r="AH236">
        <f>IF($A236="","",IF(Allocation!$N$1="VOL_EFF",$T236,IF(Allocation!$N$1="VOL_CLASS",$U236,$V236)))</f>
        <v>3253.6168479999983</v>
      </c>
      <c r="AI236">
        <f t="shared" si="69"/>
        <v>24861.441525000002</v>
      </c>
      <c r="AJ236">
        <f t="shared" si="70"/>
        <v>66073.423173333329</v>
      </c>
      <c r="AK236">
        <f t="shared" si="71"/>
        <v>36713.960145268989</v>
      </c>
      <c r="AL236">
        <f t="shared" si="72"/>
        <v>129716.54241433334</v>
      </c>
      <c r="AM236">
        <f t="shared" si="73"/>
        <v>37152.309273624429</v>
      </c>
      <c r="AN236">
        <f t="shared" si="74"/>
        <v>27729.41890991223</v>
      </c>
      <c r="AO236">
        <f>IF($A236="","",Allocation!CJ236)</f>
        <v>743978.4</v>
      </c>
      <c r="AP236">
        <f>IF($A236="","",IF(Allocation!$N$2="VOL_EFF",$Q236,IF(Allocation!$N$2="VOL_CLASS",$R236,$S236)))</f>
        <v>2036027.8352699997</v>
      </c>
      <c r="AQ236">
        <f>IF($A236="","",IF(Allocation!$N$2="VOL_EFF",$T236,IF(Allocation!$N$2="VOL_CLASS",$U236,$V236)))</f>
        <v>24231703.809424989</v>
      </c>
      <c r="AR236">
        <f t="shared" si="75"/>
        <v>9566.7765835276678</v>
      </c>
      <c r="AS236" t="str">
        <f>IF($A236="","",$A236&amp;"|"&amp;Allocation!BG236)</f>
        <v>2027|V01</v>
      </c>
    </row>
    <row r="237" spans="1:45" x14ac:dyDescent="0.45">
      <c r="A237" t="str">
        <f>IF(Allocation!BI237="","",Allocation!BI237)</f>
        <v>2027</v>
      </c>
      <c r="B237" t="str">
        <f>IF(Allocation!BJ237="","",Allocation!BJ237)</f>
        <v>TUNON_LYO</v>
      </c>
      <c r="C237" t="str">
        <f>IF(Allocation!BK237="","",Allocation!BK237)</f>
        <v>TUNON</v>
      </c>
      <c r="D237" t="str">
        <f>IF(Allocation!BL237="","",Allocation!BL237)</f>
        <v>BAC_TOU</v>
      </c>
      <c r="E237" t="str">
        <f>IF(Allocation!BM237="","",Allocation!BM237)</f>
        <v>B2</v>
      </c>
      <c r="F237" t="str">
        <f>IF(Allocation!BN237="","",Allocation!BN237)</f>
        <v>ALT</v>
      </c>
      <c r="G237">
        <f>IF(Allocation!BO237="","",Allocation!BO237)</f>
        <v>39.200000000000003</v>
      </c>
      <c r="H237">
        <f>IF(Allocation!BP237="","",Allocation!BP237)</f>
        <v>2</v>
      </c>
      <c r="I237">
        <f>IF(Allocation!BQ237="","",Allocation!BQ237)</f>
        <v>288997.32539999997</v>
      </c>
      <c r="J237">
        <f>IF(Allocation!CC237="","",Allocation!CC237)</f>
        <v>0</v>
      </c>
      <c r="K237">
        <f t="shared" si="57"/>
        <v>960</v>
      </c>
      <c r="L237">
        <f t="shared" si="58"/>
        <v>121.859881</v>
      </c>
      <c r="M237">
        <f t="shared" si="59"/>
        <v>6</v>
      </c>
      <c r="N237">
        <f t="shared" si="60"/>
        <v>902399.28017099993</v>
      </c>
      <c r="O237">
        <f t="shared" si="61"/>
        <v>2880</v>
      </c>
      <c r="P237">
        <f t="shared" si="62"/>
        <v>44.464880999999998</v>
      </c>
      <c r="Q237">
        <f t="shared" si="63"/>
        <v>265.420186</v>
      </c>
      <c r="R237">
        <f t="shared" si="64"/>
        <v>12</v>
      </c>
      <c r="S237">
        <f t="shared" si="65"/>
        <v>2036027.8352699997</v>
      </c>
      <c r="T237">
        <f t="shared" si="66"/>
        <v>3253.6168479999983</v>
      </c>
      <c r="U237">
        <f t="shared" si="67"/>
        <v>135</v>
      </c>
      <c r="V237">
        <f t="shared" si="68"/>
        <v>24231703.809424989</v>
      </c>
      <c r="W237">
        <f>IF($A237="","",Allocation!CD237)</f>
        <v>74584.324575000006</v>
      </c>
      <c r="X237">
        <f>IF($A237="","",Allocation!CE237)</f>
        <v>198220.26952</v>
      </c>
      <c r="Y237">
        <f>IF($A237="","",Allocation!CF237)</f>
        <v>44824.934018</v>
      </c>
      <c r="Z237">
        <f>IF($A237="","",Allocation!CG237)</f>
        <v>20358</v>
      </c>
      <c r="AA237">
        <f>IF($A237="","",Allocation!CH237)</f>
        <v>389149.62724300002</v>
      </c>
      <c r="AB237">
        <f>IF($A237="","",Allocation!CI237)</f>
        <v>2975861.5814200002</v>
      </c>
      <c r="AC237">
        <f>IF($A237="","",IF(Allocation!$N$4="VOL_EFF",$G237,IF(Allocation!$N$4="VOL_CLASS",$H237,$I237)))</f>
        <v>2</v>
      </c>
      <c r="AD237">
        <f>IF($A237="","",IF(Allocation!$N$4="VOL_EFF",$L237,IF(Allocation!$N$4="VOL_CLASS",$M237,$N237)))</f>
        <v>6</v>
      </c>
      <c r="AE237">
        <f>IF($A237="","",IF(Allocation!$N$3="VOL_EFF",$L237,IF(Allocation!$N$3="VOL_CLASS",$M237,$N237)))</f>
        <v>121.859881</v>
      </c>
      <c r="AF237">
        <f>IF($A237="","",IF(Allocation!$N$3="VOL_EFF",$Q237,IF(Allocation!$N$3="VOL_CLASS",$R237,$S237)))</f>
        <v>265.420186</v>
      </c>
      <c r="AG237">
        <f>IF($A237="","",IF(Allocation!$N$1="VOL_EFF",$Q237,IF(Allocation!$N$1="VOL_CLASS",$R237,$S237)))</f>
        <v>265.420186</v>
      </c>
      <c r="AH237">
        <f>IF($A237="","",IF(Allocation!$N$1="VOL_EFF",$T237,IF(Allocation!$N$1="VOL_CLASS",$U237,$V237)))</f>
        <v>3253.6168479999983</v>
      </c>
      <c r="AI237">
        <f t="shared" si="69"/>
        <v>24861.441525000002</v>
      </c>
      <c r="AJ237">
        <f t="shared" si="70"/>
        <v>66073.423173333329</v>
      </c>
      <c r="AK237">
        <f t="shared" si="71"/>
        <v>14419.326517359723</v>
      </c>
      <c r="AL237">
        <f t="shared" si="72"/>
        <v>129716.54241433334</v>
      </c>
      <c r="AM237">
        <f t="shared" si="73"/>
        <v>37152.309273624429</v>
      </c>
      <c r="AN237">
        <f t="shared" si="74"/>
        <v>7207.5059128214489</v>
      </c>
      <c r="AO237">
        <f>IF($A237="","",Allocation!CJ237)</f>
        <v>743978.4</v>
      </c>
      <c r="AP237">
        <f>IF($A237="","",IF(Allocation!$N$2="VOL_EFF",$Q237,IF(Allocation!$N$2="VOL_CLASS",$R237,$S237)))</f>
        <v>2036027.8352699997</v>
      </c>
      <c r="AQ237">
        <f>IF($A237="","",IF(Allocation!$N$2="VOL_EFF",$T237,IF(Allocation!$N$2="VOL_CLASS",$U237,$V237)))</f>
        <v>24231703.809424989</v>
      </c>
      <c r="AR237">
        <f t="shared" si="75"/>
        <v>9566.7765835276678</v>
      </c>
      <c r="AS237" t="str">
        <f>IF($A237="","",$A237&amp;"|"&amp;Allocation!BG237)</f>
        <v>2027|V01</v>
      </c>
    </row>
    <row r="238" spans="1:45" x14ac:dyDescent="0.45">
      <c r="A238" t="str">
        <f>IF(Allocation!BI238="","",Allocation!BI238)</f>
        <v>2027</v>
      </c>
      <c r="B238" t="str">
        <f>IF(Allocation!BJ238="","",Allocation!BJ238)</f>
        <v>TUNON_LYO</v>
      </c>
      <c r="C238" t="str">
        <f>IF(Allocation!BK238="","",Allocation!BK238)</f>
        <v>TUNON</v>
      </c>
      <c r="D238" t="str">
        <f>IF(Allocation!BL238="","",Allocation!BL238)</f>
        <v>BAC_TOU</v>
      </c>
      <c r="E238" t="str">
        <f>IF(Allocation!BM238="","",Allocation!BM238)</f>
        <v>B3</v>
      </c>
      <c r="F238" t="str">
        <f>IF(Allocation!BN238="","",Allocation!BN238)</f>
        <v>ALT</v>
      </c>
      <c r="G238">
        <f>IF(Allocation!BO238="","",Allocation!BO238)</f>
        <v>38.195</v>
      </c>
      <c r="H238">
        <f>IF(Allocation!BP238="","",Allocation!BP238)</f>
        <v>2</v>
      </c>
      <c r="I238">
        <f>IF(Allocation!BQ238="","",Allocation!BQ238)</f>
        <v>281588.08274599997</v>
      </c>
      <c r="J238">
        <f>IF(Allocation!CC238="","",Allocation!CC238)</f>
        <v>0</v>
      </c>
      <c r="K238">
        <f t="shared" si="57"/>
        <v>960</v>
      </c>
      <c r="L238">
        <f t="shared" si="58"/>
        <v>121.859881</v>
      </c>
      <c r="M238">
        <f t="shared" si="59"/>
        <v>6</v>
      </c>
      <c r="N238">
        <f t="shared" si="60"/>
        <v>902399.28017099993</v>
      </c>
      <c r="O238">
        <f t="shared" si="61"/>
        <v>2880</v>
      </c>
      <c r="P238">
        <f t="shared" si="62"/>
        <v>44.464880999999998</v>
      </c>
      <c r="Q238">
        <f t="shared" si="63"/>
        <v>265.420186</v>
      </c>
      <c r="R238">
        <f t="shared" si="64"/>
        <v>12</v>
      </c>
      <c r="S238">
        <f t="shared" si="65"/>
        <v>2036027.8352699997</v>
      </c>
      <c r="T238">
        <f t="shared" si="66"/>
        <v>3253.6168479999983</v>
      </c>
      <c r="U238">
        <f t="shared" si="67"/>
        <v>135</v>
      </c>
      <c r="V238">
        <f t="shared" si="68"/>
        <v>24231703.809424989</v>
      </c>
      <c r="W238">
        <f>IF($A238="","",Allocation!CD238)</f>
        <v>74584.324575000006</v>
      </c>
      <c r="X238">
        <f>IF($A238="","",Allocation!CE238)</f>
        <v>198220.26952</v>
      </c>
      <c r="Y238">
        <f>IF($A238="","",Allocation!CF238)</f>
        <v>44824.934018</v>
      </c>
      <c r="Z238">
        <f>IF($A238="","",Allocation!CG238)</f>
        <v>20358</v>
      </c>
      <c r="AA238">
        <f>IF($A238="","",Allocation!CH238)</f>
        <v>389149.62724300002</v>
      </c>
      <c r="AB238">
        <f>IF($A238="","",Allocation!CI238)</f>
        <v>2975861.5814200002</v>
      </c>
      <c r="AC238">
        <f>IF($A238="","",IF(Allocation!$N$4="VOL_EFF",$G238,IF(Allocation!$N$4="VOL_CLASS",$H238,$I238)))</f>
        <v>2</v>
      </c>
      <c r="AD238">
        <f>IF($A238="","",IF(Allocation!$N$4="VOL_EFF",$L238,IF(Allocation!$N$4="VOL_CLASS",$M238,$N238)))</f>
        <v>6</v>
      </c>
      <c r="AE238">
        <f>IF($A238="","",IF(Allocation!$N$3="VOL_EFF",$L238,IF(Allocation!$N$3="VOL_CLASS",$M238,$N238)))</f>
        <v>121.859881</v>
      </c>
      <c r="AF238">
        <f>IF($A238="","",IF(Allocation!$N$3="VOL_EFF",$Q238,IF(Allocation!$N$3="VOL_CLASS",$R238,$S238)))</f>
        <v>265.420186</v>
      </c>
      <c r="AG238">
        <f>IF($A238="","",IF(Allocation!$N$1="VOL_EFF",$Q238,IF(Allocation!$N$1="VOL_CLASS",$R238,$S238)))</f>
        <v>265.420186</v>
      </c>
      <c r="AH238">
        <f>IF($A238="","",IF(Allocation!$N$1="VOL_EFF",$T238,IF(Allocation!$N$1="VOL_CLASS",$U238,$V238)))</f>
        <v>3253.6168479999983</v>
      </c>
      <c r="AI238">
        <f t="shared" si="69"/>
        <v>24861.441525000002</v>
      </c>
      <c r="AJ238">
        <f t="shared" si="70"/>
        <v>66073.423173333329</v>
      </c>
      <c r="AK238">
        <f t="shared" si="71"/>
        <v>14049.647355371288</v>
      </c>
      <c r="AL238">
        <f t="shared" si="72"/>
        <v>129716.54241433334</v>
      </c>
      <c r="AM238">
        <f t="shared" si="73"/>
        <v>37152.309273624429</v>
      </c>
      <c r="AN238">
        <f t="shared" si="74"/>
        <v>167.94242080987897</v>
      </c>
      <c r="AO238">
        <f>IF($A238="","",Allocation!CJ238)</f>
        <v>743978.4</v>
      </c>
      <c r="AP238">
        <f>IF($A238="","",IF(Allocation!$N$2="VOL_EFF",$Q238,IF(Allocation!$N$2="VOL_CLASS",$R238,$S238)))</f>
        <v>2036027.8352699997</v>
      </c>
      <c r="AQ238">
        <f>IF($A238="","",IF(Allocation!$N$2="VOL_EFF",$T238,IF(Allocation!$N$2="VOL_CLASS",$U238,$V238)))</f>
        <v>24231703.809424989</v>
      </c>
      <c r="AR238">
        <f t="shared" si="75"/>
        <v>9566.7765835276678</v>
      </c>
      <c r="AS238" t="str">
        <f>IF($A238="","",$A238&amp;"|"&amp;Allocation!BG238)</f>
        <v>2027|V01</v>
      </c>
    </row>
    <row r="239" spans="1:45" x14ac:dyDescent="0.45">
      <c r="A239" t="str">
        <f>IF(Allocation!BI239="","",Allocation!BI239)</f>
        <v>2027</v>
      </c>
      <c r="B239" t="str">
        <f>IF(Allocation!BJ239="","",Allocation!BJ239)</f>
        <v>TUNON_PAR</v>
      </c>
      <c r="C239" t="str">
        <f>IF(Allocation!BK239="","",Allocation!BK239)</f>
        <v>TUNON</v>
      </c>
      <c r="D239" t="str">
        <f>IF(Allocation!BL239="","",Allocation!BL239)</f>
        <v>BAC_TOU</v>
      </c>
      <c r="E239" t="str">
        <f>IF(Allocation!BM239="","",Allocation!BM239)</f>
        <v>B1</v>
      </c>
      <c r="F239" t="str">
        <f>IF(Allocation!BN239="","",Allocation!BN239)</f>
        <v>ALT</v>
      </c>
      <c r="G239">
        <f>IF(Allocation!BO239="","",Allocation!BO239)</f>
        <v>52.095305000000003</v>
      </c>
      <c r="H239">
        <f>IF(Allocation!BP239="","",Allocation!BP239)</f>
        <v>2</v>
      </c>
      <c r="I239">
        <f>IF(Allocation!BQ239="","",Allocation!BQ239)</f>
        <v>414359.42944699997</v>
      </c>
      <c r="J239">
        <f>IF(Allocation!CC239="","",Allocation!CC239)</f>
        <v>52.095305000000003</v>
      </c>
      <c r="K239">
        <f t="shared" si="57"/>
        <v>960</v>
      </c>
      <c r="L239">
        <f t="shared" si="58"/>
        <v>143.560305</v>
      </c>
      <c r="M239">
        <f t="shared" si="59"/>
        <v>6</v>
      </c>
      <c r="N239">
        <f t="shared" si="60"/>
        <v>1133628.5550989998</v>
      </c>
      <c r="O239">
        <f t="shared" si="61"/>
        <v>2880</v>
      </c>
      <c r="P239">
        <f t="shared" si="62"/>
        <v>52.095305000000003</v>
      </c>
      <c r="Q239">
        <f t="shared" si="63"/>
        <v>265.420186</v>
      </c>
      <c r="R239">
        <f t="shared" si="64"/>
        <v>12</v>
      </c>
      <c r="S239">
        <f t="shared" si="65"/>
        <v>2036027.8352699997</v>
      </c>
      <c r="T239">
        <f t="shared" si="66"/>
        <v>3253.6168479999983</v>
      </c>
      <c r="U239">
        <f t="shared" si="67"/>
        <v>135</v>
      </c>
      <c r="V239">
        <f t="shared" si="68"/>
        <v>24231703.809424989</v>
      </c>
      <c r="W239">
        <f>IF($A239="","",Allocation!CD239)</f>
        <v>74584.324575000006</v>
      </c>
      <c r="X239">
        <f>IF($A239="","",Allocation!CE239)</f>
        <v>238111.89765999999</v>
      </c>
      <c r="Y239">
        <f>IF($A239="","",Allocation!CF239)</f>
        <v>52870.461395999999</v>
      </c>
      <c r="Z239">
        <f>IF($A239="","",Allocation!CG239)</f>
        <v>32659.200000000001</v>
      </c>
      <c r="AA239">
        <f>IF($A239="","",Allocation!CH239)</f>
        <v>520675.93905500002</v>
      </c>
      <c r="AB239">
        <f>IF($A239="","",Allocation!CI239)</f>
        <v>2975861.5814200002</v>
      </c>
      <c r="AC239">
        <f>IF($A239="","",IF(Allocation!$N$4="VOL_EFF",$G239,IF(Allocation!$N$4="VOL_CLASS",$H239,$I239)))</f>
        <v>2</v>
      </c>
      <c r="AD239">
        <f>IF($A239="","",IF(Allocation!$N$4="VOL_EFF",$L239,IF(Allocation!$N$4="VOL_CLASS",$M239,$N239)))</f>
        <v>6</v>
      </c>
      <c r="AE239">
        <f>IF($A239="","",IF(Allocation!$N$3="VOL_EFF",$L239,IF(Allocation!$N$3="VOL_CLASS",$M239,$N239)))</f>
        <v>143.560305</v>
      </c>
      <c r="AF239">
        <f>IF($A239="","",IF(Allocation!$N$3="VOL_EFF",$Q239,IF(Allocation!$N$3="VOL_CLASS",$R239,$S239)))</f>
        <v>265.420186</v>
      </c>
      <c r="AG239">
        <f>IF($A239="","",IF(Allocation!$N$1="VOL_EFF",$Q239,IF(Allocation!$N$1="VOL_CLASS",$R239,$S239)))</f>
        <v>265.420186</v>
      </c>
      <c r="AH239">
        <f>IF($A239="","",IF(Allocation!$N$1="VOL_EFF",$T239,IF(Allocation!$N$1="VOL_CLASS",$U239,$V239)))</f>
        <v>3253.6168479999983</v>
      </c>
      <c r="AI239">
        <f t="shared" si="69"/>
        <v>24861.441525000002</v>
      </c>
      <c r="AJ239">
        <f t="shared" si="70"/>
        <v>79370.632553333329</v>
      </c>
      <c r="AK239">
        <f t="shared" si="71"/>
        <v>51844.885151026574</v>
      </c>
      <c r="AL239">
        <f t="shared" si="72"/>
        <v>173558.64635166666</v>
      </c>
      <c r="AM239">
        <f t="shared" si="73"/>
        <v>43768.275555560831</v>
      </c>
      <c r="AN239">
        <f t="shared" si="74"/>
        <v>29685.150268598576</v>
      </c>
      <c r="AO239">
        <f>IF($A239="","",Allocation!CJ239)</f>
        <v>743978.4</v>
      </c>
      <c r="AP239">
        <f>IF($A239="","",IF(Allocation!$N$2="VOL_EFF",$Q239,IF(Allocation!$N$2="VOL_CLASS",$R239,$S239)))</f>
        <v>2036027.8352699997</v>
      </c>
      <c r="AQ239">
        <f>IF($A239="","",IF(Allocation!$N$2="VOL_EFF",$T239,IF(Allocation!$N$2="VOL_CLASS",$U239,$V239)))</f>
        <v>24231703.809424989</v>
      </c>
      <c r="AR239">
        <f t="shared" si="75"/>
        <v>11270.398041814024</v>
      </c>
      <c r="AS239" t="str">
        <f>IF($A239="","",$A239&amp;"|"&amp;Allocation!BG239)</f>
        <v>2027|V01</v>
      </c>
    </row>
    <row r="240" spans="1:45" x14ac:dyDescent="0.45">
      <c r="A240" t="str">
        <f>IF(Allocation!BI240="","",Allocation!BI240)</f>
        <v>2027</v>
      </c>
      <c r="B240" t="str">
        <f>IF(Allocation!BJ240="","",Allocation!BJ240)</f>
        <v>TUNON_PAR</v>
      </c>
      <c r="C240" t="str">
        <f>IF(Allocation!BK240="","",Allocation!BK240)</f>
        <v>TUNON</v>
      </c>
      <c r="D240" t="str">
        <f>IF(Allocation!BL240="","",Allocation!BL240)</f>
        <v>BAC_TOU</v>
      </c>
      <c r="E240" t="str">
        <f>IF(Allocation!BM240="","",Allocation!BM240)</f>
        <v>B2</v>
      </c>
      <c r="F240" t="str">
        <f>IF(Allocation!BN240="","",Allocation!BN240)</f>
        <v>ALT</v>
      </c>
      <c r="G240">
        <f>IF(Allocation!BO240="","",Allocation!BO240)</f>
        <v>46.234999999999999</v>
      </c>
      <c r="H240">
        <f>IF(Allocation!BP240="","",Allocation!BP240)</f>
        <v>2</v>
      </c>
      <c r="I240">
        <f>IF(Allocation!BQ240="","",Allocation!BQ240)</f>
        <v>363586.15890799998</v>
      </c>
      <c r="J240">
        <f>IF(Allocation!CC240="","",Allocation!CC240)</f>
        <v>0</v>
      </c>
      <c r="K240">
        <f t="shared" si="57"/>
        <v>960</v>
      </c>
      <c r="L240">
        <f t="shared" si="58"/>
        <v>143.560305</v>
      </c>
      <c r="M240">
        <f t="shared" si="59"/>
        <v>6</v>
      </c>
      <c r="N240">
        <f t="shared" si="60"/>
        <v>1133628.5550989998</v>
      </c>
      <c r="O240">
        <f t="shared" si="61"/>
        <v>2880</v>
      </c>
      <c r="P240">
        <f t="shared" si="62"/>
        <v>52.095305000000003</v>
      </c>
      <c r="Q240">
        <f t="shared" si="63"/>
        <v>265.420186</v>
      </c>
      <c r="R240">
        <f t="shared" si="64"/>
        <v>12</v>
      </c>
      <c r="S240">
        <f t="shared" si="65"/>
        <v>2036027.8352699997</v>
      </c>
      <c r="T240">
        <f t="shared" si="66"/>
        <v>3253.6168479999983</v>
      </c>
      <c r="U240">
        <f t="shared" si="67"/>
        <v>135</v>
      </c>
      <c r="V240">
        <f t="shared" si="68"/>
        <v>24231703.809424989</v>
      </c>
      <c r="W240">
        <f>IF($A240="","",Allocation!CD240)</f>
        <v>74584.324575000006</v>
      </c>
      <c r="X240">
        <f>IF($A240="","",Allocation!CE240)</f>
        <v>238111.89765999999</v>
      </c>
      <c r="Y240">
        <f>IF($A240="","",Allocation!CF240)</f>
        <v>52870.461395999999</v>
      </c>
      <c r="Z240">
        <f>IF($A240="","",Allocation!CG240)</f>
        <v>32659.200000000001</v>
      </c>
      <c r="AA240">
        <f>IF($A240="","",Allocation!CH240)</f>
        <v>520675.93905500002</v>
      </c>
      <c r="AB240">
        <f>IF($A240="","",Allocation!CI240)</f>
        <v>2975861.5814200002</v>
      </c>
      <c r="AC240">
        <f>IF($A240="","",IF(Allocation!$N$4="VOL_EFF",$G240,IF(Allocation!$N$4="VOL_CLASS",$H240,$I240)))</f>
        <v>2</v>
      </c>
      <c r="AD240">
        <f>IF($A240="","",IF(Allocation!$N$4="VOL_EFF",$L240,IF(Allocation!$N$4="VOL_CLASS",$M240,$N240)))</f>
        <v>6</v>
      </c>
      <c r="AE240">
        <f>IF($A240="","",IF(Allocation!$N$3="VOL_EFF",$L240,IF(Allocation!$N$3="VOL_CLASS",$M240,$N240)))</f>
        <v>143.560305</v>
      </c>
      <c r="AF240">
        <f>IF($A240="","",IF(Allocation!$N$3="VOL_EFF",$Q240,IF(Allocation!$N$3="VOL_CLASS",$R240,$S240)))</f>
        <v>265.420186</v>
      </c>
      <c r="AG240">
        <f>IF($A240="","",IF(Allocation!$N$1="VOL_EFF",$Q240,IF(Allocation!$N$1="VOL_CLASS",$R240,$S240)))</f>
        <v>265.420186</v>
      </c>
      <c r="AH240">
        <f>IF($A240="","",IF(Allocation!$N$1="VOL_EFF",$T240,IF(Allocation!$N$1="VOL_CLASS",$U240,$V240)))</f>
        <v>3253.6168479999983</v>
      </c>
      <c r="AI240">
        <f t="shared" si="69"/>
        <v>24861.441525000002</v>
      </c>
      <c r="AJ240">
        <f t="shared" si="70"/>
        <v>79370.632553333329</v>
      </c>
      <c r="AK240">
        <f t="shared" si="71"/>
        <v>17027.449075453413</v>
      </c>
      <c r="AL240">
        <f t="shared" si="72"/>
        <v>173558.64635166666</v>
      </c>
      <c r="AM240">
        <f t="shared" si="73"/>
        <v>43768.275555560831</v>
      </c>
      <c r="AN240">
        <f t="shared" si="74"/>
        <v>13729.315805171675</v>
      </c>
      <c r="AO240">
        <f>IF($A240="","",Allocation!CJ240)</f>
        <v>743978.4</v>
      </c>
      <c r="AP240">
        <f>IF($A240="","",IF(Allocation!$N$2="VOL_EFF",$Q240,IF(Allocation!$N$2="VOL_CLASS",$R240,$S240)))</f>
        <v>2036027.8352699997</v>
      </c>
      <c r="AQ240">
        <f>IF($A240="","",IF(Allocation!$N$2="VOL_EFF",$T240,IF(Allocation!$N$2="VOL_CLASS",$U240,$V240)))</f>
        <v>24231703.809424989</v>
      </c>
      <c r="AR240">
        <f t="shared" si="75"/>
        <v>11270.398041814024</v>
      </c>
      <c r="AS240" t="str">
        <f>IF($A240="","",$A240&amp;"|"&amp;Allocation!BG240)</f>
        <v>2027|V01</v>
      </c>
    </row>
    <row r="241" spans="1:45" x14ac:dyDescent="0.45">
      <c r="A241" t="str">
        <f>IF(Allocation!BI241="","",Allocation!BI241)</f>
        <v>2027</v>
      </c>
      <c r="B241" t="str">
        <f>IF(Allocation!BJ241="","",Allocation!BJ241)</f>
        <v>TUNON_PAR</v>
      </c>
      <c r="C241" t="str">
        <f>IF(Allocation!BK241="","",Allocation!BK241)</f>
        <v>TUNON</v>
      </c>
      <c r="D241" t="str">
        <f>IF(Allocation!BL241="","",Allocation!BL241)</f>
        <v>BAC_TOU</v>
      </c>
      <c r="E241" t="str">
        <f>IF(Allocation!BM241="","",Allocation!BM241)</f>
        <v>B3</v>
      </c>
      <c r="F241" t="str">
        <f>IF(Allocation!BN241="","",Allocation!BN241)</f>
        <v>ALT</v>
      </c>
      <c r="G241">
        <f>IF(Allocation!BO241="","",Allocation!BO241)</f>
        <v>45.23</v>
      </c>
      <c r="H241">
        <f>IF(Allocation!BP241="","",Allocation!BP241)</f>
        <v>2</v>
      </c>
      <c r="I241">
        <f>IF(Allocation!BQ241="","",Allocation!BQ241)</f>
        <v>355682.96674399998</v>
      </c>
      <c r="J241">
        <f>IF(Allocation!CC241="","",Allocation!CC241)</f>
        <v>0</v>
      </c>
      <c r="K241">
        <f t="shared" si="57"/>
        <v>960</v>
      </c>
      <c r="L241">
        <f t="shared" si="58"/>
        <v>143.560305</v>
      </c>
      <c r="M241">
        <f t="shared" si="59"/>
        <v>6</v>
      </c>
      <c r="N241">
        <f t="shared" si="60"/>
        <v>1133628.5550989998</v>
      </c>
      <c r="O241">
        <f t="shared" si="61"/>
        <v>2880</v>
      </c>
      <c r="P241">
        <f t="shared" si="62"/>
        <v>52.095305000000003</v>
      </c>
      <c r="Q241">
        <f t="shared" si="63"/>
        <v>265.420186</v>
      </c>
      <c r="R241">
        <f t="shared" si="64"/>
        <v>12</v>
      </c>
      <c r="S241">
        <f t="shared" si="65"/>
        <v>2036027.8352699997</v>
      </c>
      <c r="T241">
        <f t="shared" si="66"/>
        <v>3253.6168479999983</v>
      </c>
      <c r="U241">
        <f t="shared" si="67"/>
        <v>135</v>
      </c>
      <c r="V241">
        <f t="shared" si="68"/>
        <v>24231703.809424989</v>
      </c>
      <c r="W241">
        <f>IF($A241="","",Allocation!CD241)</f>
        <v>74584.324575000006</v>
      </c>
      <c r="X241">
        <f>IF($A241="","",Allocation!CE241)</f>
        <v>238111.89765999999</v>
      </c>
      <c r="Y241">
        <f>IF($A241="","",Allocation!CF241)</f>
        <v>52870.461395999999</v>
      </c>
      <c r="Z241">
        <f>IF($A241="","",Allocation!CG241)</f>
        <v>32659.200000000001</v>
      </c>
      <c r="AA241">
        <f>IF($A241="","",Allocation!CH241)</f>
        <v>520675.93905500002</v>
      </c>
      <c r="AB241">
        <f>IF($A241="","",Allocation!CI241)</f>
        <v>2975861.5814200002</v>
      </c>
      <c r="AC241">
        <f>IF($A241="","",IF(Allocation!$N$4="VOL_EFF",$G241,IF(Allocation!$N$4="VOL_CLASS",$H241,$I241)))</f>
        <v>2</v>
      </c>
      <c r="AD241">
        <f>IF($A241="","",IF(Allocation!$N$4="VOL_EFF",$L241,IF(Allocation!$N$4="VOL_CLASS",$M241,$N241)))</f>
        <v>6</v>
      </c>
      <c r="AE241">
        <f>IF($A241="","",IF(Allocation!$N$3="VOL_EFF",$L241,IF(Allocation!$N$3="VOL_CLASS",$M241,$N241)))</f>
        <v>143.560305</v>
      </c>
      <c r="AF241">
        <f>IF($A241="","",IF(Allocation!$N$3="VOL_EFF",$Q241,IF(Allocation!$N$3="VOL_CLASS",$R241,$S241)))</f>
        <v>265.420186</v>
      </c>
      <c r="AG241">
        <f>IF($A241="","",IF(Allocation!$N$1="VOL_EFF",$Q241,IF(Allocation!$N$1="VOL_CLASS",$R241,$S241)))</f>
        <v>265.420186</v>
      </c>
      <c r="AH241">
        <f>IF($A241="","",IF(Allocation!$N$1="VOL_EFF",$T241,IF(Allocation!$N$1="VOL_CLASS",$U241,$V241)))</f>
        <v>3253.6168479999983</v>
      </c>
      <c r="AI241">
        <f t="shared" si="69"/>
        <v>24861.441525000002</v>
      </c>
      <c r="AJ241">
        <f t="shared" si="70"/>
        <v>79370.632553333329</v>
      </c>
      <c r="AK241">
        <f t="shared" si="71"/>
        <v>16657.327169520013</v>
      </c>
      <c r="AL241">
        <f t="shared" si="72"/>
        <v>173558.64635166666</v>
      </c>
      <c r="AM241">
        <f t="shared" si="73"/>
        <v>43768.275555560831</v>
      </c>
      <c r="AN241">
        <f t="shared" si="74"/>
        <v>6196.2455471050926</v>
      </c>
      <c r="AO241">
        <f>IF($A241="","",Allocation!CJ241)</f>
        <v>743978.4</v>
      </c>
      <c r="AP241">
        <f>IF($A241="","",IF(Allocation!$N$2="VOL_EFF",$Q241,IF(Allocation!$N$2="VOL_CLASS",$R241,$S241)))</f>
        <v>2036027.8352699997</v>
      </c>
      <c r="AQ241">
        <f>IF($A241="","",IF(Allocation!$N$2="VOL_EFF",$T241,IF(Allocation!$N$2="VOL_CLASS",$U241,$V241)))</f>
        <v>24231703.809424989</v>
      </c>
      <c r="AR241">
        <f t="shared" si="75"/>
        <v>11270.398041814024</v>
      </c>
      <c r="AS241" t="str">
        <f>IF($A241="","",$A241&amp;"|"&amp;Allocation!BG241)</f>
        <v>2027|V01</v>
      </c>
    </row>
    <row r="242" spans="1:45" x14ac:dyDescent="0.45">
      <c r="A242" t="str">
        <f>IF(Allocation!BI242="","",Allocation!BI242)</f>
        <v>2027</v>
      </c>
      <c r="B242" t="str">
        <f>IF(Allocation!BJ242="","",Allocation!BJ242)</f>
        <v>IPAC_MTP</v>
      </c>
      <c r="C242" t="str">
        <f>IF(Allocation!BK242="","",Allocation!BK242)</f>
        <v>IPAC</v>
      </c>
      <c r="D242" t="str">
        <f>IF(Allocation!BL242="","",Allocation!BL242)</f>
        <v>BAC_CCE</v>
      </c>
      <c r="E242" t="str">
        <f>IF(Allocation!BM242="","",Allocation!BM242)</f>
        <v>B1</v>
      </c>
      <c r="F242" t="str">
        <f>IF(Allocation!BN242="","",Allocation!BN242)</f>
        <v>ALT</v>
      </c>
      <c r="G242">
        <f>IF(Allocation!BO242="","",Allocation!BO242)</f>
        <v>52.169789000000002</v>
      </c>
      <c r="H242">
        <f>IF(Allocation!BP242="","",Allocation!BP242)</f>
        <v>2</v>
      </c>
      <c r="I242">
        <f>IF(Allocation!BQ242="","",Allocation!BQ242)</f>
        <v>363159.77033000003</v>
      </c>
      <c r="J242">
        <f>IF(Allocation!CC242="","",Allocation!CC242)</f>
        <v>52.169789000000002</v>
      </c>
      <c r="K242">
        <f t="shared" si="57"/>
        <v>960</v>
      </c>
      <c r="L242">
        <f t="shared" si="58"/>
        <v>130.35478900000001</v>
      </c>
      <c r="M242">
        <f t="shared" si="59"/>
        <v>6</v>
      </c>
      <c r="N242">
        <f t="shared" si="60"/>
        <v>900377.70114300004</v>
      </c>
      <c r="O242">
        <f t="shared" si="61"/>
        <v>2880</v>
      </c>
      <c r="P242">
        <f t="shared" si="62"/>
        <v>52.169789000000002</v>
      </c>
      <c r="Q242">
        <f t="shared" si="63"/>
        <v>422.19391200000007</v>
      </c>
      <c r="R242">
        <f t="shared" si="64"/>
        <v>18</v>
      </c>
      <c r="S242">
        <f t="shared" si="65"/>
        <v>2974593.5386670004</v>
      </c>
      <c r="T242">
        <f t="shared" si="66"/>
        <v>3473.6699979999999</v>
      </c>
      <c r="U242">
        <f t="shared" si="67"/>
        <v>135</v>
      </c>
      <c r="V242">
        <f t="shared" si="68"/>
        <v>26814168.474038001</v>
      </c>
      <c r="W242">
        <f>IF($A242="","",Allocation!CD242)</f>
        <v>81566.049287999995</v>
      </c>
      <c r="X242">
        <f>IF($A242="","",Allocation!CE242)</f>
        <v>142973.453958</v>
      </c>
      <c r="Y242">
        <f>IF($A242="","",Allocation!CF242)</f>
        <v>49020.927630999999</v>
      </c>
      <c r="Z242">
        <f>IF($A242="","",Allocation!CG242)</f>
        <v>17454.7</v>
      </c>
      <c r="AA242">
        <f>IF($A242="","",Allocation!CH242)</f>
        <v>277100.16115399997</v>
      </c>
      <c r="AB242">
        <f>IF($A242="","",Allocation!CI242)</f>
        <v>2894009.9927380001</v>
      </c>
      <c r="AC242">
        <f>IF($A242="","",IF(Allocation!$N$4="VOL_EFF",$G242,IF(Allocation!$N$4="VOL_CLASS",$H242,$I242)))</f>
        <v>2</v>
      </c>
      <c r="AD242">
        <f>IF($A242="","",IF(Allocation!$N$4="VOL_EFF",$L242,IF(Allocation!$N$4="VOL_CLASS",$M242,$N242)))</f>
        <v>6</v>
      </c>
      <c r="AE242">
        <f>IF($A242="","",IF(Allocation!$N$3="VOL_EFF",$L242,IF(Allocation!$N$3="VOL_CLASS",$M242,$N242)))</f>
        <v>130.35478900000001</v>
      </c>
      <c r="AF242">
        <f>IF($A242="","",IF(Allocation!$N$3="VOL_EFF",$Q242,IF(Allocation!$N$3="VOL_CLASS",$R242,$S242)))</f>
        <v>422.19391200000007</v>
      </c>
      <c r="AG242">
        <f>IF($A242="","",IF(Allocation!$N$1="VOL_EFF",$Q242,IF(Allocation!$N$1="VOL_CLASS",$R242,$S242)))</f>
        <v>422.19391200000007</v>
      </c>
      <c r="AH242">
        <f>IF($A242="","",IF(Allocation!$N$1="VOL_EFF",$T242,IF(Allocation!$N$1="VOL_CLASS",$U242,$V242)))</f>
        <v>3473.6699979999999</v>
      </c>
      <c r="AI242">
        <f t="shared" si="69"/>
        <v>27188.683095999997</v>
      </c>
      <c r="AJ242">
        <f t="shared" si="70"/>
        <v>47657.817985999995</v>
      </c>
      <c r="AK242">
        <f t="shared" si="71"/>
        <v>37073.553060270307</v>
      </c>
      <c r="AL242">
        <f t="shared" si="72"/>
        <v>92366.720384666653</v>
      </c>
      <c r="AM242">
        <f t="shared" si="73"/>
        <v>36200.719717614505</v>
      </c>
      <c r="AN242">
        <f t="shared" si="74"/>
        <v>113792.08015067401</v>
      </c>
      <c r="AO242">
        <f>IF($A242="","",Allocation!CJ242)</f>
        <v>777795.6</v>
      </c>
      <c r="AP242">
        <f>IF($A242="","",IF(Allocation!$N$2="VOL_EFF",$Q242,IF(Allocation!$N$2="VOL_CLASS",$R242,$S242)))</f>
        <v>2974593.5386670004</v>
      </c>
      <c r="AQ242">
        <f>IF($A242="","",IF(Allocation!$N$2="VOL_EFF",$T242,IF(Allocation!$N$2="VOL_CLASS",$U242,$V242)))</f>
        <v>26814168.474038001</v>
      </c>
      <c r="AR242">
        <f t="shared" si="75"/>
        <v>8880.1959347745997</v>
      </c>
      <c r="AS242" t="str">
        <f>IF($A242="","",$A242&amp;"|"&amp;Allocation!BG242)</f>
        <v>2027|V02</v>
      </c>
    </row>
    <row r="243" spans="1:45" x14ac:dyDescent="0.45">
      <c r="A243" t="str">
        <f>IF(Allocation!BI243="","",Allocation!BI243)</f>
        <v>2027</v>
      </c>
      <c r="B243" t="str">
        <f>IF(Allocation!BJ243="","",Allocation!BJ243)</f>
        <v>IPAC_MTP</v>
      </c>
      <c r="C243" t="str">
        <f>IF(Allocation!BK243="","",Allocation!BK243)</f>
        <v>IPAC</v>
      </c>
      <c r="D243" t="str">
        <f>IF(Allocation!BL243="","",Allocation!BL243)</f>
        <v>BAC_CCE</v>
      </c>
      <c r="E243" t="str">
        <f>IF(Allocation!BM243="","",Allocation!BM243)</f>
        <v>B2</v>
      </c>
      <c r="F243" t="str">
        <f>IF(Allocation!BN243="","",Allocation!BN243)</f>
        <v>ALT</v>
      </c>
      <c r="G243">
        <f>IF(Allocation!BO243="","",Allocation!BO243)</f>
        <v>39.6</v>
      </c>
      <c r="H243">
        <f>IF(Allocation!BP243="","",Allocation!BP243)</f>
        <v>2</v>
      </c>
      <c r="I243">
        <f>IF(Allocation!BQ243="","",Allocation!BQ243)</f>
        <v>272096.05499999999</v>
      </c>
      <c r="J243">
        <f>IF(Allocation!CC243="","",Allocation!CC243)</f>
        <v>0</v>
      </c>
      <c r="K243">
        <f t="shared" si="57"/>
        <v>960</v>
      </c>
      <c r="L243">
        <f t="shared" si="58"/>
        <v>130.35478900000001</v>
      </c>
      <c r="M243">
        <f t="shared" si="59"/>
        <v>6</v>
      </c>
      <c r="N243">
        <f t="shared" si="60"/>
        <v>900377.70114300004</v>
      </c>
      <c r="O243">
        <f t="shared" si="61"/>
        <v>2880</v>
      </c>
      <c r="P243">
        <f t="shared" si="62"/>
        <v>52.169789000000002</v>
      </c>
      <c r="Q243">
        <f t="shared" si="63"/>
        <v>422.19391200000007</v>
      </c>
      <c r="R243">
        <f t="shared" si="64"/>
        <v>18</v>
      </c>
      <c r="S243">
        <f t="shared" si="65"/>
        <v>2974593.5386670004</v>
      </c>
      <c r="T243">
        <f t="shared" si="66"/>
        <v>3473.6699979999999</v>
      </c>
      <c r="U243">
        <f t="shared" si="67"/>
        <v>135</v>
      </c>
      <c r="V243">
        <f t="shared" si="68"/>
        <v>26814168.474038001</v>
      </c>
      <c r="W243">
        <f>IF($A243="","",Allocation!CD243)</f>
        <v>81566.049287999995</v>
      </c>
      <c r="X243">
        <f>IF($A243="","",Allocation!CE243)</f>
        <v>142973.453958</v>
      </c>
      <c r="Y243">
        <f>IF($A243="","",Allocation!CF243)</f>
        <v>49020.927630999999</v>
      </c>
      <c r="Z243">
        <f>IF($A243="","",Allocation!CG243)</f>
        <v>17454.7</v>
      </c>
      <c r="AA243">
        <f>IF($A243="","",Allocation!CH243)</f>
        <v>277100.16115399997</v>
      </c>
      <c r="AB243">
        <f>IF($A243="","",Allocation!CI243)</f>
        <v>2894009.9927380001</v>
      </c>
      <c r="AC243">
        <f>IF($A243="","",IF(Allocation!$N$4="VOL_EFF",$G243,IF(Allocation!$N$4="VOL_CLASS",$H243,$I243)))</f>
        <v>2</v>
      </c>
      <c r="AD243">
        <f>IF($A243="","",IF(Allocation!$N$4="VOL_EFF",$L243,IF(Allocation!$N$4="VOL_CLASS",$M243,$N243)))</f>
        <v>6</v>
      </c>
      <c r="AE243">
        <f>IF($A243="","",IF(Allocation!$N$3="VOL_EFF",$L243,IF(Allocation!$N$3="VOL_CLASS",$M243,$N243)))</f>
        <v>130.35478900000001</v>
      </c>
      <c r="AF243">
        <f>IF($A243="","",IF(Allocation!$N$3="VOL_EFF",$Q243,IF(Allocation!$N$3="VOL_CLASS",$R243,$S243)))</f>
        <v>422.19391200000007</v>
      </c>
      <c r="AG243">
        <f>IF($A243="","",IF(Allocation!$N$1="VOL_EFF",$Q243,IF(Allocation!$N$1="VOL_CLASS",$R243,$S243)))</f>
        <v>422.19391200000007</v>
      </c>
      <c r="AH243">
        <f>IF($A243="","",IF(Allocation!$N$1="VOL_EFF",$T243,IF(Allocation!$N$1="VOL_CLASS",$U243,$V243)))</f>
        <v>3473.6699979999999</v>
      </c>
      <c r="AI243">
        <f t="shared" si="69"/>
        <v>27188.683095999997</v>
      </c>
      <c r="AJ243">
        <f t="shared" si="70"/>
        <v>47657.817985999995</v>
      </c>
      <c r="AK243">
        <f t="shared" si="71"/>
        <v>14891.886589510723</v>
      </c>
      <c r="AL243">
        <f t="shared" si="72"/>
        <v>92366.720384666653</v>
      </c>
      <c r="AM243">
        <f t="shared" si="73"/>
        <v>36200.719717614505</v>
      </c>
      <c r="AN243">
        <f t="shared" si="74"/>
        <v>44910.031291433523</v>
      </c>
      <c r="AO243">
        <f>IF($A243="","",Allocation!CJ243)</f>
        <v>777795.6</v>
      </c>
      <c r="AP243">
        <f>IF($A243="","",IF(Allocation!$N$2="VOL_EFF",$Q243,IF(Allocation!$N$2="VOL_CLASS",$R243,$S243)))</f>
        <v>2974593.5386670004</v>
      </c>
      <c r="AQ243">
        <f>IF($A243="","",IF(Allocation!$N$2="VOL_EFF",$T243,IF(Allocation!$N$2="VOL_CLASS",$U243,$V243)))</f>
        <v>26814168.474038001</v>
      </c>
      <c r="AR243">
        <f t="shared" si="75"/>
        <v>8880.1959347745997</v>
      </c>
      <c r="AS243" t="str">
        <f>IF($A243="","",$A243&amp;"|"&amp;Allocation!BG243)</f>
        <v>2027|V02</v>
      </c>
    </row>
    <row r="244" spans="1:45" x14ac:dyDescent="0.45">
      <c r="A244" t="str">
        <f>IF(Allocation!BI244="","",Allocation!BI244)</f>
        <v>2027</v>
      </c>
      <c r="B244" t="str">
        <f>IF(Allocation!BJ244="","",Allocation!BJ244)</f>
        <v>IPAC_MTP</v>
      </c>
      <c r="C244" t="str">
        <f>IF(Allocation!BK244="","",Allocation!BK244)</f>
        <v>IPAC</v>
      </c>
      <c r="D244" t="str">
        <f>IF(Allocation!BL244="","",Allocation!BL244)</f>
        <v>BAC_CCE</v>
      </c>
      <c r="E244" t="str">
        <f>IF(Allocation!BM244="","",Allocation!BM244)</f>
        <v>B3</v>
      </c>
      <c r="F244" t="str">
        <f>IF(Allocation!BN244="","",Allocation!BN244)</f>
        <v>ALT</v>
      </c>
      <c r="G244">
        <f>IF(Allocation!BO244="","",Allocation!BO244)</f>
        <v>38.585000000000001</v>
      </c>
      <c r="H244">
        <f>IF(Allocation!BP244="","",Allocation!BP244)</f>
        <v>2</v>
      </c>
      <c r="I244">
        <f>IF(Allocation!BQ244="","",Allocation!BQ244)</f>
        <v>265121.87581300002</v>
      </c>
      <c r="J244">
        <f>IF(Allocation!CC244="","",Allocation!CC244)</f>
        <v>0</v>
      </c>
      <c r="K244">
        <f t="shared" si="57"/>
        <v>960</v>
      </c>
      <c r="L244">
        <f t="shared" si="58"/>
        <v>130.35478900000001</v>
      </c>
      <c r="M244">
        <f t="shared" si="59"/>
        <v>6</v>
      </c>
      <c r="N244">
        <f t="shared" si="60"/>
        <v>900377.70114300004</v>
      </c>
      <c r="O244">
        <f t="shared" si="61"/>
        <v>2880</v>
      </c>
      <c r="P244">
        <f t="shared" si="62"/>
        <v>52.169789000000002</v>
      </c>
      <c r="Q244">
        <f t="shared" si="63"/>
        <v>422.19391200000007</v>
      </c>
      <c r="R244">
        <f t="shared" si="64"/>
        <v>18</v>
      </c>
      <c r="S244">
        <f t="shared" si="65"/>
        <v>2974593.5386670004</v>
      </c>
      <c r="T244">
        <f t="shared" si="66"/>
        <v>3473.6699979999999</v>
      </c>
      <c r="U244">
        <f t="shared" si="67"/>
        <v>135</v>
      </c>
      <c r="V244">
        <f t="shared" si="68"/>
        <v>26814168.474038001</v>
      </c>
      <c r="W244">
        <f>IF($A244="","",Allocation!CD244)</f>
        <v>81566.049287999995</v>
      </c>
      <c r="X244">
        <f>IF($A244="","",Allocation!CE244)</f>
        <v>142973.453958</v>
      </c>
      <c r="Y244">
        <f>IF($A244="","",Allocation!CF244)</f>
        <v>49020.927630999999</v>
      </c>
      <c r="Z244">
        <f>IF($A244="","",Allocation!CG244)</f>
        <v>17454.7</v>
      </c>
      <c r="AA244">
        <f>IF($A244="","",Allocation!CH244)</f>
        <v>277100.16115399997</v>
      </c>
      <c r="AB244">
        <f>IF($A244="","",Allocation!CI244)</f>
        <v>2894009.9927380001</v>
      </c>
      <c r="AC244">
        <f>IF($A244="","",IF(Allocation!$N$4="VOL_EFF",$G244,IF(Allocation!$N$4="VOL_CLASS",$H244,$I244)))</f>
        <v>2</v>
      </c>
      <c r="AD244">
        <f>IF($A244="","",IF(Allocation!$N$4="VOL_EFF",$L244,IF(Allocation!$N$4="VOL_CLASS",$M244,$N244)))</f>
        <v>6</v>
      </c>
      <c r="AE244">
        <f>IF($A244="","",IF(Allocation!$N$3="VOL_EFF",$L244,IF(Allocation!$N$3="VOL_CLASS",$M244,$N244)))</f>
        <v>130.35478900000001</v>
      </c>
      <c r="AF244">
        <f>IF($A244="","",IF(Allocation!$N$3="VOL_EFF",$Q244,IF(Allocation!$N$3="VOL_CLASS",$R244,$S244)))</f>
        <v>422.19391200000007</v>
      </c>
      <c r="AG244">
        <f>IF($A244="","",IF(Allocation!$N$1="VOL_EFF",$Q244,IF(Allocation!$N$1="VOL_CLASS",$R244,$S244)))</f>
        <v>422.19391200000007</v>
      </c>
      <c r="AH244">
        <f>IF($A244="","",IF(Allocation!$N$1="VOL_EFF",$T244,IF(Allocation!$N$1="VOL_CLASS",$U244,$V244)))</f>
        <v>3473.6699979999999</v>
      </c>
      <c r="AI244">
        <f t="shared" si="69"/>
        <v>27188.683095999997</v>
      </c>
      <c r="AJ244">
        <f t="shared" si="70"/>
        <v>47657.817985999995</v>
      </c>
      <c r="AK244">
        <f t="shared" si="71"/>
        <v>14510.187981218971</v>
      </c>
      <c r="AL244">
        <f t="shared" si="72"/>
        <v>92366.720384666653</v>
      </c>
      <c r="AM244">
        <f t="shared" si="73"/>
        <v>36200.719717614505</v>
      </c>
      <c r="AN244">
        <f t="shared" si="74"/>
        <v>38317.550712725322</v>
      </c>
      <c r="AO244">
        <f>IF($A244="","",Allocation!CJ244)</f>
        <v>777795.6</v>
      </c>
      <c r="AP244">
        <f>IF($A244="","",IF(Allocation!$N$2="VOL_EFF",$Q244,IF(Allocation!$N$2="VOL_CLASS",$R244,$S244)))</f>
        <v>2974593.5386670004</v>
      </c>
      <c r="AQ244">
        <f>IF($A244="","",IF(Allocation!$N$2="VOL_EFF",$T244,IF(Allocation!$N$2="VOL_CLASS",$U244,$V244)))</f>
        <v>26814168.474038001</v>
      </c>
      <c r="AR244">
        <f t="shared" si="75"/>
        <v>8880.1959347745997</v>
      </c>
      <c r="AS244" t="str">
        <f>IF($A244="","",$A244&amp;"|"&amp;Allocation!BG244)</f>
        <v>2027|V02</v>
      </c>
    </row>
    <row r="245" spans="1:45" x14ac:dyDescent="0.45">
      <c r="A245" t="str">
        <f>IF(Allocation!BI245="","",Allocation!BI245)</f>
        <v>2027</v>
      </c>
      <c r="B245" t="str">
        <f>IF(Allocation!BJ245="","",Allocation!BJ245)</f>
        <v>IPAC_NAN</v>
      </c>
      <c r="C245" t="str">
        <f>IF(Allocation!BK245="","",Allocation!BK245)</f>
        <v>IPAC</v>
      </c>
      <c r="D245" t="str">
        <f>IF(Allocation!BL245="","",Allocation!BL245)</f>
        <v>BAC_CCE</v>
      </c>
      <c r="E245" t="str">
        <f>IF(Allocation!BM245="","",Allocation!BM245)</f>
        <v>B1</v>
      </c>
      <c r="F245" t="str">
        <f>IF(Allocation!BN245="","",Allocation!BN245)</f>
        <v>ALT</v>
      </c>
      <c r="G245">
        <f>IF(Allocation!BO245="","",Allocation!BO245)</f>
        <v>65.044832999999997</v>
      </c>
      <c r="H245">
        <f>IF(Allocation!BP245="","",Allocation!BP245)</f>
        <v>2</v>
      </c>
      <c r="I245">
        <f>IF(Allocation!BQ245="","",Allocation!BQ245)</f>
        <v>476307.05085100001</v>
      </c>
      <c r="J245">
        <f>IF(Allocation!CC245="","",Allocation!CC245)</f>
        <v>65.044832999999997</v>
      </c>
      <c r="K245">
        <f t="shared" si="57"/>
        <v>960</v>
      </c>
      <c r="L245">
        <f t="shared" si="58"/>
        <v>161.51483300000001</v>
      </c>
      <c r="M245">
        <f t="shared" si="59"/>
        <v>6</v>
      </c>
      <c r="N245">
        <f t="shared" si="60"/>
        <v>1174050.4433510001</v>
      </c>
      <c r="O245">
        <f t="shared" si="61"/>
        <v>2880</v>
      </c>
      <c r="P245">
        <f t="shared" si="62"/>
        <v>65.044832999999997</v>
      </c>
      <c r="Q245">
        <f t="shared" si="63"/>
        <v>422.19391200000007</v>
      </c>
      <c r="R245">
        <f t="shared" si="64"/>
        <v>18</v>
      </c>
      <c r="S245">
        <f t="shared" si="65"/>
        <v>2974593.5386670004</v>
      </c>
      <c r="T245">
        <f t="shared" si="66"/>
        <v>3473.6699979999999</v>
      </c>
      <c r="U245">
        <f t="shared" si="67"/>
        <v>135</v>
      </c>
      <c r="V245">
        <f t="shared" si="68"/>
        <v>26814168.474038001</v>
      </c>
      <c r="W245">
        <f>IF($A245="","",Allocation!CD245)</f>
        <v>81566.049287999995</v>
      </c>
      <c r="X245">
        <f>IF($A245="","",Allocation!CE245)</f>
        <v>176692.77613799999</v>
      </c>
      <c r="Y245">
        <f>IF($A245="","",Allocation!CF245)</f>
        <v>60752.845513</v>
      </c>
      <c r="Z245">
        <f>IF($A245="","",Allocation!CG245)</f>
        <v>25024</v>
      </c>
      <c r="AA245">
        <f>IF($A245="","",Allocation!CH245)</f>
        <v>394943.29320999997</v>
      </c>
      <c r="AB245">
        <f>IF($A245="","",Allocation!CI245)</f>
        <v>2894009.9927380001</v>
      </c>
      <c r="AC245">
        <f>IF($A245="","",IF(Allocation!$N$4="VOL_EFF",$G245,IF(Allocation!$N$4="VOL_CLASS",$H245,$I245)))</f>
        <v>2</v>
      </c>
      <c r="AD245">
        <f>IF($A245="","",IF(Allocation!$N$4="VOL_EFF",$L245,IF(Allocation!$N$4="VOL_CLASS",$M245,$N245)))</f>
        <v>6</v>
      </c>
      <c r="AE245">
        <f>IF($A245="","",IF(Allocation!$N$3="VOL_EFF",$L245,IF(Allocation!$N$3="VOL_CLASS",$M245,$N245)))</f>
        <v>161.51483300000001</v>
      </c>
      <c r="AF245">
        <f>IF($A245="","",IF(Allocation!$N$3="VOL_EFF",$Q245,IF(Allocation!$N$3="VOL_CLASS",$R245,$S245)))</f>
        <v>422.19391200000007</v>
      </c>
      <c r="AG245">
        <f>IF($A245="","",IF(Allocation!$N$1="VOL_EFF",$Q245,IF(Allocation!$N$1="VOL_CLASS",$R245,$S245)))</f>
        <v>422.19391200000007</v>
      </c>
      <c r="AH245">
        <f>IF($A245="","",IF(Allocation!$N$1="VOL_EFF",$T245,IF(Allocation!$N$1="VOL_CLASS",$U245,$V245)))</f>
        <v>3473.6699979999999</v>
      </c>
      <c r="AI245">
        <f t="shared" si="69"/>
        <v>27188.683095999997</v>
      </c>
      <c r="AJ245">
        <f t="shared" si="70"/>
        <v>58897.592045999991</v>
      </c>
      <c r="AK245">
        <f t="shared" si="71"/>
        <v>49490.227759204528</v>
      </c>
      <c r="AL245">
        <f t="shared" si="72"/>
        <v>131647.76440333331</v>
      </c>
      <c r="AM245">
        <f t="shared" si="73"/>
        <v>44854.149544673142</v>
      </c>
      <c r="AN245">
        <f t="shared" si="74"/>
        <v>153225.71363027586</v>
      </c>
      <c r="AO245">
        <f>IF($A245="","",Allocation!CJ245)</f>
        <v>777795.6</v>
      </c>
      <c r="AP245">
        <f>IF($A245="","",IF(Allocation!$N$2="VOL_EFF",$Q245,IF(Allocation!$N$2="VOL_CLASS",$R245,$S245)))</f>
        <v>2974593.5386670004</v>
      </c>
      <c r="AQ245">
        <f>IF($A245="","",IF(Allocation!$N$2="VOL_EFF",$T245,IF(Allocation!$N$2="VOL_CLASS",$U245,$V245)))</f>
        <v>26814168.474038001</v>
      </c>
      <c r="AR245">
        <f t="shared" si="75"/>
        <v>11002.920371513152</v>
      </c>
      <c r="AS245" t="str">
        <f>IF($A245="","",$A245&amp;"|"&amp;Allocation!BG245)</f>
        <v>2027|V02</v>
      </c>
    </row>
    <row r="246" spans="1:45" x14ac:dyDescent="0.45">
      <c r="A246" t="str">
        <f>IF(Allocation!BI246="","",Allocation!BI246)</f>
        <v>2027</v>
      </c>
      <c r="B246" t="str">
        <f>IF(Allocation!BJ246="","",Allocation!BJ246)</f>
        <v>IPAC_NAN</v>
      </c>
      <c r="C246" t="str">
        <f>IF(Allocation!BK246="","",Allocation!BK246)</f>
        <v>IPAC</v>
      </c>
      <c r="D246" t="str">
        <f>IF(Allocation!BL246="","",Allocation!BL246)</f>
        <v>BAC_CCE</v>
      </c>
      <c r="E246" t="str">
        <f>IF(Allocation!BM246="","",Allocation!BM246)</f>
        <v>B2</v>
      </c>
      <c r="F246" t="str">
        <f>IF(Allocation!BN246="","",Allocation!BN246)</f>
        <v>ALT</v>
      </c>
      <c r="G246">
        <f>IF(Allocation!BO246="","",Allocation!BO246)</f>
        <v>48.75</v>
      </c>
      <c r="H246">
        <f>IF(Allocation!BP246="","",Allocation!BP246)</f>
        <v>2</v>
      </c>
      <c r="I246">
        <f>IF(Allocation!BQ246="","",Allocation!BQ246)</f>
        <v>352596.5625</v>
      </c>
      <c r="J246">
        <f>IF(Allocation!CC246="","",Allocation!CC246)</f>
        <v>0</v>
      </c>
      <c r="K246">
        <f t="shared" si="57"/>
        <v>960</v>
      </c>
      <c r="L246">
        <f t="shared" si="58"/>
        <v>161.51483300000001</v>
      </c>
      <c r="M246">
        <f t="shared" si="59"/>
        <v>6</v>
      </c>
      <c r="N246">
        <f t="shared" si="60"/>
        <v>1174050.4433510001</v>
      </c>
      <c r="O246">
        <f t="shared" si="61"/>
        <v>2880</v>
      </c>
      <c r="P246">
        <f t="shared" si="62"/>
        <v>65.044832999999997</v>
      </c>
      <c r="Q246">
        <f t="shared" si="63"/>
        <v>422.19391200000007</v>
      </c>
      <c r="R246">
        <f t="shared" si="64"/>
        <v>18</v>
      </c>
      <c r="S246">
        <f t="shared" si="65"/>
        <v>2974593.5386670004</v>
      </c>
      <c r="T246">
        <f t="shared" si="66"/>
        <v>3473.6699979999999</v>
      </c>
      <c r="U246">
        <f t="shared" si="67"/>
        <v>135</v>
      </c>
      <c r="V246">
        <f t="shared" si="68"/>
        <v>26814168.474038001</v>
      </c>
      <c r="W246">
        <f>IF($A246="","",Allocation!CD246)</f>
        <v>81566.049287999995</v>
      </c>
      <c r="X246">
        <f>IF($A246="","",Allocation!CE246)</f>
        <v>176692.77613799999</v>
      </c>
      <c r="Y246">
        <f>IF($A246="","",Allocation!CF246)</f>
        <v>60752.845513</v>
      </c>
      <c r="Z246">
        <f>IF($A246="","",Allocation!CG246)</f>
        <v>25024</v>
      </c>
      <c r="AA246">
        <f>IF($A246="","",Allocation!CH246)</f>
        <v>394943.29320999997</v>
      </c>
      <c r="AB246">
        <f>IF($A246="","",Allocation!CI246)</f>
        <v>2894009.9927380001</v>
      </c>
      <c r="AC246">
        <f>IF($A246="","",IF(Allocation!$N$4="VOL_EFF",$G246,IF(Allocation!$N$4="VOL_CLASS",$H246,$I246)))</f>
        <v>2</v>
      </c>
      <c r="AD246">
        <f>IF($A246="","",IF(Allocation!$N$4="VOL_EFF",$L246,IF(Allocation!$N$4="VOL_CLASS",$M246,$N246)))</f>
        <v>6</v>
      </c>
      <c r="AE246">
        <f>IF($A246="","",IF(Allocation!$N$3="VOL_EFF",$L246,IF(Allocation!$N$3="VOL_CLASS",$M246,$N246)))</f>
        <v>161.51483300000001</v>
      </c>
      <c r="AF246">
        <f>IF($A246="","",IF(Allocation!$N$3="VOL_EFF",$Q246,IF(Allocation!$N$3="VOL_CLASS",$R246,$S246)))</f>
        <v>422.19391200000007</v>
      </c>
      <c r="AG246">
        <f>IF($A246="","",IF(Allocation!$N$1="VOL_EFF",$Q246,IF(Allocation!$N$1="VOL_CLASS",$R246,$S246)))</f>
        <v>422.19391200000007</v>
      </c>
      <c r="AH246">
        <f>IF($A246="","",IF(Allocation!$N$1="VOL_EFF",$T246,IF(Allocation!$N$1="VOL_CLASS",$U246,$V246)))</f>
        <v>3473.6699979999999</v>
      </c>
      <c r="AI246">
        <f t="shared" si="69"/>
        <v>27188.683095999997</v>
      </c>
      <c r="AJ246">
        <f t="shared" si="70"/>
        <v>58897.592045999991</v>
      </c>
      <c r="AK246">
        <f t="shared" si="71"/>
        <v>18337.023069322368</v>
      </c>
      <c r="AL246">
        <f t="shared" si="72"/>
        <v>131647.76440333331</v>
      </c>
      <c r="AM246">
        <f t="shared" si="73"/>
        <v>44854.149544673142</v>
      </c>
      <c r="AN246">
        <f t="shared" si="74"/>
        <v>60668.429969158024</v>
      </c>
      <c r="AO246">
        <f>IF($A246="","",Allocation!CJ246)</f>
        <v>777795.6</v>
      </c>
      <c r="AP246">
        <f>IF($A246="","",IF(Allocation!$N$2="VOL_EFF",$Q246,IF(Allocation!$N$2="VOL_CLASS",$R246,$S246)))</f>
        <v>2974593.5386670004</v>
      </c>
      <c r="AQ246">
        <f>IF($A246="","",IF(Allocation!$N$2="VOL_EFF",$T246,IF(Allocation!$N$2="VOL_CLASS",$U246,$V246)))</f>
        <v>26814168.474038001</v>
      </c>
      <c r="AR246">
        <f t="shared" si="75"/>
        <v>11002.920371513152</v>
      </c>
      <c r="AS246" t="str">
        <f>IF($A246="","",$A246&amp;"|"&amp;Allocation!BG246)</f>
        <v>2027|V02</v>
      </c>
    </row>
    <row r="247" spans="1:45" x14ac:dyDescent="0.45">
      <c r="A247" t="str">
        <f>IF(Allocation!BI247="","",Allocation!BI247)</f>
        <v>2027</v>
      </c>
      <c r="B247" t="str">
        <f>IF(Allocation!BJ247="","",Allocation!BJ247)</f>
        <v>IPAC_NAN</v>
      </c>
      <c r="C247" t="str">
        <f>IF(Allocation!BK247="","",Allocation!BK247)</f>
        <v>IPAC</v>
      </c>
      <c r="D247" t="str">
        <f>IF(Allocation!BL247="","",Allocation!BL247)</f>
        <v>BAC_CCE</v>
      </c>
      <c r="E247" t="str">
        <f>IF(Allocation!BM247="","",Allocation!BM247)</f>
        <v>B3</v>
      </c>
      <c r="F247" t="str">
        <f>IF(Allocation!BN247="","",Allocation!BN247)</f>
        <v>ALT</v>
      </c>
      <c r="G247">
        <f>IF(Allocation!BO247="","",Allocation!BO247)</f>
        <v>47.72</v>
      </c>
      <c r="H247">
        <f>IF(Allocation!BP247="","",Allocation!BP247)</f>
        <v>2</v>
      </c>
      <c r="I247">
        <f>IF(Allocation!BQ247="","",Allocation!BQ247)</f>
        <v>345146.83</v>
      </c>
      <c r="J247">
        <f>IF(Allocation!CC247="","",Allocation!CC247)</f>
        <v>0</v>
      </c>
      <c r="K247">
        <f t="shared" si="57"/>
        <v>960</v>
      </c>
      <c r="L247">
        <f t="shared" si="58"/>
        <v>161.51483300000001</v>
      </c>
      <c r="M247">
        <f t="shared" si="59"/>
        <v>6</v>
      </c>
      <c r="N247">
        <f t="shared" si="60"/>
        <v>1174050.4433510001</v>
      </c>
      <c r="O247">
        <f t="shared" si="61"/>
        <v>2880</v>
      </c>
      <c r="P247">
        <f t="shared" si="62"/>
        <v>65.044832999999997</v>
      </c>
      <c r="Q247">
        <f t="shared" si="63"/>
        <v>422.19391200000007</v>
      </c>
      <c r="R247">
        <f t="shared" si="64"/>
        <v>18</v>
      </c>
      <c r="S247">
        <f t="shared" si="65"/>
        <v>2974593.5386670004</v>
      </c>
      <c r="T247">
        <f t="shared" si="66"/>
        <v>3473.6699979999999</v>
      </c>
      <c r="U247">
        <f t="shared" si="67"/>
        <v>135</v>
      </c>
      <c r="V247">
        <f t="shared" si="68"/>
        <v>26814168.474038001</v>
      </c>
      <c r="W247">
        <f>IF($A247="","",Allocation!CD247)</f>
        <v>81566.049287999995</v>
      </c>
      <c r="X247">
        <f>IF($A247="","",Allocation!CE247)</f>
        <v>176692.77613799999</v>
      </c>
      <c r="Y247">
        <f>IF($A247="","",Allocation!CF247)</f>
        <v>60752.845513</v>
      </c>
      <c r="Z247">
        <f>IF($A247="","",Allocation!CG247)</f>
        <v>25024</v>
      </c>
      <c r="AA247">
        <f>IF($A247="","",Allocation!CH247)</f>
        <v>394943.29320999997</v>
      </c>
      <c r="AB247">
        <f>IF($A247="","",Allocation!CI247)</f>
        <v>2894009.9927380001</v>
      </c>
      <c r="AC247">
        <f>IF($A247="","",IF(Allocation!$N$4="VOL_EFF",$G247,IF(Allocation!$N$4="VOL_CLASS",$H247,$I247)))</f>
        <v>2</v>
      </c>
      <c r="AD247">
        <f>IF($A247="","",IF(Allocation!$N$4="VOL_EFF",$L247,IF(Allocation!$N$4="VOL_CLASS",$M247,$N247)))</f>
        <v>6</v>
      </c>
      <c r="AE247">
        <f>IF($A247="","",IF(Allocation!$N$3="VOL_EFF",$L247,IF(Allocation!$N$3="VOL_CLASS",$M247,$N247)))</f>
        <v>161.51483300000001</v>
      </c>
      <c r="AF247">
        <f>IF($A247="","",IF(Allocation!$N$3="VOL_EFF",$Q247,IF(Allocation!$N$3="VOL_CLASS",$R247,$S247)))</f>
        <v>422.19391200000007</v>
      </c>
      <c r="AG247">
        <f>IF($A247="","",IF(Allocation!$N$1="VOL_EFF",$Q247,IF(Allocation!$N$1="VOL_CLASS",$R247,$S247)))</f>
        <v>422.19391200000007</v>
      </c>
      <c r="AH247">
        <f>IF($A247="","",IF(Allocation!$N$1="VOL_EFF",$T247,IF(Allocation!$N$1="VOL_CLASS",$U247,$V247)))</f>
        <v>3473.6699979999999</v>
      </c>
      <c r="AI247">
        <f t="shared" si="69"/>
        <v>27188.683095999997</v>
      </c>
      <c r="AJ247">
        <f t="shared" si="70"/>
        <v>58897.592045999991</v>
      </c>
      <c r="AK247">
        <f t="shared" si="71"/>
        <v>17949.594684473097</v>
      </c>
      <c r="AL247">
        <f t="shared" si="72"/>
        <v>131647.76440333331</v>
      </c>
      <c r="AM247">
        <f t="shared" si="73"/>
        <v>44854.149544673142</v>
      </c>
      <c r="AN247">
        <f t="shared" si="74"/>
        <v>53606.125854007318</v>
      </c>
      <c r="AO247">
        <f>IF($A247="","",Allocation!CJ247)</f>
        <v>777795.6</v>
      </c>
      <c r="AP247">
        <f>IF($A247="","",IF(Allocation!$N$2="VOL_EFF",$Q247,IF(Allocation!$N$2="VOL_CLASS",$R247,$S247)))</f>
        <v>2974593.5386670004</v>
      </c>
      <c r="AQ247">
        <f>IF($A247="","",IF(Allocation!$N$2="VOL_EFF",$T247,IF(Allocation!$N$2="VOL_CLASS",$U247,$V247)))</f>
        <v>26814168.474038001</v>
      </c>
      <c r="AR247">
        <f t="shared" si="75"/>
        <v>11002.920371513152</v>
      </c>
      <c r="AS247" t="str">
        <f>IF($A247="","",$A247&amp;"|"&amp;Allocation!BG247)</f>
        <v>2027|V02</v>
      </c>
    </row>
    <row r="248" spans="1:45" x14ac:dyDescent="0.45">
      <c r="A248" t="str">
        <f>IF(Allocation!BI248="","",Allocation!BI248)</f>
        <v>2027</v>
      </c>
      <c r="B248" t="str">
        <f>IF(Allocation!BJ248="","",Allocation!BJ248)</f>
        <v>IPAC_REN</v>
      </c>
      <c r="C248" t="str">
        <f>IF(Allocation!BK248="","",Allocation!BK248)</f>
        <v>IPAC</v>
      </c>
      <c r="D248" t="str">
        <f>IF(Allocation!BL248="","",Allocation!BL248)</f>
        <v>BAC_CCE</v>
      </c>
      <c r="E248" t="str">
        <f>IF(Allocation!BM248="","",Allocation!BM248)</f>
        <v>B1</v>
      </c>
      <c r="F248" t="str">
        <f>IF(Allocation!BN248="","",Allocation!BN248)</f>
        <v>ALT</v>
      </c>
      <c r="G248">
        <f>IF(Allocation!BO248="","",Allocation!BO248)</f>
        <v>52.139290000000003</v>
      </c>
      <c r="H248">
        <f>IF(Allocation!BP248="","",Allocation!BP248)</f>
        <v>2</v>
      </c>
      <c r="I248">
        <f>IF(Allocation!BQ248="","",Allocation!BQ248)</f>
        <v>362947.46335999999</v>
      </c>
      <c r="J248">
        <f>IF(Allocation!CC248="","",Allocation!CC248)</f>
        <v>52.139290000000003</v>
      </c>
      <c r="K248">
        <f t="shared" si="57"/>
        <v>960</v>
      </c>
      <c r="L248">
        <f t="shared" si="58"/>
        <v>130.32429000000002</v>
      </c>
      <c r="M248">
        <f t="shared" si="59"/>
        <v>6</v>
      </c>
      <c r="N248">
        <f t="shared" si="60"/>
        <v>900165.39417300001</v>
      </c>
      <c r="O248">
        <f t="shared" si="61"/>
        <v>2880</v>
      </c>
      <c r="P248">
        <f t="shared" si="62"/>
        <v>52.139290000000003</v>
      </c>
      <c r="Q248">
        <f t="shared" si="63"/>
        <v>422.19391200000007</v>
      </c>
      <c r="R248">
        <f t="shared" si="64"/>
        <v>18</v>
      </c>
      <c r="S248">
        <f t="shared" si="65"/>
        <v>2974593.5386670004</v>
      </c>
      <c r="T248">
        <f t="shared" si="66"/>
        <v>3473.6699979999999</v>
      </c>
      <c r="U248">
        <f t="shared" si="67"/>
        <v>135</v>
      </c>
      <c r="V248">
        <f t="shared" si="68"/>
        <v>26814168.474038001</v>
      </c>
      <c r="W248">
        <f>IF($A248="","",Allocation!CD248)</f>
        <v>81566.049287999995</v>
      </c>
      <c r="X248">
        <f>IF($A248="","",Allocation!CE248)</f>
        <v>143058.762678</v>
      </c>
      <c r="Y248">
        <f>IF($A248="","",Allocation!CF248)</f>
        <v>49020.927630999999</v>
      </c>
      <c r="Z248">
        <f>IF($A248="","",Allocation!CG248)</f>
        <v>17172.95</v>
      </c>
      <c r="AA248">
        <f>IF($A248="","",Allocation!CH248)</f>
        <v>277265.50235999998</v>
      </c>
      <c r="AB248">
        <f>IF($A248="","",Allocation!CI248)</f>
        <v>2894009.9927380001</v>
      </c>
      <c r="AC248">
        <f>IF($A248="","",IF(Allocation!$N$4="VOL_EFF",$G248,IF(Allocation!$N$4="VOL_CLASS",$H248,$I248)))</f>
        <v>2</v>
      </c>
      <c r="AD248">
        <f>IF($A248="","",IF(Allocation!$N$4="VOL_EFF",$L248,IF(Allocation!$N$4="VOL_CLASS",$M248,$N248)))</f>
        <v>6</v>
      </c>
      <c r="AE248">
        <f>IF($A248="","",IF(Allocation!$N$3="VOL_EFF",$L248,IF(Allocation!$N$3="VOL_CLASS",$M248,$N248)))</f>
        <v>130.32429000000002</v>
      </c>
      <c r="AF248">
        <f>IF($A248="","",IF(Allocation!$N$3="VOL_EFF",$Q248,IF(Allocation!$N$3="VOL_CLASS",$R248,$S248)))</f>
        <v>422.19391200000007</v>
      </c>
      <c r="AG248">
        <f>IF($A248="","",IF(Allocation!$N$1="VOL_EFF",$Q248,IF(Allocation!$N$1="VOL_CLASS",$R248,$S248)))</f>
        <v>422.19391200000007</v>
      </c>
      <c r="AH248">
        <f>IF($A248="","",IF(Allocation!$N$1="VOL_EFF",$T248,IF(Allocation!$N$1="VOL_CLASS",$U248,$V248)))</f>
        <v>3473.6699979999999</v>
      </c>
      <c r="AI248">
        <f t="shared" si="69"/>
        <v>27188.683095999997</v>
      </c>
      <c r="AJ248">
        <f t="shared" si="70"/>
        <v>47686.254225999997</v>
      </c>
      <c r="AK248">
        <f t="shared" si="71"/>
        <v>36784.922271797695</v>
      </c>
      <c r="AL248">
        <f t="shared" si="72"/>
        <v>92421.834119999985</v>
      </c>
      <c r="AM248">
        <f t="shared" si="73"/>
        <v>36192.249865765276</v>
      </c>
      <c r="AN248">
        <f t="shared" si="74"/>
        <v>113795.40153761295</v>
      </c>
      <c r="AO248">
        <f>IF($A248="","",Allocation!CJ248)</f>
        <v>777795.6</v>
      </c>
      <c r="AP248">
        <f>IF($A248="","",IF(Allocation!$N$2="VOL_EFF",$Q248,IF(Allocation!$N$2="VOL_CLASS",$R248,$S248)))</f>
        <v>2974593.5386670004</v>
      </c>
      <c r="AQ248">
        <f>IF($A248="","",IF(Allocation!$N$2="VOL_EFF",$T248,IF(Allocation!$N$2="VOL_CLASS",$U248,$V248)))</f>
        <v>26814168.474038001</v>
      </c>
      <c r="AR248">
        <f t="shared" si="75"/>
        <v>8878.1182428240973</v>
      </c>
      <c r="AS248" t="str">
        <f>IF($A248="","",$A248&amp;"|"&amp;Allocation!BG248)</f>
        <v>2027|V02</v>
      </c>
    </row>
    <row r="249" spans="1:45" x14ac:dyDescent="0.45">
      <c r="A249" t="str">
        <f>IF(Allocation!BI249="","",Allocation!BI249)</f>
        <v>2027</v>
      </c>
      <c r="B249" t="str">
        <f>IF(Allocation!BJ249="","",Allocation!BJ249)</f>
        <v>IPAC_REN</v>
      </c>
      <c r="C249" t="str">
        <f>IF(Allocation!BK249="","",Allocation!BK249)</f>
        <v>IPAC</v>
      </c>
      <c r="D249" t="str">
        <f>IF(Allocation!BL249="","",Allocation!BL249)</f>
        <v>BAC_CCE</v>
      </c>
      <c r="E249" t="str">
        <f>IF(Allocation!BM249="","",Allocation!BM249)</f>
        <v>B2</v>
      </c>
      <c r="F249" t="str">
        <f>IF(Allocation!BN249="","",Allocation!BN249)</f>
        <v>ALT</v>
      </c>
      <c r="G249">
        <f>IF(Allocation!BO249="","",Allocation!BO249)</f>
        <v>39.6</v>
      </c>
      <c r="H249">
        <f>IF(Allocation!BP249="","",Allocation!BP249)</f>
        <v>2</v>
      </c>
      <c r="I249">
        <f>IF(Allocation!BQ249="","",Allocation!BQ249)</f>
        <v>272096.05499999999</v>
      </c>
      <c r="J249">
        <f>IF(Allocation!CC249="","",Allocation!CC249)</f>
        <v>0</v>
      </c>
      <c r="K249">
        <f t="shared" si="57"/>
        <v>960</v>
      </c>
      <c r="L249">
        <f t="shared" si="58"/>
        <v>130.32429000000002</v>
      </c>
      <c r="M249">
        <f t="shared" si="59"/>
        <v>6</v>
      </c>
      <c r="N249">
        <f t="shared" si="60"/>
        <v>900165.39417300001</v>
      </c>
      <c r="O249">
        <f t="shared" si="61"/>
        <v>2880</v>
      </c>
      <c r="P249">
        <f t="shared" si="62"/>
        <v>52.139290000000003</v>
      </c>
      <c r="Q249">
        <f t="shared" si="63"/>
        <v>422.19391200000007</v>
      </c>
      <c r="R249">
        <f t="shared" si="64"/>
        <v>18</v>
      </c>
      <c r="S249">
        <f t="shared" si="65"/>
        <v>2974593.5386670004</v>
      </c>
      <c r="T249">
        <f t="shared" si="66"/>
        <v>3473.6699979999999</v>
      </c>
      <c r="U249">
        <f t="shared" si="67"/>
        <v>135</v>
      </c>
      <c r="V249">
        <f t="shared" si="68"/>
        <v>26814168.474038001</v>
      </c>
      <c r="W249">
        <f>IF($A249="","",Allocation!CD249)</f>
        <v>81566.049287999995</v>
      </c>
      <c r="X249">
        <f>IF($A249="","",Allocation!CE249)</f>
        <v>143058.762678</v>
      </c>
      <c r="Y249">
        <f>IF($A249="","",Allocation!CF249)</f>
        <v>49020.927630999999</v>
      </c>
      <c r="Z249">
        <f>IF($A249="","",Allocation!CG249)</f>
        <v>17172.95</v>
      </c>
      <c r="AA249">
        <f>IF($A249="","",Allocation!CH249)</f>
        <v>277265.50235999998</v>
      </c>
      <c r="AB249">
        <f>IF($A249="","",Allocation!CI249)</f>
        <v>2894009.9927380001</v>
      </c>
      <c r="AC249">
        <f>IF($A249="","",IF(Allocation!$N$4="VOL_EFF",$G249,IF(Allocation!$N$4="VOL_CLASS",$H249,$I249)))</f>
        <v>2</v>
      </c>
      <c r="AD249">
        <f>IF($A249="","",IF(Allocation!$N$4="VOL_EFF",$L249,IF(Allocation!$N$4="VOL_CLASS",$M249,$N249)))</f>
        <v>6</v>
      </c>
      <c r="AE249">
        <f>IF($A249="","",IF(Allocation!$N$3="VOL_EFF",$L249,IF(Allocation!$N$3="VOL_CLASS",$M249,$N249)))</f>
        <v>130.32429000000002</v>
      </c>
      <c r="AF249">
        <f>IF($A249="","",IF(Allocation!$N$3="VOL_EFF",$Q249,IF(Allocation!$N$3="VOL_CLASS",$R249,$S249)))</f>
        <v>422.19391200000007</v>
      </c>
      <c r="AG249">
        <f>IF($A249="","",IF(Allocation!$N$1="VOL_EFF",$Q249,IF(Allocation!$N$1="VOL_CLASS",$R249,$S249)))</f>
        <v>422.19391200000007</v>
      </c>
      <c r="AH249">
        <f>IF($A249="","",IF(Allocation!$N$1="VOL_EFF",$T249,IF(Allocation!$N$1="VOL_CLASS",$U249,$V249)))</f>
        <v>3473.6699979999999</v>
      </c>
      <c r="AI249">
        <f t="shared" si="69"/>
        <v>27188.683095999997</v>
      </c>
      <c r="AJ249">
        <f t="shared" si="70"/>
        <v>47686.254225999997</v>
      </c>
      <c r="AK249">
        <f t="shared" si="71"/>
        <v>14895.371647047528</v>
      </c>
      <c r="AL249">
        <f t="shared" si="72"/>
        <v>92421.834119999985</v>
      </c>
      <c r="AM249">
        <f t="shared" si="73"/>
        <v>36192.249865765276</v>
      </c>
      <c r="AN249">
        <f t="shared" si="74"/>
        <v>44833.5438023631</v>
      </c>
      <c r="AO249">
        <f>IF($A249="","",Allocation!CJ249)</f>
        <v>777795.6</v>
      </c>
      <c r="AP249">
        <f>IF($A249="","",IF(Allocation!$N$2="VOL_EFF",$Q249,IF(Allocation!$N$2="VOL_CLASS",$R249,$S249)))</f>
        <v>2974593.5386670004</v>
      </c>
      <c r="AQ249">
        <f>IF($A249="","",IF(Allocation!$N$2="VOL_EFF",$T249,IF(Allocation!$N$2="VOL_CLASS",$U249,$V249)))</f>
        <v>26814168.474038001</v>
      </c>
      <c r="AR249">
        <f t="shared" si="75"/>
        <v>8878.1182428240973</v>
      </c>
      <c r="AS249" t="str">
        <f>IF($A249="","",$A249&amp;"|"&amp;Allocation!BG249)</f>
        <v>2027|V02</v>
      </c>
    </row>
    <row r="250" spans="1:45" x14ac:dyDescent="0.45">
      <c r="A250" t="str">
        <f>IF(Allocation!BI250="","",Allocation!BI250)</f>
        <v>2027</v>
      </c>
      <c r="B250" t="str">
        <f>IF(Allocation!BJ250="","",Allocation!BJ250)</f>
        <v>IPAC_REN</v>
      </c>
      <c r="C250" t="str">
        <f>IF(Allocation!BK250="","",Allocation!BK250)</f>
        <v>IPAC</v>
      </c>
      <c r="D250" t="str">
        <f>IF(Allocation!BL250="","",Allocation!BL250)</f>
        <v>BAC_CCE</v>
      </c>
      <c r="E250" t="str">
        <f>IF(Allocation!BM250="","",Allocation!BM250)</f>
        <v>B3</v>
      </c>
      <c r="F250" t="str">
        <f>IF(Allocation!BN250="","",Allocation!BN250)</f>
        <v>ALT</v>
      </c>
      <c r="G250">
        <f>IF(Allocation!BO250="","",Allocation!BO250)</f>
        <v>38.585000000000001</v>
      </c>
      <c r="H250">
        <f>IF(Allocation!BP250="","",Allocation!BP250)</f>
        <v>2</v>
      </c>
      <c r="I250">
        <f>IF(Allocation!BQ250="","",Allocation!BQ250)</f>
        <v>265121.87581300002</v>
      </c>
      <c r="J250">
        <f>IF(Allocation!CC250="","",Allocation!CC250)</f>
        <v>0</v>
      </c>
      <c r="K250">
        <f t="shared" si="57"/>
        <v>960</v>
      </c>
      <c r="L250">
        <f t="shared" si="58"/>
        <v>130.32429000000002</v>
      </c>
      <c r="M250">
        <f t="shared" si="59"/>
        <v>6</v>
      </c>
      <c r="N250">
        <f t="shared" si="60"/>
        <v>900165.39417300001</v>
      </c>
      <c r="O250">
        <f t="shared" si="61"/>
        <v>2880</v>
      </c>
      <c r="P250">
        <f t="shared" si="62"/>
        <v>52.139290000000003</v>
      </c>
      <c r="Q250">
        <f t="shared" si="63"/>
        <v>422.19391200000007</v>
      </c>
      <c r="R250">
        <f t="shared" si="64"/>
        <v>18</v>
      </c>
      <c r="S250">
        <f t="shared" si="65"/>
        <v>2974593.5386670004</v>
      </c>
      <c r="T250">
        <f t="shared" si="66"/>
        <v>3473.6699979999999</v>
      </c>
      <c r="U250">
        <f t="shared" si="67"/>
        <v>135</v>
      </c>
      <c r="V250">
        <f t="shared" si="68"/>
        <v>26814168.474038001</v>
      </c>
      <c r="W250">
        <f>IF($A250="","",Allocation!CD250)</f>
        <v>81566.049287999995</v>
      </c>
      <c r="X250">
        <f>IF($A250="","",Allocation!CE250)</f>
        <v>143058.762678</v>
      </c>
      <c r="Y250">
        <f>IF($A250="","",Allocation!CF250)</f>
        <v>49020.927630999999</v>
      </c>
      <c r="Z250">
        <f>IF($A250="","",Allocation!CG250)</f>
        <v>17172.95</v>
      </c>
      <c r="AA250">
        <f>IF($A250="","",Allocation!CH250)</f>
        <v>277265.50235999998</v>
      </c>
      <c r="AB250">
        <f>IF($A250="","",Allocation!CI250)</f>
        <v>2894009.9927380001</v>
      </c>
      <c r="AC250">
        <f>IF($A250="","",IF(Allocation!$N$4="VOL_EFF",$G250,IF(Allocation!$N$4="VOL_CLASS",$H250,$I250)))</f>
        <v>2</v>
      </c>
      <c r="AD250">
        <f>IF($A250="","",IF(Allocation!$N$4="VOL_EFF",$L250,IF(Allocation!$N$4="VOL_CLASS",$M250,$N250)))</f>
        <v>6</v>
      </c>
      <c r="AE250">
        <f>IF($A250="","",IF(Allocation!$N$3="VOL_EFF",$L250,IF(Allocation!$N$3="VOL_CLASS",$M250,$N250)))</f>
        <v>130.32429000000002</v>
      </c>
      <c r="AF250">
        <f>IF($A250="","",IF(Allocation!$N$3="VOL_EFF",$Q250,IF(Allocation!$N$3="VOL_CLASS",$R250,$S250)))</f>
        <v>422.19391200000007</v>
      </c>
      <c r="AG250">
        <f>IF($A250="","",IF(Allocation!$N$1="VOL_EFF",$Q250,IF(Allocation!$N$1="VOL_CLASS",$R250,$S250)))</f>
        <v>422.19391200000007</v>
      </c>
      <c r="AH250">
        <f>IF($A250="","",IF(Allocation!$N$1="VOL_EFF",$T250,IF(Allocation!$N$1="VOL_CLASS",$U250,$V250)))</f>
        <v>3473.6699979999999</v>
      </c>
      <c r="AI250">
        <f t="shared" si="69"/>
        <v>27188.683095999997</v>
      </c>
      <c r="AJ250">
        <f t="shared" si="70"/>
        <v>47686.254225999997</v>
      </c>
      <c r="AK250">
        <f t="shared" si="71"/>
        <v>14513.58371215477</v>
      </c>
      <c r="AL250">
        <f t="shared" si="72"/>
        <v>92421.834119999985</v>
      </c>
      <c r="AM250">
        <f t="shared" si="73"/>
        <v>36192.249865765276</v>
      </c>
      <c r="AN250">
        <f t="shared" si="74"/>
        <v>38241.15255025588</v>
      </c>
      <c r="AO250">
        <f>IF($A250="","",Allocation!CJ250)</f>
        <v>777795.6</v>
      </c>
      <c r="AP250">
        <f>IF($A250="","",IF(Allocation!$N$2="VOL_EFF",$Q250,IF(Allocation!$N$2="VOL_CLASS",$R250,$S250)))</f>
        <v>2974593.5386670004</v>
      </c>
      <c r="AQ250">
        <f>IF($A250="","",IF(Allocation!$N$2="VOL_EFF",$T250,IF(Allocation!$N$2="VOL_CLASS",$U250,$V250)))</f>
        <v>26814168.474038001</v>
      </c>
      <c r="AR250">
        <f t="shared" si="75"/>
        <v>8878.1182428240973</v>
      </c>
      <c r="AS250" t="str">
        <f>IF($A250="","",$A250&amp;"|"&amp;Allocation!BG250)</f>
        <v>2027|V02</v>
      </c>
    </row>
    <row r="251" spans="1:45" x14ac:dyDescent="0.45">
      <c r="A251" t="str">
        <f>IF(Allocation!BI251="","",Allocation!BI251)</f>
        <v>2027</v>
      </c>
      <c r="B251" t="str">
        <f>IF(Allocation!BJ251="","",Allocation!BJ251)</f>
        <v>ISCOM_LIL</v>
      </c>
      <c r="C251" t="str">
        <f>IF(Allocation!BK251="","",Allocation!BK251)</f>
        <v>ISCOM</v>
      </c>
      <c r="D251" t="str">
        <f>IF(Allocation!BL251="","",Allocation!BL251)</f>
        <v>BAC_COM</v>
      </c>
      <c r="E251" t="str">
        <f>IF(Allocation!BM251="","",Allocation!BM251)</f>
        <v>B1</v>
      </c>
      <c r="F251" t="str">
        <f>IF(Allocation!BN251="","",Allocation!BN251)</f>
        <v>INIT</v>
      </c>
      <c r="G251">
        <f>IF(Allocation!BO251="","",Allocation!BO251)</f>
        <v>61.251994000000003</v>
      </c>
      <c r="H251">
        <f>IF(Allocation!BP251="","",Allocation!BP251)</f>
        <v>2</v>
      </c>
      <c r="I251">
        <f>IF(Allocation!BQ251="","",Allocation!BQ251)</f>
        <v>473835.47213499999</v>
      </c>
      <c r="J251">
        <f>IF(Allocation!CC251="","",Allocation!CC251)</f>
        <v>61.251994000000003</v>
      </c>
      <c r="K251">
        <f t="shared" si="57"/>
        <v>1200</v>
      </c>
      <c r="L251">
        <f t="shared" si="58"/>
        <v>272.19025799999997</v>
      </c>
      <c r="M251">
        <f t="shared" si="59"/>
        <v>10</v>
      </c>
      <c r="N251">
        <f t="shared" si="60"/>
        <v>2043286.8753960002</v>
      </c>
      <c r="O251">
        <f t="shared" si="61"/>
        <v>4800</v>
      </c>
      <c r="P251">
        <f t="shared" si="62"/>
        <v>125.970258</v>
      </c>
      <c r="Q251">
        <f t="shared" si="63"/>
        <v>923.4341350000002</v>
      </c>
      <c r="R251">
        <f t="shared" si="64"/>
        <v>35</v>
      </c>
      <c r="S251">
        <f t="shared" si="65"/>
        <v>7310915.4392070007</v>
      </c>
      <c r="T251">
        <f t="shared" si="66"/>
        <v>3473.6699979999999</v>
      </c>
      <c r="U251">
        <f t="shared" si="67"/>
        <v>135</v>
      </c>
      <c r="V251">
        <f t="shared" si="68"/>
        <v>26814168.474038001</v>
      </c>
      <c r="W251">
        <f>IF($A251="","",Allocation!CD251)</f>
        <v>135942.289468</v>
      </c>
      <c r="X251">
        <f>IF($A251="","",Allocation!CE251)</f>
        <v>299073.43000200001</v>
      </c>
      <c r="Y251">
        <f>IF($A251="","",Allocation!CF251)</f>
        <v>102231.745505</v>
      </c>
      <c r="Z251">
        <f>IF($A251="","",Allocation!CG251)</f>
        <v>29003</v>
      </c>
      <c r="AA251">
        <f>IF($A251="","",Allocation!CH251)</f>
        <v>672932.90186400001</v>
      </c>
      <c r="AB251">
        <f>IF($A251="","",Allocation!CI251)</f>
        <v>2894009.9927380001</v>
      </c>
      <c r="AC251">
        <f>IF($A251="","",IF(Allocation!$N$4="VOL_EFF",$G251,IF(Allocation!$N$4="VOL_CLASS",$H251,$I251)))</f>
        <v>2</v>
      </c>
      <c r="AD251">
        <f>IF($A251="","",IF(Allocation!$N$4="VOL_EFF",$L251,IF(Allocation!$N$4="VOL_CLASS",$M251,$N251)))</f>
        <v>10</v>
      </c>
      <c r="AE251">
        <f>IF($A251="","",IF(Allocation!$N$3="VOL_EFF",$L251,IF(Allocation!$N$3="VOL_CLASS",$M251,$N251)))</f>
        <v>272.19025799999997</v>
      </c>
      <c r="AF251">
        <f>IF($A251="","",IF(Allocation!$N$3="VOL_EFF",$Q251,IF(Allocation!$N$3="VOL_CLASS",$R251,$S251)))</f>
        <v>923.4341350000002</v>
      </c>
      <c r="AG251">
        <f>IF($A251="","",IF(Allocation!$N$1="VOL_EFF",$Q251,IF(Allocation!$N$1="VOL_CLASS",$R251,$S251)))</f>
        <v>923.4341350000002</v>
      </c>
      <c r="AH251">
        <f>IF($A251="","",IF(Allocation!$N$1="VOL_EFF",$T251,IF(Allocation!$N$1="VOL_CLASS",$U251,$V251)))</f>
        <v>3473.6699979999999</v>
      </c>
      <c r="AI251">
        <f t="shared" si="69"/>
        <v>33985.572367000001</v>
      </c>
      <c r="AJ251">
        <f t="shared" si="70"/>
        <v>74768.357500500002</v>
      </c>
      <c r="AK251">
        <f t="shared" si="71"/>
        <v>37108.061276681998</v>
      </c>
      <c r="AL251">
        <f t="shared" si="72"/>
        <v>134586.5803728</v>
      </c>
      <c r="AM251">
        <f t="shared" si="73"/>
        <v>45353.837700845084</v>
      </c>
      <c r="AN251">
        <f t="shared" si="74"/>
        <v>135531.34896912426</v>
      </c>
      <c r="AO251">
        <f>IF($A251="","",Allocation!CJ251)</f>
        <v>777795.6</v>
      </c>
      <c r="AP251">
        <f>IF($A251="","",IF(Allocation!$N$2="VOL_EFF",$Q251,IF(Allocation!$N$2="VOL_CLASS",$R251,$S251)))</f>
        <v>7310915.4392070007</v>
      </c>
      <c r="AQ251">
        <f>IF($A251="","",IF(Allocation!$N$2="VOL_EFF",$T251,IF(Allocation!$N$2="VOL_CLASS",$U251,$V251)))</f>
        <v>26814168.474038001</v>
      </c>
      <c r="AR251">
        <f t="shared" si="75"/>
        <v>12501.713948048651</v>
      </c>
      <c r="AS251" t="str">
        <f>IF($A251="","",$A251&amp;"|"&amp;Allocation!BG251)</f>
        <v>2027|V02</v>
      </c>
    </row>
    <row r="252" spans="1:45" x14ac:dyDescent="0.45">
      <c r="A252" t="str">
        <f>IF(Allocation!BI252="","",Allocation!BI252)</f>
        <v>2027</v>
      </c>
      <c r="B252" t="str">
        <f>IF(Allocation!BJ252="","",Allocation!BJ252)</f>
        <v>ISCOM_LIL</v>
      </c>
      <c r="C252" t="str">
        <f>IF(Allocation!BK252="","",Allocation!BK252)</f>
        <v>ISCOM</v>
      </c>
      <c r="D252" t="str">
        <f>IF(Allocation!BL252="","",Allocation!BL252)</f>
        <v>BAC_COM</v>
      </c>
      <c r="E252" t="str">
        <f>IF(Allocation!BM252="","",Allocation!BM252)</f>
        <v>B2</v>
      </c>
      <c r="F252" t="str">
        <f>IF(Allocation!BN252="","",Allocation!BN252)</f>
        <v>ALT</v>
      </c>
      <c r="G252">
        <f>IF(Allocation!BO252="","",Allocation!BO252)</f>
        <v>48.75</v>
      </c>
      <c r="H252">
        <f>IF(Allocation!BP252="","",Allocation!BP252)</f>
        <v>2</v>
      </c>
      <c r="I252">
        <f>IF(Allocation!BQ252="","",Allocation!BQ252)</f>
        <v>347885.60625000001</v>
      </c>
      <c r="J252">
        <f>IF(Allocation!CC252="","",Allocation!CC252)</f>
        <v>0</v>
      </c>
      <c r="K252">
        <f t="shared" si="57"/>
        <v>960</v>
      </c>
      <c r="L252">
        <f t="shared" si="58"/>
        <v>272.19025799999997</v>
      </c>
      <c r="M252">
        <f t="shared" si="59"/>
        <v>10</v>
      </c>
      <c r="N252">
        <f t="shared" si="60"/>
        <v>2043286.8753960002</v>
      </c>
      <c r="O252">
        <f t="shared" si="61"/>
        <v>4800</v>
      </c>
      <c r="P252">
        <f t="shared" si="62"/>
        <v>125.970258</v>
      </c>
      <c r="Q252">
        <f t="shared" si="63"/>
        <v>923.4341350000002</v>
      </c>
      <c r="R252">
        <f t="shared" si="64"/>
        <v>35</v>
      </c>
      <c r="S252">
        <f t="shared" si="65"/>
        <v>7310915.4392070007</v>
      </c>
      <c r="T252">
        <f t="shared" si="66"/>
        <v>3473.6699979999999</v>
      </c>
      <c r="U252">
        <f t="shared" si="67"/>
        <v>135</v>
      </c>
      <c r="V252">
        <f t="shared" si="68"/>
        <v>26814168.474038001</v>
      </c>
      <c r="W252">
        <f>IF($A252="","",Allocation!CD252)</f>
        <v>135942.289468</v>
      </c>
      <c r="X252">
        <f>IF($A252="","",Allocation!CE252)</f>
        <v>299073.43000200001</v>
      </c>
      <c r="Y252">
        <f>IF($A252="","",Allocation!CF252)</f>
        <v>102231.745505</v>
      </c>
      <c r="Z252">
        <f>IF($A252="","",Allocation!CG252)</f>
        <v>29003</v>
      </c>
      <c r="AA252">
        <f>IF($A252="","",Allocation!CH252)</f>
        <v>672932.90186400001</v>
      </c>
      <c r="AB252">
        <f>IF($A252="","",Allocation!CI252)</f>
        <v>2894009.9927380001</v>
      </c>
      <c r="AC252">
        <f>IF($A252="","",IF(Allocation!$N$4="VOL_EFF",$G252,IF(Allocation!$N$4="VOL_CLASS",$H252,$I252)))</f>
        <v>2</v>
      </c>
      <c r="AD252">
        <f>IF($A252="","",IF(Allocation!$N$4="VOL_EFF",$L252,IF(Allocation!$N$4="VOL_CLASS",$M252,$N252)))</f>
        <v>10</v>
      </c>
      <c r="AE252">
        <f>IF($A252="","",IF(Allocation!$N$3="VOL_EFF",$L252,IF(Allocation!$N$3="VOL_CLASS",$M252,$N252)))</f>
        <v>272.19025799999997</v>
      </c>
      <c r="AF252">
        <f>IF($A252="","",IF(Allocation!$N$3="VOL_EFF",$Q252,IF(Allocation!$N$3="VOL_CLASS",$R252,$S252)))</f>
        <v>923.4341350000002</v>
      </c>
      <c r="AG252">
        <f>IF($A252="","",IF(Allocation!$N$1="VOL_EFF",$Q252,IF(Allocation!$N$1="VOL_CLASS",$R252,$S252)))</f>
        <v>923.4341350000002</v>
      </c>
      <c r="AH252">
        <f>IF($A252="","",IF(Allocation!$N$1="VOL_EFF",$T252,IF(Allocation!$N$1="VOL_CLASS",$U252,$V252)))</f>
        <v>3473.6699979999999</v>
      </c>
      <c r="AI252">
        <f t="shared" si="69"/>
        <v>27188.457893600003</v>
      </c>
      <c r="AJ252">
        <f t="shared" si="70"/>
        <v>59814.686000400005</v>
      </c>
      <c r="AK252">
        <f t="shared" si="71"/>
        <v>18309.977844132653</v>
      </c>
      <c r="AL252">
        <f t="shared" si="72"/>
        <v>134586.5803728</v>
      </c>
      <c r="AM252">
        <f t="shared" si="73"/>
        <v>45353.837700845084</v>
      </c>
      <c r="AN252">
        <f t="shared" si="74"/>
        <v>50130.352490173595</v>
      </c>
      <c r="AO252">
        <f>IF($A252="","",Allocation!CJ252)</f>
        <v>777795.6</v>
      </c>
      <c r="AP252">
        <f>IF($A252="","",IF(Allocation!$N$2="VOL_EFF",$Q252,IF(Allocation!$N$2="VOL_CLASS",$R252,$S252)))</f>
        <v>7310915.4392070007</v>
      </c>
      <c r="AQ252">
        <f>IF($A252="","",IF(Allocation!$N$2="VOL_EFF",$T252,IF(Allocation!$N$2="VOL_CLASS",$U252,$V252)))</f>
        <v>26814168.474038001</v>
      </c>
      <c r="AR252">
        <f t="shared" si="75"/>
        <v>12501.713948048651</v>
      </c>
      <c r="AS252" t="str">
        <f>IF($A252="","",$A252&amp;"|"&amp;Allocation!BG252)</f>
        <v>2027|V02</v>
      </c>
    </row>
    <row r="253" spans="1:45" x14ac:dyDescent="0.45">
      <c r="A253" t="str">
        <f>IF(Allocation!BI253="","",Allocation!BI253)</f>
        <v>2027</v>
      </c>
      <c r="B253" t="str">
        <f>IF(Allocation!BJ253="","",Allocation!BJ253)</f>
        <v>ISCOM_LIL</v>
      </c>
      <c r="C253" t="str">
        <f>IF(Allocation!BK253="","",Allocation!BK253)</f>
        <v>ISCOM</v>
      </c>
      <c r="D253" t="str">
        <f>IF(Allocation!BL253="","",Allocation!BL253)</f>
        <v>BAC_COM</v>
      </c>
      <c r="E253" t="str">
        <f>IF(Allocation!BM253="","",Allocation!BM253)</f>
        <v>B3</v>
      </c>
      <c r="F253" t="str">
        <f>IF(Allocation!BN253="","",Allocation!BN253)</f>
        <v>ALT</v>
      </c>
      <c r="G253">
        <f>IF(Allocation!BO253="","",Allocation!BO253)</f>
        <v>47.72</v>
      </c>
      <c r="H253">
        <f>IF(Allocation!BP253="","",Allocation!BP253)</f>
        <v>2</v>
      </c>
      <c r="I253">
        <f>IF(Allocation!BQ253="","",Allocation!BQ253)</f>
        <v>340535.40779999999</v>
      </c>
      <c r="J253">
        <f>IF(Allocation!CC253="","",Allocation!CC253)</f>
        <v>0</v>
      </c>
      <c r="K253">
        <f t="shared" si="57"/>
        <v>960</v>
      </c>
      <c r="L253">
        <f t="shared" si="58"/>
        <v>272.19025799999997</v>
      </c>
      <c r="M253">
        <f t="shared" si="59"/>
        <v>10</v>
      </c>
      <c r="N253">
        <f t="shared" si="60"/>
        <v>2043286.8753960002</v>
      </c>
      <c r="O253">
        <f t="shared" si="61"/>
        <v>4800</v>
      </c>
      <c r="P253">
        <f t="shared" si="62"/>
        <v>125.970258</v>
      </c>
      <c r="Q253">
        <f t="shared" si="63"/>
        <v>923.4341350000002</v>
      </c>
      <c r="R253">
        <f t="shared" si="64"/>
        <v>35</v>
      </c>
      <c r="S253">
        <f t="shared" si="65"/>
        <v>7310915.4392070007</v>
      </c>
      <c r="T253">
        <f t="shared" si="66"/>
        <v>3473.6699979999999</v>
      </c>
      <c r="U253">
        <f t="shared" si="67"/>
        <v>135</v>
      </c>
      <c r="V253">
        <f t="shared" si="68"/>
        <v>26814168.474038001</v>
      </c>
      <c r="W253">
        <f>IF($A253="","",Allocation!CD253)</f>
        <v>135942.289468</v>
      </c>
      <c r="X253">
        <f>IF($A253="","",Allocation!CE253)</f>
        <v>299073.43000200001</v>
      </c>
      <c r="Y253">
        <f>IF($A253="","",Allocation!CF253)</f>
        <v>102231.745505</v>
      </c>
      <c r="Z253">
        <f>IF($A253="","",Allocation!CG253)</f>
        <v>29003</v>
      </c>
      <c r="AA253">
        <f>IF($A253="","",Allocation!CH253)</f>
        <v>672932.90186400001</v>
      </c>
      <c r="AB253">
        <f>IF($A253="","",Allocation!CI253)</f>
        <v>2894009.9927380001</v>
      </c>
      <c r="AC253">
        <f>IF($A253="","",IF(Allocation!$N$4="VOL_EFF",$G253,IF(Allocation!$N$4="VOL_CLASS",$H253,$I253)))</f>
        <v>2</v>
      </c>
      <c r="AD253">
        <f>IF($A253="","",IF(Allocation!$N$4="VOL_EFF",$L253,IF(Allocation!$N$4="VOL_CLASS",$M253,$N253)))</f>
        <v>10</v>
      </c>
      <c r="AE253">
        <f>IF($A253="","",IF(Allocation!$N$3="VOL_EFF",$L253,IF(Allocation!$N$3="VOL_CLASS",$M253,$N253)))</f>
        <v>272.19025799999997</v>
      </c>
      <c r="AF253">
        <f>IF($A253="","",IF(Allocation!$N$3="VOL_EFF",$Q253,IF(Allocation!$N$3="VOL_CLASS",$R253,$S253)))</f>
        <v>923.4341350000002</v>
      </c>
      <c r="AG253">
        <f>IF($A253="","",IF(Allocation!$N$1="VOL_EFF",$Q253,IF(Allocation!$N$1="VOL_CLASS",$R253,$S253)))</f>
        <v>923.4341350000002</v>
      </c>
      <c r="AH253">
        <f>IF($A253="","",IF(Allocation!$N$1="VOL_EFF",$T253,IF(Allocation!$N$1="VOL_CLASS",$U253,$V253)))</f>
        <v>3473.6699979999999</v>
      </c>
      <c r="AI253">
        <f t="shared" si="69"/>
        <v>27188.457893600003</v>
      </c>
      <c r="AJ253">
        <f t="shared" si="70"/>
        <v>59814.686000400005</v>
      </c>
      <c r="AK253">
        <f t="shared" si="71"/>
        <v>17923.120876348927</v>
      </c>
      <c r="AL253">
        <f t="shared" si="72"/>
        <v>134586.5803728</v>
      </c>
      <c r="AM253">
        <f t="shared" si="73"/>
        <v>45353.837700845084</v>
      </c>
      <c r="AN253">
        <f t="shared" si="74"/>
        <v>43167.011007957335</v>
      </c>
      <c r="AO253">
        <f>IF($A253="","",Allocation!CJ253)</f>
        <v>777795.6</v>
      </c>
      <c r="AP253">
        <f>IF($A253="","",IF(Allocation!$N$2="VOL_EFF",$Q253,IF(Allocation!$N$2="VOL_CLASS",$R253,$S253)))</f>
        <v>7310915.4392070007</v>
      </c>
      <c r="AQ253">
        <f>IF($A253="","",IF(Allocation!$N$2="VOL_EFF",$T253,IF(Allocation!$N$2="VOL_CLASS",$U253,$V253)))</f>
        <v>26814168.474038001</v>
      </c>
      <c r="AR253">
        <f t="shared" si="75"/>
        <v>12501.713948048651</v>
      </c>
      <c r="AS253" t="str">
        <f>IF($A253="","",$A253&amp;"|"&amp;Allocation!BG253)</f>
        <v>2027|V02</v>
      </c>
    </row>
    <row r="254" spans="1:45" x14ac:dyDescent="0.45">
      <c r="A254" t="str">
        <f>IF(Allocation!BI254="","",Allocation!BI254)</f>
        <v>2027</v>
      </c>
      <c r="B254" t="str">
        <f>IF(Allocation!BJ254="","",Allocation!BJ254)</f>
        <v>ISCOM_LIL</v>
      </c>
      <c r="C254" t="str">
        <f>IF(Allocation!BK254="","",Allocation!BK254)</f>
        <v>ISCOM</v>
      </c>
      <c r="D254" t="str">
        <f>IF(Allocation!BL254="","",Allocation!BL254)</f>
        <v>MAS_COM</v>
      </c>
      <c r="E254" t="str">
        <f>IF(Allocation!BM254="","",Allocation!BM254)</f>
        <v>M1</v>
      </c>
      <c r="F254" t="str">
        <f>IF(Allocation!BN254="","",Allocation!BN254)</f>
        <v>ALT</v>
      </c>
      <c r="G254">
        <f>IF(Allocation!BO254="","",Allocation!BO254)</f>
        <v>64.718264000000005</v>
      </c>
      <c r="H254">
        <f>IF(Allocation!BP254="","",Allocation!BP254)</f>
        <v>2</v>
      </c>
      <c r="I254">
        <f>IF(Allocation!BQ254="","",Allocation!BQ254)</f>
        <v>500649.97358599998</v>
      </c>
      <c r="J254">
        <f>IF(Allocation!CC254="","",Allocation!CC254)</f>
        <v>64.718264000000005</v>
      </c>
      <c r="K254">
        <f t="shared" si="57"/>
        <v>840</v>
      </c>
      <c r="L254">
        <f t="shared" si="58"/>
        <v>272.19025799999997</v>
      </c>
      <c r="M254">
        <f t="shared" si="59"/>
        <v>10</v>
      </c>
      <c r="N254">
        <f t="shared" si="60"/>
        <v>2043286.8753960002</v>
      </c>
      <c r="O254">
        <f t="shared" si="61"/>
        <v>4800</v>
      </c>
      <c r="P254">
        <f t="shared" si="62"/>
        <v>125.970258</v>
      </c>
      <c r="Q254">
        <f t="shared" si="63"/>
        <v>923.4341350000002</v>
      </c>
      <c r="R254">
        <f t="shared" si="64"/>
        <v>35</v>
      </c>
      <c r="S254">
        <f t="shared" si="65"/>
        <v>7310915.4392070007</v>
      </c>
      <c r="T254">
        <f t="shared" si="66"/>
        <v>3473.6699979999999</v>
      </c>
      <c r="U254">
        <f t="shared" si="67"/>
        <v>135</v>
      </c>
      <c r="V254">
        <f t="shared" si="68"/>
        <v>26814168.474038001</v>
      </c>
      <c r="W254">
        <f>IF($A254="","",Allocation!CD254)</f>
        <v>135942.289468</v>
      </c>
      <c r="X254">
        <f>IF($A254="","",Allocation!CE254)</f>
        <v>299073.43000200001</v>
      </c>
      <c r="Y254">
        <f>IF($A254="","",Allocation!CF254)</f>
        <v>102231.745505</v>
      </c>
      <c r="Z254">
        <f>IF($A254="","",Allocation!CG254)</f>
        <v>29003</v>
      </c>
      <c r="AA254">
        <f>IF($A254="","",Allocation!CH254)</f>
        <v>672932.90186400001</v>
      </c>
      <c r="AB254">
        <f>IF($A254="","",Allocation!CI254)</f>
        <v>2894009.9927380001</v>
      </c>
      <c r="AC254">
        <f>IF($A254="","",IF(Allocation!$N$4="VOL_EFF",$G254,IF(Allocation!$N$4="VOL_CLASS",$H254,$I254)))</f>
        <v>2</v>
      </c>
      <c r="AD254">
        <f>IF($A254="","",IF(Allocation!$N$4="VOL_EFF",$L254,IF(Allocation!$N$4="VOL_CLASS",$M254,$N254)))</f>
        <v>10</v>
      </c>
      <c r="AE254">
        <f>IF($A254="","",IF(Allocation!$N$3="VOL_EFF",$L254,IF(Allocation!$N$3="VOL_CLASS",$M254,$N254)))</f>
        <v>272.19025799999997</v>
      </c>
      <c r="AF254">
        <f>IF($A254="","",IF(Allocation!$N$3="VOL_EFF",$Q254,IF(Allocation!$N$3="VOL_CLASS",$R254,$S254)))</f>
        <v>923.4341350000002</v>
      </c>
      <c r="AG254">
        <f>IF($A254="","",IF(Allocation!$N$1="VOL_EFF",$Q254,IF(Allocation!$N$1="VOL_CLASS",$R254,$S254)))</f>
        <v>923.4341350000002</v>
      </c>
      <c r="AH254">
        <f>IF($A254="","",IF(Allocation!$N$1="VOL_EFF",$T254,IF(Allocation!$N$1="VOL_CLASS",$U254,$V254)))</f>
        <v>3473.6699979999999</v>
      </c>
      <c r="AI254">
        <f t="shared" si="69"/>
        <v>23789.900656899998</v>
      </c>
      <c r="AJ254">
        <f t="shared" si="70"/>
        <v>52337.850250349999</v>
      </c>
      <c r="AK254">
        <f t="shared" si="71"/>
        <v>39208.018374593368</v>
      </c>
      <c r="AL254">
        <f t="shared" si="72"/>
        <v>134586.5803728</v>
      </c>
      <c r="AM254">
        <f t="shared" si="73"/>
        <v>45353.837700845084</v>
      </c>
      <c r="AN254">
        <f t="shared" si="74"/>
        <v>192872.0722824629</v>
      </c>
      <c r="AO254">
        <f>IF($A254="","",Allocation!CJ254)</f>
        <v>777795.6</v>
      </c>
      <c r="AP254">
        <f>IF($A254="","",IF(Allocation!$N$2="VOL_EFF",$Q254,IF(Allocation!$N$2="VOL_CLASS",$R254,$S254)))</f>
        <v>7310915.4392070007</v>
      </c>
      <c r="AQ254">
        <f>IF($A254="","",IF(Allocation!$N$2="VOL_EFF",$T254,IF(Allocation!$N$2="VOL_CLASS",$U254,$V254)))</f>
        <v>26814168.474038001</v>
      </c>
      <c r="AR254">
        <f t="shared" si="75"/>
        <v>12501.713948048651</v>
      </c>
      <c r="AS254" t="str">
        <f>IF($A254="","",$A254&amp;"|"&amp;Allocation!BG254)</f>
        <v>2027|V02</v>
      </c>
    </row>
    <row r="255" spans="1:45" x14ac:dyDescent="0.45">
      <c r="A255" t="str">
        <f>IF(Allocation!BI255="","",Allocation!BI255)</f>
        <v>2027</v>
      </c>
      <c r="B255" t="str">
        <f>IF(Allocation!BJ255="","",Allocation!BJ255)</f>
        <v>ISCOM_LIL</v>
      </c>
      <c r="C255" t="str">
        <f>IF(Allocation!BK255="","",Allocation!BK255)</f>
        <v>ISCOM</v>
      </c>
      <c r="D255" t="str">
        <f>IF(Allocation!BL255="","",Allocation!BL255)</f>
        <v>MAS_COM</v>
      </c>
      <c r="E255" t="str">
        <f>IF(Allocation!BM255="","",Allocation!BM255)</f>
        <v>M2</v>
      </c>
      <c r="F255" t="str">
        <f>IF(Allocation!BN255="","",Allocation!BN255)</f>
        <v>ALT</v>
      </c>
      <c r="G255">
        <f>IF(Allocation!BO255="","",Allocation!BO255)</f>
        <v>49.75</v>
      </c>
      <c r="H255">
        <f>IF(Allocation!BP255="","",Allocation!BP255)</f>
        <v>2</v>
      </c>
      <c r="I255">
        <f>IF(Allocation!BQ255="","",Allocation!BQ255)</f>
        <v>380380.41562500002</v>
      </c>
      <c r="J255">
        <f>IF(Allocation!CC255="","",Allocation!CC255)</f>
        <v>0</v>
      </c>
      <c r="K255">
        <f t="shared" si="57"/>
        <v>840</v>
      </c>
      <c r="L255">
        <f t="shared" si="58"/>
        <v>272.19025799999997</v>
      </c>
      <c r="M255">
        <f t="shared" si="59"/>
        <v>10</v>
      </c>
      <c r="N255">
        <f t="shared" si="60"/>
        <v>2043286.8753960002</v>
      </c>
      <c r="O255">
        <f t="shared" si="61"/>
        <v>4800</v>
      </c>
      <c r="P255">
        <f t="shared" si="62"/>
        <v>125.970258</v>
      </c>
      <c r="Q255">
        <f t="shared" si="63"/>
        <v>923.4341350000002</v>
      </c>
      <c r="R255">
        <f t="shared" si="64"/>
        <v>35</v>
      </c>
      <c r="S255">
        <f t="shared" si="65"/>
        <v>7310915.4392070007</v>
      </c>
      <c r="T255">
        <f t="shared" si="66"/>
        <v>3473.6699979999999</v>
      </c>
      <c r="U255">
        <f t="shared" si="67"/>
        <v>135</v>
      </c>
      <c r="V255">
        <f t="shared" si="68"/>
        <v>26814168.474038001</v>
      </c>
      <c r="W255">
        <f>IF($A255="","",Allocation!CD255)</f>
        <v>135942.289468</v>
      </c>
      <c r="X255">
        <f>IF($A255="","",Allocation!CE255)</f>
        <v>299073.43000200001</v>
      </c>
      <c r="Y255">
        <f>IF($A255="","",Allocation!CF255)</f>
        <v>102231.745505</v>
      </c>
      <c r="Z255">
        <f>IF($A255="","",Allocation!CG255)</f>
        <v>29003</v>
      </c>
      <c r="AA255">
        <f>IF($A255="","",Allocation!CH255)</f>
        <v>672932.90186400001</v>
      </c>
      <c r="AB255">
        <f>IF($A255="","",Allocation!CI255)</f>
        <v>2894009.9927380001</v>
      </c>
      <c r="AC255">
        <f>IF($A255="","",IF(Allocation!$N$4="VOL_EFF",$G255,IF(Allocation!$N$4="VOL_CLASS",$H255,$I255)))</f>
        <v>2</v>
      </c>
      <c r="AD255">
        <f>IF($A255="","",IF(Allocation!$N$4="VOL_EFF",$L255,IF(Allocation!$N$4="VOL_CLASS",$M255,$N255)))</f>
        <v>10</v>
      </c>
      <c r="AE255">
        <f>IF($A255="","",IF(Allocation!$N$3="VOL_EFF",$L255,IF(Allocation!$N$3="VOL_CLASS",$M255,$N255)))</f>
        <v>272.19025799999997</v>
      </c>
      <c r="AF255">
        <f>IF($A255="","",IF(Allocation!$N$3="VOL_EFF",$Q255,IF(Allocation!$N$3="VOL_CLASS",$R255,$S255)))</f>
        <v>923.4341350000002</v>
      </c>
      <c r="AG255">
        <f>IF($A255="","",IF(Allocation!$N$1="VOL_EFF",$Q255,IF(Allocation!$N$1="VOL_CLASS",$R255,$S255)))</f>
        <v>923.4341350000002</v>
      </c>
      <c r="AH255">
        <f>IF($A255="","",IF(Allocation!$N$1="VOL_EFF",$T255,IF(Allocation!$N$1="VOL_CLASS",$U255,$V255)))</f>
        <v>3473.6699979999999</v>
      </c>
      <c r="AI255">
        <f t="shared" si="69"/>
        <v>23789.900656899998</v>
      </c>
      <c r="AJ255">
        <f t="shared" si="70"/>
        <v>52337.850250349999</v>
      </c>
      <c r="AK255">
        <f t="shared" si="71"/>
        <v>18685.567133243065</v>
      </c>
      <c r="AL255">
        <f t="shared" si="72"/>
        <v>134586.5803728</v>
      </c>
      <c r="AM255">
        <f t="shared" si="73"/>
        <v>45353.837700845084</v>
      </c>
      <c r="AN255">
        <f t="shared" si="74"/>
        <v>93124.965562813217</v>
      </c>
      <c r="AO255">
        <f>IF($A255="","",Allocation!CJ255)</f>
        <v>777795.6</v>
      </c>
      <c r="AP255">
        <f>IF($A255="","",IF(Allocation!$N$2="VOL_EFF",$Q255,IF(Allocation!$N$2="VOL_CLASS",$R255,$S255)))</f>
        <v>7310915.4392070007</v>
      </c>
      <c r="AQ255">
        <f>IF($A255="","",IF(Allocation!$N$2="VOL_EFF",$T255,IF(Allocation!$N$2="VOL_CLASS",$U255,$V255)))</f>
        <v>26814168.474038001</v>
      </c>
      <c r="AR255">
        <f t="shared" si="75"/>
        <v>12501.713948048651</v>
      </c>
      <c r="AS255" t="str">
        <f>IF($A255="","",$A255&amp;"|"&amp;Allocation!BG255)</f>
        <v>2027|V02</v>
      </c>
    </row>
    <row r="256" spans="1:45" x14ac:dyDescent="0.45">
      <c r="A256" t="str">
        <f>IF(Allocation!BI256="","",Allocation!BI256)</f>
        <v>2027</v>
      </c>
      <c r="B256" t="str">
        <f>IF(Allocation!BJ256="","",Allocation!BJ256)</f>
        <v>ISCOM_PAR</v>
      </c>
      <c r="C256" t="str">
        <f>IF(Allocation!BK256="","",Allocation!BK256)</f>
        <v>ISCOM</v>
      </c>
      <c r="D256" t="str">
        <f>IF(Allocation!BL256="","",Allocation!BL256)</f>
        <v>BAC_COM</v>
      </c>
      <c r="E256" t="str">
        <f>IF(Allocation!BM256="","",Allocation!BM256)</f>
        <v>B1</v>
      </c>
      <c r="F256" t="str">
        <f>IF(Allocation!BN256="","",Allocation!BN256)</f>
        <v>INIT</v>
      </c>
      <c r="G256">
        <f>IF(Allocation!BO256="","",Allocation!BO256)</f>
        <v>87.741234000000006</v>
      </c>
      <c r="H256">
        <f>IF(Allocation!BP256="","",Allocation!BP256)</f>
        <v>3</v>
      </c>
      <c r="I256">
        <f>IF(Allocation!BQ256="","",Allocation!BQ256)</f>
        <v>774588.38787500001</v>
      </c>
      <c r="J256">
        <f>IF(Allocation!CC256="","",Allocation!CC256)</f>
        <v>87.741234000000006</v>
      </c>
      <c r="K256">
        <f t="shared" si="57"/>
        <v>1800</v>
      </c>
      <c r="L256">
        <f t="shared" si="58"/>
        <v>393.64469000000003</v>
      </c>
      <c r="M256">
        <f t="shared" si="59"/>
        <v>15</v>
      </c>
      <c r="N256">
        <f t="shared" si="60"/>
        <v>3373731.917589</v>
      </c>
      <c r="O256">
        <f t="shared" si="61"/>
        <v>7200</v>
      </c>
      <c r="P256">
        <f t="shared" si="62"/>
        <v>180.43468999999999</v>
      </c>
      <c r="Q256">
        <f t="shared" si="63"/>
        <v>923.4341350000002</v>
      </c>
      <c r="R256">
        <f t="shared" si="64"/>
        <v>35</v>
      </c>
      <c r="S256">
        <f t="shared" si="65"/>
        <v>7310915.4392070007</v>
      </c>
      <c r="T256">
        <f t="shared" si="66"/>
        <v>3473.6699979999999</v>
      </c>
      <c r="U256">
        <f t="shared" si="67"/>
        <v>135</v>
      </c>
      <c r="V256">
        <f t="shared" si="68"/>
        <v>26814168.474038001</v>
      </c>
      <c r="W256">
        <f>IF($A256="","",Allocation!CD256)</f>
        <v>203913.99720799999</v>
      </c>
      <c r="X256">
        <f>IF($A256="","",Allocation!CE256)</f>
        <v>512745.83428800001</v>
      </c>
      <c r="Y256">
        <f>IF($A256="","",Allocation!CF256)</f>
        <v>148320.53817399999</v>
      </c>
      <c r="Z256">
        <f>IF($A256="","",Allocation!CG256)</f>
        <v>69920</v>
      </c>
      <c r="AA256">
        <f>IF($A256="","",Allocation!CH256)</f>
        <v>1127595.5223679999</v>
      </c>
      <c r="AB256">
        <f>IF($A256="","",Allocation!CI256)</f>
        <v>2894009.9927380001</v>
      </c>
      <c r="AC256">
        <f>IF($A256="","",IF(Allocation!$N$4="VOL_EFF",$G256,IF(Allocation!$N$4="VOL_CLASS",$H256,$I256)))</f>
        <v>3</v>
      </c>
      <c r="AD256">
        <f>IF($A256="","",IF(Allocation!$N$4="VOL_EFF",$L256,IF(Allocation!$N$4="VOL_CLASS",$M256,$N256)))</f>
        <v>15</v>
      </c>
      <c r="AE256">
        <f>IF($A256="","",IF(Allocation!$N$3="VOL_EFF",$L256,IF(Allocation!$N$3="VOL_CLASS",$M256,$N256)))</f>
        <v>393.64469000000003</v>
      </c>
      <c r="AF256">
        <f>IF($A256="","",IF(Allocation!$N$3="VOL_EFF",$Q256,IF(Allocation!$N$3="VOL_CLASS",$R256,$S256)))</f>
        <v>923.4341350000002</v>
      </c>
      <c r="AG256">
        <f>IF($A256="","",IF(Allocation!$N$1="VOL_EFF",$Q256,IF(Allocation!$N$1="VOL_CLASS",$R256,$S256)))</f>
        <v>923.4341350000002</v>
      </c>
      <c r="AH256">
        <f>IF($A256="","",IF(Allocation!$N$1="VOL_EFF",$T256,IF(Allocation!$N$1="VOL_CLASS",$U256,$V256)))</f>
        <v>3473.6699979999999</v>
      </c>
      <c r="AI256">
        <f t="shared" si="69"/>
        <v>50978.499301999997</v>
      </c>
      <c r="AJ256">
        <f t="shared" si="70"/>
        <v>128186.458572</v>
      </c>
      <c r="AK256">
        <f t="shared" si="71"/>
        <v>67060.316920774494</v>
      </c>
      <c r="AL256">
        <f t="shared" si="72"/>
        <v>225519.10447359999</v>
      </c>
      <c r="AM256">
        <f t="shared" si="73"/>
        <v>65591.243100476728</v>
      </c>
      <c r="AN256">
        <f t="shared" si="74"/>
        <v>219172.64262552653</v>
      </c>
      <c r="AO256">
        <f>IF($A256="","",Allocation!CJ256)</f>
        <v>777795.6</v>
      </c>
      <c r="AP256">
        <f>IF($A256="","",IF(Allocation!$N$2="VOL_EFF",$Q256,IF(Allocation!$N$2="VOL_CLASS",$R256,$S256)))</f>
        <v>7310915.4392070007</v>
      </c>
      <c r="AQ256">
        <f>IF($A256="","",IF(Allocation!$N$2="VOL_EFF",$T256,IF(Allocation!$N$2="VOL_CLASS",$U256,$V256)))</f>
        <v>26814168.474038001</v>
      </c>
      <c r="AR256">
        <f t="shared" si="75"/>
        <v>18080.122880622304</v>
      </c>
      <c r="AS256" t="str">
        <f>IF($A256="","",$A256&amp;"|"&amp;Allocation!BG256)</f>
        <v>2027|V02</v>
      </c>
    </row>
    <row r="257" spans="1:45" x14ac:dyDescent="0.45">
      <c r="A257" t="str">
        <f>IF(Allocation!BI257="","",Allocation!BI257)</f>
        <v>2027</v>
      </c>
      <c r="B257" t="str">
        <f>IF(Allocation!BJ257="","",Allocation!BJ257)</f>
        <v>ISCOM_PAR</v>
      </c>
      <c r="C257" t="str">
        <f>IF(Allocation!BK257="","",Allocation!BK257)</f>
        <v>ISCOM</v>
      </c>
      <c r="D257" t="str">
        <f>IF(Allocation!BL257="","",Allocation!BL257)</f>
        <v>BAC_COM</v>
      </c>
      <c r="E257" t="str">
        <f>IF(Allocation!BM257="","",Allocation!BM257)</f>
        <v>B2</v>
      </c>
      <c r="F257" t="str">
        <f>IF(Allocation!BN257="","",Allocation!BN257)</f>
        <v>ALT</v>
      </c>
      <c r="G257">
        <f>IF(Allocation!BO257="","",Allocation!BO257)</f>
        <v>71.08</v>
      </c>
      <c r="H257">
        <f>IF(Allocation!BP257="","",Allocation!BP257)</f>
        <v>3</v>
      </c>
      <c r="I257">
        <f>IF(Allocation!BQ257="","",Allocation!BQ257)</f>
        <v>579697.20479999995</v>
      </c>
      <c r="J257">
        <f>IF(Allocation!CC257="","",Allocation!CC257)</f>
        <v>0</v>
      </c>
      <c r="K257">
        <f t="shared" si="57"/>
        <v>1440</v>
      </c>
      <c r="L257">
        <f t="shared" si="58"/>
        <v>393.64469000000003</v>
      </c>
      <c r="M257">
        <f t="shared" si="59"/>
        <v>15</v>
      </c>
      <c r="N257">
        <f t="shared" si="60"/>
        <v>3373731.917589</v>
      </c>
      <c r="O257">
        <f t="shared" si="61"/>
        <v>7200</v>
      </c>
      <c r="P257">
        <f t="shared" si="62"/>
        <v>180.43468999999999</v>
      </c>
      <c r="Q257">
        <f t="shared" si="63"/>
        <v>923.4341350000002</v>
      </c>
      <c r="R257">
        <f t="shared" si="64"/>
        <v>35</v>
      </c>
      <c r="S257">
        <f t="shared" si="65"/>
        <v>7310915.4392070007</v>
      </c>
      <c r="T257">
        <f t="shared" si="66"/>
        <v>3473.6699979999999</v>
      </c>
      <c r="U257">
        <f t="shared" si="67"/>
        <v>135</v>
      </c>
      <c r="V257">
        <f t="shared" si="68"/>
        <v>26814168.474038001</v>
      </c>
      <c r="W257">
        <f>IF($A257="","",Allocation!CD257)</f>
        <v>203913.99720799999</v>
      </c>
      <c r="X257">
        <f>IF($A257="","",Allocation!CE257)</f>
        <v>512745.83428800001</v>
      </c>
      <c r="Y257">
        <f>IF($A257="","",Allocation!CF257)</f>
        <v>148320.53817399999</v>
      </c>
      <c r="Z257">
        <f>IF($A257="","",Allocation!CG257)</f>
        <v>69920</v>
      </c>
      <c r="AA257">
        <f>IF($A257="","",Allocation!CH257)</f>
        <v>1127595.5223679999</v>
      </c>
      <c r="AB257">
        <f>IF($A257="","",Allocation!CI257)</f>
        <v>2894009.9927380001</v>
      </c>
      <c r="AC257">
        <f>IF($A257="","",IF(Allocation!$N$4="VOL_EFF",$G257,IF(Allocation!$N$4="VOL_CLASS",$H257,$I257)))</f>
        <v>3</v>
      </c>
      <c r="AD257">
        <f>IF($A257="","",IF(Allocation!$N$4="VOL_EFF",$L257,IF(Allocation!$N$4="VOL_CLASS",$M257,$N257)))</f>
        <v>15</v>
      </c>
      <c r="AE257">
        <f>IF($A257="","",IF(Allocation!$N$3="VOL_EFF",$L257,IF(Allocation!$N$3="VOL_CLASS",$M257,$N257)))</f>
        <v>393.64469000000003</v>
      </c>
      <c r="AF257">
        <f>IF($A257="","",IF(Allocation!$N$3="VOL_EFF",$Q257,IF(Allocation!$N$3="VOL_CLASS",$R257,$S257)))</f>
        <v>923.4341350000002</v>
      </c>
      <c r="AG257">
        <f>IF($A257="","",IF(Allocation!$N$1="VOL_EFF",$Q257,IF(Allocation!$N$1="VOL_CLASS",$R257,$S257)))</f>
        <v>923.4341350000002</v>
      </c>
      <c r="AH257">
        <f>IF($A257="","",IF(Allocation!$N$1="VOL_EFF",$T257,IF(Allocation!$N$1="VOL_CLASS",$U257,$V257)))</f>
        <v>3473.6699979999999</v>
      </c>
      <c r="AI257">
        <f t="shared" si="69"/>
        <v>40782.7994416</v>
      </c>
      <c r="AJ257">
        <f t="shared" si="70"/>
        <v>102549.16685760001</v>
      </c>
      <c r="AK257">
        <f t="shared" si="71"/>
        <v>26782.080696701178</v>
      </c>
      <c r="AL257">
        <f t="shared" si="72"/>
        <v>225519.10447359999</v>
      </c>
      <c r="AM257">
        <f t="shared" si="73"/>
        <v>65591.243100476728</v>
      </c>
      <c r="AN257">
        <f t="shared" si="74"/>
        <v>100392.68734939973</v>
      </c>
      <c r="AO257">
        <f>IF($A257="","",Allocation!CJ257)</f>
        <v>777795.6</v>
      </c>
      <c r="AP257">
        <f>IF($A257="","",IF(Allocation!$N$2="VOL_EFF",$Q257,IF(Allocation!$N$2="VOL_CLASS",$R257,$S257)))</f>
        <v>7310915.4392070007</v>
      </c>
      <c r="AQ257">
        <f>IF($A257="","",IF(Allocation!$N$2="VOL_EFF",$T257,IF(Allocation!$N$2="VOL_CLASS",$U257,$V257)))</f>
        <v>26814168.474038001</v>
      </c>
      <c r="AR257">
        <f t="shared" si="75"/>
        <v>18080.122880622304</v>
      </c>
      <c r="AS257" t="str">
        <f>IF($A257="","",$A257&amp;"|"&amp;Allocation!BG257)</f>
        <v>2027|V02</v>
      </c>
    </row>
    <row r="258" spans="1:45" x14ac:dyDescent="0.45">
      <c r="A258" t="str">
        <f>IF(Allocation!BI258="","",Allocation!BI258)</f>
        <v>2027</v>
      </c>
      <c r="B258" t="str">
        <f>IF(Allocation!BJ258="","",Allocation!BJ258)</f>
        <v>ISCOM_PAR</v>
      </c>
      <c r="C258" t="str">
        <f>IF(Allocation!BK258="","",Allocation!BK258)</f>
        <v>ISCOM</v>
      </c>
      <c r="D258" t="str">
        <f>IF(Allocation!BL258="","",Allocation!BL258)</f>
        <v>BAC_COM</v>
      </c>
      <c r="E258" t="str">
        <f>IF(Allocation!BM258="","",Allocation!BM258)</f>
        <v>B3</v>
      </c>
      <c r="F258" t="str">
        <f>IF(Allocation!BN258="","",Allocation!BN258)</f>
        <v>ALT</v>
      </c>
      <c r="G258">
        <f>IF(Allocation!BO258="","",Allocation!BO258)</f>
        <v>70.05</v>
      </c>
      <c r="H258">
        <f>IF(Allocation!BP258="","",Allocation!BP258)</f>
        <v>3</v>
      </c>
      <c r="I258">
        <f>IF(Allocation!BQ258="","",Allocation!BQ258)</f>
        <v>571296.978</v>
      </c>
      <c r="J258">
        <f>IF(Allocation!CC258="","",Allocation!CC258)</f>
        <v>0</v>
      </c>
      <c r="K258">
        <f t="shared" ref="K258:K321" si="76">IF($A258="","",$H258*IF(AND(LEFT($D258,3)="BAC",$F258="INIT"),600,IF(LEFT($D258,3)="BAC",480,IF(AND(LEFT($D258,3)="MAS",$F258="INIT"),520,IF(LEFT($D258,3)="MAS",420,IF($F258="INIT",1000,700))))))</f>
        <v>1440</v>
      </c>
      <c r="L258">
        <f t="shared" ref="L258:L321" si="77">IF($A258="","",SUMIFS($G$1:$G$349,$AS$1:$AS$349,$AS258,$B$1:$B$349,$B258))</f>
        <v>393.64469000000003</v>
      </c>
      <c r="M258">
        <f t="shared" ref="M258:M321" si="78">IF($A258="","",SUMIFS($H$1:$H$349,$AS$1:$AS$349,$AS258,$B$1:$B$349,$B258))</f>
        <v>15</v>
      </c>
      <c r="N258">
        <f t="shared" ref="N258:N321" si="79">IF($A258="","",SUMIFS($I$1:$I$349,$AS$1:$AS$349,$AS258,$B$1:$B$349,$B258))</f>
        <v>3373731.917589</v>
      </c>
      <c r="O258">
        <f t="shared" ref="O258:O321" si="80">IF($A258="","",SUMIFS($K$1:$K$349,$AS$1:$AS$349,$AS258,$B$1:$B$349,$B258))</f>
        <v>7200</v>
      </c>
      <c r="P258">
        <f t="shared" ref="P258:P321" si="81">IF($A258="","",SUMIFS($J$1:$J$349,$AS$1:$AS$349,$AS258,$B$1:$B$349,$B258))</f>
        <v>180.43468999999999</v>
      </c>
      <c r="Q258">
        <f t="shared" ref="Q258:Q321" si="82">IF($A258="","",SUMIFS($G$1:$G$349,$AS$1:$AS$349,$AS258,$C$1:$C$349,$C258))</f>
        <v>923.4341350000002</v>
      </c>
      <c r="R258">
        <f t="shared" ref="R258:R321" si="83">IF($A258="","",SUMIFS($H$1:$H$349,$AS$1:$AS$349,$AS258,$C$1:$C$349,$C258))</f>
        <v>35</v>
      </c>
      <c r="S258">
        <f t="shared" ref="S258:S321" si="84">IF($A258="","",SUMIFS($I$1:$I$349,$AS$1:$AS$349,$AS258,$C$1:$C$349,$C258))</f>
        <v>7310915.4392070007</v>
      </c>
      <c r="T258">
        <f t="shared" ref="T258:T321" si="85">IF($A258="","",SUMIFS($G$1:$G$349,$AS$1:$AS$349,$AS258))</f>
        <v>3473.6699979999999</v>
      </c>
      <c r="U258">
        <f t="shared" ref="U258:U321" si="86">IF($A258="","",SUMIFS($H$1:$H$349,$AS$1:$AS$349,$AS258))</f>
        <v>135</v>
      </c>
      <c r="V258">
        <f t="shared" ref="V258:V321" si="87">IF($A258="","",SUMIFS($I$1:$I$349,$AS$1:$AS$349,$AS258))</f>
        <v>26814168.474038001</v>
      </c>
      <c r="W258">
        <f>IF($A258="","",Allocation!CD258)</f>
        <v>203913.99720799999</v>
      </c>
      <c r="X258">
        <f>IF($A258="","",Allocation!CE258)</f>
        <v>512745.83428800001</v>
      </c>
      <c r="Y258">
        <f>IF($A258="","",Allocation!CF258)</f>
        <v>148320.53817399999</v>
      </c>
      <c r="Z258">
        <f>IF($A258="","",Allocation!CG258)</f>
        <v>69920</v>
      </c>
      <c r="AA258">
        <f>IF($A258="","",Allocation!CH258)</f>
        <v>1127595.5223679999</v>
      </c>
      <c r="AB258">
        <f>IF($A258="","",Allocation!CI258)</f>
        <v>2894009.9927380001</v>
      </c>
      <c r="AC258">
        <f>IF($A258="","",IF(Allocation!$N$4="VOL_EFF",$G258,IF(Allocation!$N$4="VOL_CLASS",$H258,$I258)))</f>
        <v>3</v>
      </c>
      <c r="AD258">
        <f>IF($A258="","",IF(Allocation!$N$4="VOL_EFF",$L258,IF(Allocation!$N$4="VOL_CLASS",$M258,$N258)))</f>
        <v>15</v>
      </c>
      <c r="AE258">
        <f>IF($A258="","",IF(Allocation!$N$3="VOL_EFF",$L258,IF(Allocation!$N$3="VOL_CLASS",$M258,$N258)))</f>
        <v>393.64469000000003</v>
      </c>
      <c r="AF258">
        <f>IF($A258="","",IF(Allocation!$N$3="VOL_EFF",$Q258,IF(Allocation!$N$3="VOL_CLASS",$R258,$S258)))</f>
        <v>923.4341350000002</v>
      </c>
      <c r="AG258">
        <f>IF($A258="","",IF(Allocation!$N$1="VOL_EFF",$Q258,IF(Allocation!$N$1="VOL_CLASS",$R258,$S258)))</f>
        <v>923.4341350000002</v>
      </c>
      <c r="AH258">
        <f>IF($A258="","",IF(Allocation!$N$1="VOL_EFF",$T258,IF(Allocation!$N$1="VOL_CLASS",$U258,$V258)))</f>
        <v>3473.6699979999999</v>
      </c>
      <c r="AI258">
        <f t="shared" ref="AI258:AI321" si="88">IF($A258="","",$W258*IFERROR($K258/$O258,0))</f>
        <v>40782.7994416</v>
      </c>
      <c r="AJ258">
        <f t="shared" ref="AJ258:AJ321" si="89">IF($A258="","",$X258*IFERROR($K258/$O258,0))</f>
        <v>102549.16685760001</v>
      </c>
      <c r="AK258">
        <f t="shared" ref="AK258:AK321" si="90">IF($A258="","",$Y258*IFERROR($G258/$L258,0)+$Z258*IFERROR($J258/$P258,0))</f>
        <v>26393.98920658297</v>
      </c>
      <c r="AL258">
        <f t="shared" ref="AL258:AL321" si="91">IF($A258="","",$AA258*IFERROR($AC258/$AD258,0))</f>
        <v>225519.10447359999</v>
      </c>
      <c r="AM258">
        <f t="shared" ref="AM258:AM321" si="92">IF($A258="","",$AB258*IFERROR($AG258/$AH258,0)*IFERROR($AE258/$AF258,0)*IFERROR($AC258/$AD258,0))</f>
        <v>65591.243100476728</v>
      </c>
      <c r="AN258">
        <f t="shared" ref="AN258:AN321" si="93">IF($A258="","",$I258-($AI258+$AJ258+$AK258+$AL258+$AM258+$AR258))</f>
        <v>92380.552039517963</v>
      </c>
      <c r="AO258">
        <f>IF($A258="","",Allocation!CJ258)</f>
        <v>777795.6</v>
      </c>
      <c r="AP258">
        <f>IF($A258="","",IF(Allocation!$N$2="VOL_EFF",$Q258,IF(Allocation!$N$2="VOL_CLASS",$R258,$S258)))</f>
        <v>7310915.4392070007</v>
      </c>
      <c r="AQ258">
        <f>IF($A258="","",IF(Allocation!$N$2="VOL_EFF",$T258,IF(Allocation!$N$2="VOL_CLASS",$U258,$V258)))</f>
        <v>26814168.474038001</v>
      </c>
      <c r="AR258">
        <f t="shared" ref="AR258:AR321" si="94">IF($A258="","",$AO258*IFERROR($AP258/$AQ258,0)*IFERROR($AE258/$AF258,0)*IFERROR($AC258/$AD258,0))</f>
        <v>18080.122880622304</v>
      </c>
      <c r="AS258" t="str">
        <f>IF($A258="","",$A258&amp;"|"&amp;Allocation!BG258)</f>
        <v>2027|V02</v>
      </c>
    </row>
    <row r="259" spans="1:45" x14ac:dyDescent="0.45">
      <c r="A259" t="str">
        <f>IF(Allocation!BI259="","",Allocation!BI259)</f>
        <v>2027</v>
      </c>
      <c r="B259" t="str">
        <f>IF(Allocation!BJ259="","",Allocation!BJ259)</f>
        <v>ISCOM_PAR</v>
      </c>
      <c r="C259" t="str">
        <f>IF(Allocation!BK259="","",Allocation!BK259)</f>
        <v>ISCOM</v>
      </c>
      <c r="D259" t="str">
        <f>IF(Allocation!BL259="","",Allocation!BL259)</f>
        <v>MAS_COM</v>
      </c>
      <c r="E259" t="str">
        <f>IF(Allocation!BM259="","",Allocation!BM259)</f>
        <v>M1</v>
      </c>
      <c r="F259" t="str">
        <f>IF(Allocation!BN259="","",Allocation!BN259)</f>
        <v>ALT</v>
      </c>
      <c r="G259">
        <f>IF(Allocation!BO259="","",Allocation!BO259)</f>
        <v>92.693455999999998</v>
      </c>
      <c r="H259">
        <f>IF(Allocation!BP259="","",Allocation!BP259)</f>
        <v>3</v>
      </c>
      <c r="I259">
        <f>IF(Allocation!BQ259="","",Allocation!BQ259)</f>
        <v>818307.09891399997</v>
      </c>
      <c r="J259">
        <f>IF(Allocation!CC259="","",Allocation!CC259)</f>
        <v>92.693455999999998</v>
      </c>
      <c r="K259">
        <f t="shared" si="76"/>
        <v>1260</v>
      </c>
      <c r="L259">
        <f t="shared" si="77"/>
        <v>393.64469000000003</v>
      </c>
      <c r="M259">
        <f t="shared" si="78"/>
        <v>15</v>
      </c>
      <c r="N259">
        <f t="shared" si="79"/>
        <v>3373731.917589</v>
      </c>
      <c r="O259">
        <f t="shared" si="80"/>
        <v>7200</v>
      </c>
      <c r="P259">
        <f t="shared" si="81"/>
        <v>180.43468999999999</v>
      </c>
      <c r="Q259">
        <f t="shared" si="82"/>
        <v>923.4341350000002</v>
      </c>
      <c r="R259">
        <f t="shared" si="83"/>
        <v>35</v>
      </c>
      <c r="S259">
        <f t="shared" si="84"/>
        <v>7310915.4392070007</v>
      </c>
      <c r="T259">
        <f t="shared" si="85"/>
        <v>3473.6699979999999</v>
      </c>
      <c r="U259">
        <f t="shared" si="86"/>
        <v>135</v>
      </c>
      <c r="V259">
        <f t="shared" si="87"/>
        <v>26814168.474038001</v>
      </c>
      <c r="W259">
        <f>IF($A259="","",Allocation!CD259)</f>
        <v>203913.99720799999</v>
      </c>
      <c r="X259">
        <f>IF($A259="","",Allocation!CE259)</f>
        <v>512745.83428800001</v>
      </c>
      <c r="Y259">
        <f>IF($A259="","",Allocation!CF259)</f>
        <v>148320.53817399999</v>
      </c>
      <c r="Z259">
        <f>IF($A259="","",Allocation!CG259)</f>
        <v>69920</v>
      </c>
      <c r="AA259">
        <f>IF($A259="","",Allocation!CH259)</f>
        <v>1127595.5223679999</v>
      </c>
      <c r="AB259">
        <f>IF($A259="","",Allocation!CI259)</f>
        <v>2894009.9927380001</v>
      </c>
      <c r="AC259">
        <f>IF($A259="","",IF(Allocation!$N$4="VOL_EFF",$G259,IF(Allocation!$N$4="VOL_CLASS",$H259,$I259)))</f>
        <v>3</v>
      </c>
      <c r="AD259">
        <f>IF($A259="","",IF(Allocation!$N$4="VOL_EFF",$L259,IF(Allocation!$N$4="VOL_CLASS",$M259,$N259)))</f>
        <v>15</v>
      </c>
      <c r="AE259">
        <f>IF($A259="","",IF(Allocation!$N$3="VOL_EFF",$L259,IF(Allocation!$N$3="VOL_CLASS",$M259,$N259)))</f>
        <v>393.64469000000003</v>
      </c>
      <c r="AF259">
        <f>IF($A259="","",IF(Allocation!$N$3="VOL_EFF",$Q259,IF(Allocation!$N$3="VOL_CLASS",$R259,$S259)))</f>
        <v>923.4341350000002</v>
      </c>
      <c r="AG259">
        <f>IF($A259="","",IF(Allocation!$N$1="VOL_EFF",$Q259,IF(Allocation!$N$1="VOL_CLASS",$R259,$S259)))</f>
        <v>923.4341350000002</v>
      </c>
      <c r="AH259">
        <f>IF($A259="","",IF(Allocation!$N$1="VOL_EFF",$T259,IF(Allocation!$N$1="VOL_CLASS",$U259,$V259)))</f>
        <v>3473.6699979999999</v>
      </c>
      <c r="AI259">
        <f t="shared" si="88"/>
        <v>35684.949511399995</v>
      </c>
      <c r="AJ259">
        <f t="shared" si="89"/>
        <v>89730.521000399996</v>
      </c>
      <c r="AK259">
        <f t="shared" si="90"/>
        <v>70845.282798756467</v>
      </c>
      <c r="AL259">
        <f t="shared" si="91"/>
        <v>225519.10447359999</v>
      </c>
      <c r="AM259">
        <f t="shared" si="92"/>
        <v>65591.243100476728</v>
      </c>
      <c r="AN259">
        <f t="shared" si="93"/>
        <v>312855.8751487445</v>
      </c>
      <c r="AO259">
        <f>IF($A259="","",Allocation!CJ259)</f>
        <v>777795.6</v>
      </c>
      <c r="AP259">
        <f>IF($A259="","",IF(Allocation!$N$2="VOL_EFF",$Q259,IF(Allocation!$N$2="VOL_CLASS",$R259,$S259)))</f>
        <v>7310915.4392070007</v>
      </c>
      <c r="AQ259">
        <f>IF($A259="","",IF(Allocation!$N$2="VOL_EFF",$T259,IF(Allocation!$N$2="VOL_CLASS",$U259,$V259)))</f>
        <v>26814168.474038001</v>
      </c>
      <c r="AR259">
        <f t="shared" si="94"/>
        <v>18080.122880622304</v>
      </c>
      <c r="AS259" t="str">
        <f>IF($A259="","",$A259&amp;"|"&amp;Allocation!BG259)</f>
        <v>2027|V02</v>
      </c>
    </row>
    <row r="260" spans="1:45" x14ac:dyDescent="0.45">
      <c r="A260" t="str">
        <f>IF(Allocation!BI260="","",Allocation!BI260)</f>
        <v>2027</v>
      </c>
      <c r="B260" t="str">
        <f>IF(Allocation!BJ260="","",Allocation!BJ260)</f>
        <v>ISCOM_PAR</v>
      </c>
      <c r="C260" t="str">
        <f>IF(Allocation!BK260="","",Allocation!BK260)</f>
        <v>ISCOM</v>
      </c>
      <c r="D260" t="str">
        <f>IF(Allocation!BL260="","",Allocation!BL260)</f>
        <v>MAS_COM</v>
      </c>
      <c r="E260" t="str">
        <f>IF(Allocation!BM260="","",Allocation!BM260)</f>
        <v>M2</v>
      </c>
      <c r="F260" t="str">
        <f>IF(Allocation!BN260="","",Allocation!BN260)</f>
        <v>ALT</v>
      </c>
      <c r="G260">
        <f>IF(Allocation!BO260="","",Allocation!BO260)</f>
        <v>72.08</v>
      </c>
      <c r="H260">
        <f>IF(Allocation!BP260="","",Allocation!BP260)</f>
        <v>3</v>
      </c>
      <c r="I260">
        <f>IF(Allocation!BQ260="","",Allocation!BQ260)</f>
        <v>629842.24800000002</v>
      </c>
      <c r="J260">
        <f>IF(Allocation!CC260="","",Allocation!CC260)</f>
        <v>0</v>
      </c>
      <c r="K260">
        <f t="shared" si="76"/>
        <v>1260</v>
      </c>
      <c r="L260">
        <f t="shared" si="77"/>
        <v>393.64469000000003</v>
      </c>
      <c r="M260">
        <f t="shared" si="78"/>
        <v>15</v>
      </c>
      <c r="N260">
        <f t="shared" si="79"/>
        <v>3373731.917589</v>
      </c>
      <c r="O260">
        <f t="shared" si="80"/>
        <v>7200</v>
      </c>
      <c r="P260">
        <f t="shared" si="81"/>
        <v>180.43468999999999</v>
      </c>
      <c r="Q260">
        <f t="shared" si="82"/>
        <v>923.4341350000002</v>
      </c>
      <c r="R260">
        <f t="shared" si="83"/>
        <v>35</v>
      </c>
      <c r="S260">
        <f t="shared" si="84"/>
        <v>7310915.4392070007</v>
      </c>
      <c r="T260">
        <f t="shared" si="85"/>
        <v>3473.6699979999999</v>
      </c>
      <c r="U260">
        <f t="shared" si="86"/>
        <v>135</v>
      </c>
      <c r="V260">
        <f t="shared" si="87"/>
        <v>26814168.474038001</v>
      </c>
      <c r="W260">
        <f>IF($A260="","",Allocation!CD260)</f>
        <v>203913.99720799999</v>
      </c>
      <c r="X260">
        <f>IF($A260="","",Allocation!CE260)</f>
        <v>512745.83428800001</v>
      </c>
      <c r="Y260">
        <f>IF($A260="","",Allocation!CF260)</f>
        <v>148320.53817399999</v>
      </c>
      <c r="Z260">
        <f>IF($A260="","",Allocation!CG260)</f>
        <v>69920</v>
      </c>
      <c r="AA260">
        <f>IF($A260="","",Allocation!CH260)</f>
        <v>1127595.5223679999</v>
      </c>
      <c r="AB260">
        <f>IF($A260="","",Allocation!CI260)</f>
        <v>2894009.9927380001</v>
      </c>
      <c r="AC260">
        <f>IF($A260="","",IF(Allocation!$N$4="VOL_EFF",$G260,IF(Allocation!$N$4="VOL_CLASS",$H260,$I260)))</f>
        <v>3</v>
      </c>
      <c r="AD260">
        <f>IF($A260="","",IF(Allocation!$N$4="VOL_EFF",$L260,IF(Allocation!$N$4="VOL_CLASS",$M260,$N260)))</f>
        <v>15</v>
      </c>
      <c r="AE260">
        <f>IF($A260="","",IF(Allocation!$N$3="VOL_EFF",$L260,IF(Allocation!$N$3="VOL_CLASS",$M260,$N260)))</f>
        <v>393.64469000000003</v>
      </c>
      <c r="AF260">
        <f>IF($A260="","",IF(Allocation!$N$3="VOL_EFF",$Q260,IF(Allocation!$N$3="VOL_CLASS",$R260,$S260)))</f>
        <v>923.4341350000002</v>
      </c>
      <c r="AG260">
        <f>IF($A260="","",IF(Allocation!$N$1="VOL_EFF",$Q260,IF(Allocation!$N$1="VOL_CLASS",$R260,$S260)))</f>
        <v>923.4341350000002</v>
      </c>
      <c r="AH260">
        <f>IF($A260="","",IF(Allocation!$N$1="VOL_EFF",$T260,IF(Allocation!$N$1="VOL_CLASS",$U260,$V260)))</f>
        <v>3473.6699979999999</v>
      </c>
      <c r="AI260">
        <f t="shared" si="88"/>
        <v>35684.949511399995</v>
      </c>
      <c r="AJ260">
        <f t="shared" si="89"/>
        <v>89730.521000399996</v>
      </c>
      <c r="AK260">
        <f t="shared" si="90"/>
        <v>27158.868551184874</v>
      </c>
      <c r="AL260">
        <f t="shared" si="91"/>
        <v>225519.10447359999</v>
      </c>
      <c r="AM260">
        <f t="shared" si="92"/>
        <v>65591.243100476728</v>
      </c>
      <c r="AN260">
        <f t="shared" si="93"/>
        <v>168077.43848231615</v>
      </c>
      <c r="AO260">
        <f>IF($A260="","",Allocation!CJ260)</f>
        <v>777795.6</v>
      </c>
      <c r="AP260">
        <f>IF($A260="","",IF(Allocation!$N$2="VOL_EFF",$Q260,IF(Allocation!$N$2="VOL_CLASS",$R260,$S260)))</f>
        <v>7310915.4392070007</v>
      </c>
      <c r="AQ260">
        <f>IF($A260="","",IF(Allocation!$N$2="VOL_EFF",$T260,IF(Allocation!$N$2="VOL_CLASS",$U260,$V260)))</f>
        <v>26814168.474038001</v>
      </c>
      <c r="AR260">
        <f t="shared" si="94"/>
        <v>18080.122880622304</v>
      </c>
      <c r="AS260" t="str">
        <f>IF($A260="","",$A260&amp;"|"&amp;Allocation!BG260)</f>
        <v>2027|V02</v>
      </c>
    </row>
    <row r="261" spans="1:45" x14ac:dyDescent="0.45">
      <c r="A261" t="str">
        <f>IF(Allocation!BI261="","",Allocation!BI261)</f>
        <v>2027</v>
      </c>
      <c r="B261" t="str">
        <f>IF(Allocation!BJ261="","",Allocation!BJ261)</f>
        <v>ISCOM_TLS</v>
      </c>
      <c r="C261" t="str">
        <f>IF(Allocation!BK261="","",Allocation!BK261)</f>
        <v>ISCOM</v>
      </c>
      <c r="D261" t="str">
        <f>IF(Allocation!BL261="","",Allocation!BL261)</f>
        <v>BAC_COM</v>
      </c>
      <c r="E261" t="str">
        <f>IF(Allocation!BM261="","",Allocation!BM261)</f>
        <v>B1</v>
      </c>
      <c r="F261" t="str">
        <f>IF(Allocation!BN261="","",Allocation!BN261)</f>
        <v>INIT</v>
      </c>
      <c r="G261">
        <f>IF(Allocation!BO261="","",Allocation!BO261)</f>
        <v>57.616993999999998</v>
      </c>
      <c r="H261">
        <f>IF(Allocation!BP261="","",Allocation!BP261)</f>
        <v>2</v>
      </c>
      <c r="I261">
        <f>IF(Allocation!BQ261="","",Allocation!BQ261)</f>
        <v>436725.29112100002</v>
      </c>
      <c r="J261">
        <f>IF(Allocation!CC261="","",Allocation!CC261)</f>
        <v>57.616993999999998</v>
      </c>
      <c r="K261">
        <f t="shared" si="76"/>
        <v>1200</v>
      </c>
      <c r="L261">
        <f t="shared" si="77"/>
        <v>257.59918699999997</v>
      </c>
      <c r="M261">
        <f t="shared" si="78"/>
        <v>10</v>
      </c>
      <c r="N261">
        <f t="shared" si="79"/>
        <v>1893896.646222</v>
      </c>
      <c r="O261">
        <f t="shared" si="80"/>
        <v>4800</v>
      </c>
      <c r="P261">
        <f t="shared" si="81"/>
        <v>118.49918700000001</v>
      </c>
      <c r="Q261">
        <f t="shared" si="82"/>
        <v>923.4341350000002</v>
      </c>
      <c r="R261">
        <f t="shared" si="83"/>
        <v>35</v>
      </c>
      <c r="S261">
        <f t="shared" si="84"/>
        <v>7310915.4392070007</v>
      </c>
      <c r="T261">
        <f t="shared" si="85"/>
        <v>3473.6699979999999</v>
      </c>
      <c r="U261">
        <f t="shared" si="86"/>
        <v>135</v>
      </c>
      <c r="V261">
        <f t="shared" si="87"/>
        <v>26814168.474038001</v>
      </c>
      <c r="W261">
        <f>IF($A261="","",Allocation!CD261)</f>
        <v>135942.289468</v>
      </c>
      <c r="X261">
        <f>IF($A261="","",Allocation!CE261)</f>
        <v>281228.67382199998</v>
      </c>
      <c r="Y261">
        <f>IF($A261="","",Allocation!CF261)</f>
        <v>96785.225993</v>
      </c>
      <c r="Z261">
        <f>IF($A261="","",Allocation!CG261)</f>
        <v>25395.45</v>
      </c>
      <c r="AA261">
        <f>IF($A261="","",Allocation!CH261)</f>
        <v>609507.91024999996</v>
      </c>
      <c r="AB261">
        <f>IF($A261="","",Allocation!CI261)</f>
        <v>2894009.9927380001</v>
      </c>
      <c r="AC261">
        <f>IF($A261="","",IF(Allocation!$N$4="VOL_EFF",$G261,IF(Allocation!$N$4="VOL_CLASS",$H261,$I261)))</f>
        <v>2</v>
      </c>
      <c r="AD261">
        <f>IF($A261="","",IF(Allocation!$N$4="VOL_EFF",$L261,IF(Allocation!$N$4="VOL_CLASS",$M261,$N261)))</f>
        <v>10</v>
      </c>
      <c r="AE261">
        <f>IF($A261="","",IF(Allocation!$N$3="VOL_EFF",$L261,IF(Allocation!$N$3="VOL_CLASS",$M261,$N261)))</f>
        <v>257.59918699999997</v>
      </c>
      <c r="AF261">
        <f>IF($A261="","",IF(Allocation!$N$3="VOL_EFF",$Q261,IF(Allocation!$N$3="VOL_CLASS",$R261,$S261)))</f>
        <v>923.4341350000002</v>
      </c>
      <c r="AG261">
        <f>IF($A261="","",IF(Allocation!$N$1="VOL_EFF",$Q261,IF(Allocation!$N$1="VOL_CLASS",$R261,$S261)))</f>
        <v>923.4341350000002</v>
      </c>
      <c r="AH261">
        <f>IF($A261="","",IF(Allocation!$N$1="VOL_EFF",$T261,IF(Allocation!$N$1="VOL_CLASS",$U261,$V261)))</f>
        <v>3473.6699979999999</v>
      </c>
      <c r="AI261">
        <f t="shared" si="88"/>
        <v>33985.572367000001</v>
      </c>
      <c r="AJ261">
        <f t="shared" si="89"/>
        <v>70307.168455499996</v>
      </c>
      <c r="AK261">
        <f t="shared" si="90"/>
        <v>33995.714410774752</v>
      </c>
      <c r="AL261">
        <f t="shared" si="91"/>
        <v>121901.58205</v>
      </c>
      <c r="AM261">
        <f t="shared" si="92"/>
        <v>42922.593207092825</v>
      </c>
      <c r="AN261">
        <f t="shared" si="93"/>
        <v>121781.11539904703</v>
      </c>
      <c r="AO261">
        <f>IF($A261="","",Allocation!CJ261)</f>
        <v>777795.6</v>
      </c>
      <c r="AP261">
        <f>IF($A261="","",IF(Allocation!$N$2="VOL_EFF",$Q261,IF(Allocation!$N$2="VOL_CLASS",$R261,$S261)))</f>
        <v>7310915.4392070007</v>
      </c>
      <c r="AQ261">
        <f>IF($A261="","",IF(Allocation!$N$2="VOL_EFF",$T261,IF(Allocation!$N$2="VOL_CLASS",$U261,$V261)))</f>
        <v>26814168.474038001</v>
      </c>
      <c r="AR261">
        <f t="shared" si="94"/>
        <v>11831.545231585374</v>
      </c>
      <c r="AS261" t="str">
        <f>IF($A261="","",$A261&amp;"|"&amp;Allocation!BG261)</f>
        <v>2027|V02</v>
      </c>
    </row>
    <row r="262" spans="1:45" x14ac:dyDescent="0.45">
      <c r="A262" t="str">
        <f>IF(Allocation!BI262="","",Allocation!BI262)</f>
        <v>2027</v>
      </c>
      <c r="B262" t="str">
        <f>IF(Allocation!BJ262="","",Allocation!BJ262)</f>
        <v>ISCOM_TLS</v>
      </c>
      <c r="C262" t="str">
        <f>IF(Allocation!BK262="","",Allocation!BK262)</f>
        <v>ISCOM</v>
      </c>
      <c r="D262" t="str">
        <f>IF(Allocation!BL262="","",Allocation!BL262)</f>
        <v>BAC_COM</v>
      </c>
      <c r="E262" t="str">
        <f>IF(Allocation!BM262="","",Allocation!BM262)</f>
        <v>B2</v>
      </c>
      <c r="F262" t="str">
        <f>IF(Allocation!BN262="","",Allocation!BN262)</f>
        <v>ALT</v>
      </c>
      <c r="G262">
        <f>IF(Allocation!BO262="","",Allocation!BO262)</f>
        <v>46.704999999999998</v>
      </c>
      <c r="H262">
        <f>IF(Allocation!BP262="","",Allocation!BP262)</f>
        <v>2</v>
      </c>
      <c r="I262">
        <f>IF(Allocation!BQ262="","",Allocation!BQ262)</f>
        <v>326490.36839999998</v>
      </c>
      <c r="J262">
        <f>IF(Allocation!CC262="","",Allocation!CC262)</f>
        <v>0</v>
      </c>
      <c r="K262">
        <f t="shared" si="76"/>
        <v>960</v>
      </c>
      <c r="L262">
        <f t="shared" si="77"/>
        <v>257.59918699999997</v>
      </c>
      <c r="M262">
        <f t="shared" si="78"/>
        <v>10</v>
      </c>
      <c r="N262">
        <f t="shared" si="79"/>
        <v>1893896.646222</v>
      </c>
      <c r="O262">
        <f t="shared" si="80"/>
        <v>4800</v>
      </c>
      <c r="P262">
        <f t="shared" si="81"/>
        <v>118.49918700000001</v>
      </c>
      <c r="Q262">
        <f t="shared" si="82"/>
        <v>923.4341350000002</v>
      </c>
      <c r="R262">
        <f t="shared" si="83"/>
        <v>35</v>
      </c>
      <c r="S262">
        <f t="shared" si="84"/>
        <v>7310915.4392070007</v>
      </c>
      <c r="T262">
        <f t="shared" si="85"/>
        <v>3473.6699979999999</v>
      </c>
      <c r="U262">
        <f t="shared" si="86"/>
        <v>135</v>
      </c>
      <c r="V262">
        <f t="shared" si="87"/>
        <v>26814168.474038001</v>
      </c>
      <c r="W262">
        <f>IF($A262="","",Allocation!CD262)</f>
        <v>135942.289468</v>
      </c>
      <c r="X262">
        <f>IF($A262="","",Allocation!CE262)</f>
        <v>281228.67382199998</v>
      </c>
      <c r="Y262">
        <f>IF($A262="","",Allocation!CF262)</f>
        <v>96785.225993</v>
      </c>
      <c r="Z262">
        <f>IF($A262="","",Allocation!CG262)</f>
        <v>25395.45</v>
      </c>
      <c r="AA262">
        <f>IF($A262="","",Allocation!CH262)</f>
        <v>609507.91024999996</v>
      </c>
      <c r="AB262">
        <f>IF($A262="","",Allocation!CI262)</f>
        <v>2894009.9927380001</v>
      </c>
      <c r="AC262">
        <f>IF($A262="","",IF(Allocation!$N$4="VOL_EFF",$G262,IF(Allocation!$N$4="VOL_CLASS",$H262,$I262)))</f>
        <v>2</v>
      </c>
      <c r="AD262">
        <f>IF($A262="","",IF(Allocation!$N$4="VOL_EFF",$L262,IF(Allocation!$N$4="VOL_CLASS",$M262,$N262)))</f>
        <v>10</v>
      </c>
      <c r="AE262">
        <f>IF($A262="","",IF(Allocation!$N$3="VOL_EFF",$L262,IF(Allocation!$N$3="VOL_CLASS",$M262,$N262)))</f>
        <v>257.59918699999997</v>
      </c>
      <c r="AF262">
        <f>IF($A262="","",IF(Allocation!$N$3="VOL_EFF",$Q262,IF(Allocation!$N$3="VOL_CLASS",$R262,$S262)))</f>
        <v>923.4341350000002</v>
      </c>
      <c r="AG262">
        <f>IF($A262="","",IF(Allocation!$N$1="VOL_EFF",$Q262,IF(Allocation!$N$1="VOL_CLASS",$R262,$S262)))</f>
        <v>923.4341350000002</v>
      </c>
      <c r="AH262">
        <f>IF($A262="","",IF(Allocation!$N$1="VOL_EFF",$T262,IF(Allocation!$N$1="VOL_CLASS",$U262,$V262)))</f>
        <v>3473.6699979999999</v>
      </c>
      <c r="AI262">
        <f t="shared" si="88"/>
        <v>27188.457893600003</v>
      </c>
      <c r="AJ262">
        <f t="shared" si="89"/>
        <v>56245.734764399996</v>
      </c>
      <c r="AK262">
        <f t="shared" si="90"/>
        <v>17548.01337941748</v>
      </c>
      <c r="AL262">
        <f t="shared" si="91"/>
        <v>121901.58205</v>
      </c>
      <c r="AM262">
        <f t="shared" si="92"/>
        <v>42922.593207092825</v>
      </c>
      <c r="AN262">
        <f t="shared" si="93"/>
        <v>48852.441873904259</v>
      </c>
      <c r="AO262">
        <f>IF($A262="","",Allocation!CJ262)</f>
        <v>777795.6</v>
      </c>
      <c r="AP262">
        <f>IF($A262="","",IF(Allocation!$N$2="VOL_EFF",$Q262,IF(Allocation!$N$2="VOL_CLASS",$R262,$S262)))</f>
        <v>7310915.4392070007</v>
      </c>
      <c r="AQ262">
        <f>IF($A262="","",IF(Allocation!$N$2="VOL_EFF",$T262,IF(Allocation!$N$2="VOL_CLASS",$U262,$V262)))</f>
        <v>26814168.474038001</v>
      </c>
      <c r="AR262">
        <f t="shared" si="94"/>
        <v>11831.545231585374</v>
      </c>
      <c r="AS262" t="str">
        <f>IF($A262="","",$A262&amp;"|"&amp;Allocation!BG262)</f>
        <v>2027|V02</v>
      </c>
    </row>
    <row r="263" spans="1:45" x14ac:dyDescent="0.45">
      <c r="A263" t="str">
        <f>IF(Allocation!BI263="","",Allocation!BI263)</f>
        <v>2027</v>
      </c>
      <c r="B263" t="str">
        <f>IF(Allocation!BJ263="","",Allocation!BJ263)</f>
        <v>ISCOM_TLS</v>
      </c>
      <c r="C263" t="str">
        <f>IF(Allocation!BK263="","",Allocation!BK263)</f>
        <v>ISCOM</v>
      </c>
      <c r="D263" t="str">
        <f>IF(Allocation!BL263="","",Allocation!BL263)</f>
        <v>BAC_COM</v>
      </c>
      <c r="E263" t="str">
        <f>IF(Allocation!BM263="","",Allocation!BM263)</f>
        <v>B3</v>
      </c>
      <c r="F263" t="str">
        <f>IF(Allocation!BN263="","",Allocation!BN263)</f>
        <v>ALT</v>
      </c>
      <c r="G263">
        <f>IF(Allocation!BO263="","",Allocation!BO263)</f>
        <v>45.69</v>
      </c>
      <c r="H263">
        <f>IF(Allocation!BP263="","",Allocation!BP263)</f>
        <v>2</v>
      </c>
      <c r="I263">
        <f>IF(Allocation!BQ263="","",Allocation!BQ263)</f>
        <v>319395.03120000003</v>
      </c>
      <c r="J263">
        <f>IF(Allocation!CC263="","",Allocation!CC263)</f>
        <v>0</v>
      </c>
      <c r="K263">
        <f t="shared" si="76"/>
        <v>960</v>
      </c>
      <c r="L263">
        <f t="shared" si="77"/>
        <v>257.59918699999997</v>
      </c>
      <c r="M263">
        <f t="shared" si="78"/>
        <v>10</v>
      </c>
      <c r="N263">
        <f t="shared" si="79"/>
        <v>1893896.646222</v>
      </c>
      <c r="O263">
        <f t="shared" si="80"/>
        <v>4800</v>
      </c>
      <c r="P263">
        <f t="shared" si="81"/>
        <v>118.49918700000001</v>
      </c>
      <c r="Q263">
        <f t="shared" si="82"/>
        <v>923.4341350000002</v>
      </c>
      <c r="R263">
        <f t="shared" si="83"/>
        <v>35</v>
      </c>
      <c r="S263">
        <f t="shared" si="84"/>
        <v>7310915.4392070007</v>
      </c>
      <c r="T263">
        <f t="shared" si="85"/>
        <v>3473.6699979999999</v>
      </c>
      <c r="U263">
        <f t="shared" si="86"/>
        <v>135</v>
      </c>
      <c r="V263">
        <f t="shared" si="87"/>
        <v>26814168.474038001</v>
      </c>
      <c r="W263">
        <f>IF($A263="","",Allocation!CD263)</f>
        <v>135942.289468</v>
      </c>
      <c r="X263">
        <f>IF($A263="","",Allocation!CE263)</f>
        <v>281228.67382199998</v>
      </c>
      <c r="Y263">
        <f>IF($A263="","",Allocation!CF263)</f>
        <v>96785.225993</v>
      </c>
      <c r="Z263">
        <f>IF($A263="","",Allocation!CG263)</f>
        <v>25395.45</v>
      </c>
      <c r="AA263">
        <f>IF($A263="","",Allocation!CH263)</f>
        <v>609507.91024999996</v>
      </c>
      <c r="AB263">
        <f>IF($A263="","",Allocation!CI263)</f>
        <v>2894009.9927380001</v>
      </c>
      <c r="AC263">
        <f>IF($A263="","",IF(Allocation!$N$4="VOL_EFF",$G263,IF(Allocation!$N$4="VOL_CLASS",$H263,$I263)))</f>
        <v>2</v>
      </c>
      <c r="AD263">
        <f>IF($A263="","",IF(Allocation!$N$4="VOL_EFF",$L263,IF(Allocation!$N$4="VOL_CLASS",$M263,$N263)))</f>
        <v>10</v>
      </c>
      <c r="AE263">
        <f>IF($A263="","",IF(Allocation!$N$3="VOL_EFF",$L263,IF(Allocation!$N$3="VOL_CLASS",$M263,$N263)))</f>
        <v>257.59918699999997</v>
      </c>
      <c r="AF263">
        <f>IF($A263="","",IF(Allocation!$N$3="VOL_EFF",$Q263,IF(Allocation!$N$3="VOL_CLASS",$R263,$S263)))</f>
        <v>923.4341350000002</v>
      </c>
      <c r="AG263">
        <f>IF($A263="","",IF(Allocation!$N$1="VOL_EFF",$Q263,IF(Allocation!$N$1="VOL_CLASS",$R263,$S263)))</f>
        <v>923.4341350000002</v>
      </c>
      <c r="AH263">
        <f>IF($A263="","",IF(Allocation!$N$1="VOL_EFF",$T263,IF(Allocation!$N$1="VOL_CLASS",$U263,$V263)))</f>
        <v>3473.6699979999999</v>
      </c>
      <c r="AI263">
        <f t="shared" si="88"/>
        <v>27188.457893600003</v>
      </c>
      <c r="AJ263">
        <f t="shared" si="89"/>
        <v>56245.734764399996</v>
      </c>
      <c r="AK263">
        <f t="shared" si="90"/>
        <v>17166.657345157579</v>
      </c>
      <c r="AL263">
        <f t="shared" si="91"/>
        <v>121901.58205</v>
      </c>
      <c r="AM263">
        <f t="shared" si="92"/>
        <v>42922.593207092825</v>
      </c>
      <c r="AN263">
        <f t="shared" si="93"/>
        <v>42138.460708164203</v>
      </c>
      <c r="AO263">
        <f>IF($A263="","",Allocation!CJ263)</f>
        <v>777795.6</v>
      </c>
      <c r="AP263">
        <f>IF($A263="","",IF(Allocation!$N$2="VOL_EFF",$Q263,IF(Allocation!$N$2="VOL_CLASS",$R263,$S263)))</f>
        <v>7310915.4392070007</v>
      </c>
      <c r="AQ263">
        <f>IF($A263="","",IF(Allocation!$N$2="VOL_EFF",$T263,IF(Allocation!$N$2="VOL_CLASS",$U263,$V263)))</f>
        <v>26814168.474038001</v>
      </c>
      <c r="AR263">
        <f t="shared" si="94"/>
        <v>11831.545231585374</v>
      </c>
      <c r="AS263" t="str">
        <f>IF($A263="","",$A263&amp;"|"&amp;Allocation!BG263)</f>
        <v>2027|V02</v>
      </c>
    </row>
    <row r="264" spans="1:45" x14ac:dyDescent="0.45">
      <c r="A264" t="str">
        <f>IF(Allocation!BI264="","",Allocation!BI264)</f>
        <v>2027</v>
      </c>
      <c r="B264" t="str">
        <f>IF(Allocation!BJ264="","",Allocation!BJ264)</f>
        <v>ISCOM_TLS</v>
      </c>
      <c r="C264" t="str">
        <f>IF(Allocation!BK264="","",Allocation!BK264)</f>
        <v>ISCOM</v>
      </c>
      <c r="D264" t="str">
        <f>IF(Allocation!BL264="","",Allocation!BL264)</f>
        <v>MAS_COM</v>
      </c>
      <c r="E264" t="str">
        <f>IF(Allocation!BM264="","",Allocation!BM264)</f>
        <v>M1</v>
      </c>
      <c r="F264" t="str">
        <f>IF(Allocation!BN264="","",Allocation!BN264)</f>
        <v>ALT</v>
      </c>
      <c r="G264">
        <f>IF(Allocation!BO264="","",Allocation!BO264)</f>
        <v>60.882193000000001</v>
      </c>
      <c r="H264">
        <f>IF(Allocation!BP264="","",Allocation!BP264)</f>
        <v>2</v>
      </c>
      <c r="I264">
        <f>IF(Allocation!BQ264="","",Allocation!BQ264)</f>
        <v>461474.84650099999</v>
      </c>
      <c r="J264">
        <f>IF(Allocation!CC264="","",Allocation!CC264)</f>
        <v>60.882193000000001</v>
      </c>
      <c r="K264">
        <f t="shared" si="76"/>
        <v>840</v>
      </c>
      <c r="L264">
        <f t="shared" si="77"/>
        <v>257.59918699999997</v>
      </c>
      <c r="M264">
        <f t="shared" si="78"/>
        <v>10</v>
      </c>
      <c r="N264">
        <f t="shared" si="79"/>
        <v>1893896.646222</v>
      </c>
      <c r="O264">
        <f t="shared" si="80"/>
        <v>4800</v>
      </c>
      <c r="P264">
        <f t="shared" si="81"/>
        <v>118.49918700000001</v>
      </c>
      <c r="Q264">
        <f t="shared" si="82"/>
        <v>923.4341350000002</v>
      </c>
      <c r="R264">
        <f t="shared" si="83"/>
        <v>35</v>
      </c>
      <c r="S264">
        <f t="shared" si="84"/>
        <v>7310915.4392070007</v>
      </c>
      <c r="T264">
        <f t="shared" si="85"/>
        <v>3473.6699979999999</v>
      </c>
      <c r="U264">
        <f t="shared" si="86"/>
        <v>135</v>
      </c>
      <c r="V264">
        <f t="shared" si="87"/>
        <v>26814168.474038001</v>
      </c>
      <c r="W264">
        <f>IF($A264="","",Allocation!CD264)</f>
        <v>135942.289468</v>
      </c>
      <c r="X264">
        <f>IF($A264="","",Allocation!CE264)</f>
        <v>281228.67382199998</v>
      </c>
      <c r="Y264">
        <f>IF($A264="","",Allocation!CF264)</f>
        <v>96785.225993</v>
      </c>
      <c r="Z264">
        <f>IF($A264="","",Allocation!CG264)</f>
        <v>25395.45</v>
      </c>
      <c r="AA264">
        <f>IF($A264="","",Allocation!CH264)</f>
        <v>609507.91024999996</v>
      </c>
      <c r="AB264">
        <f>IF($A264="","",Allocation!CI264)</f>
        <v>2894009.9927380001</v>
      </c>
      <c r="AC264">
        <f>IF($A264="","",IF(Allocation!$N$4="VOL_EFF",$G264,IF(Allocation!$N$4="VOL_CLASS",$H264,$I264)))</f>
        <v>2</v>
      </c>
      <c r="AD264">
        <f>IF($A264="","",IF(Allocation!$N$4="VOL_EFF",$L264,IF(Allocation!$N$4="VOL_CLASS",$M264,$N264)))</f>
        <v>10</v>
      </c>
      <c r="AE264">
        <f>IF($A264="","",IF(Allocation!$N$3="VOL_EFF",$L264,IF(Allocation!$N$3="VOL_CLASS",$M264,$N264)))</f>
        <v>257.59918699999997</v>
      </c>
      <c r="AF264">
        <f>IF($A264="","",IF(Allocation!$N$3="VOL_EFF",$Q264,IF(Allocation!$N$3="VOL_CLASS",$R264,$S264)))</f>
        <v>923.4341350000002</v>
      </c>
      <c r="AG264">
        <f>IF($A264="","",IF(Allocation!$N$1="VOL_EFF",$Q264,IF(Allocation!$N$1="VOL_CLASS",$R264,$S264)))</f>
        <v>923.4341350000002</v>
      </c>
      <c r="AH264">
        <f>IF($A264="","",IF(Allocation!$N$1="VOL_EFF",$T264,IF(Allocation!$N$1="VOL_CLASS",$U264,$V264)))</f>
        <v>3473.6699979999999</v>
      </c>
      <c r="AI264">
        <f t="shared" si="88"/>
        <v>23789.900656899998</v>
      </c>
      <c r="AJ264">
        <f t="shared" si="89"/>
        <v>49215.017918849997</v>
      </c>
      <c r="AK264">
        <f t="shared" si="90"/>
        <v>35922.277478232718</v>
      </c>
      <c r="AL264">
        <f t="shared" si="91"/>
        <v>121901.58205</v>
      </c>
      <c r="AM264">
        <f t="shared" si="92"/>
        <v>42922.593207092825</v>
      </c>
      <c r="AN264">
        <f t="shared" si="93"/>
        <v>175891.92995833908</v>
      </c>
      <c r="AO264">
        <f>IF($A264="","",Allocation!CJ264)</f>
        <v>777795.6</v>
      </c>
      <c r="AP264">
        <f>IF($A264="","",IF(Allocation!$N$2="VOL_EFF",$Q264,IF(Allocation!$N$2="VOL_CLASS",$R264,$S264)))</f>
        <v>7310915.4392070007</v>
      </c>
      <c r="AQ264">
        <f>IF($A264="","",IF(Allocation!$N$2="VOL_EFF",$T264,IF(Allocation!$N$2="VOL_CLASS",$U264,$V264)))</f>
        <v>26814168.474038001</v>
      </c>
      <c r="AR264">
        <f t="shared" si="94"/>
        <v>11831.545231585374</v>
      </c>
      <c r="AS264" t="str">
        <f>IF($A264="","",$A264&amp;"|"&amp;Allocation!BG264)</f>
        <v>2027|V02</v>
      </c>
    </row>
    <row r="265" spans="1:45" x14ac:dyDescent="0.45">
      <c r="A265" t="str">
        <f>IF(Allocation!BI265="","",Allocation!BI265)</f>
        <v>2027</v>
      </c>
      <c r="B265" t="str">
        <f>IF(Allocation!BJ265="","",Allocation!BJ265)</f>
        <v>ISCOM_TLS</v>
      </c>
      <c r="C265" t="str">
        <f>IF(Allocation!BK265="","",Allocation!BK265)</f>
        <v>ISCOM</v>
      </c>
      <c r="D265" t="str">
        <f>IF(Allocation!BL265="","",Allocation!BL265)</f>
        <v>MAS_COM</v>
      </c>
      <c r="E265" t="str">
        <f>IF(Allocation!BM265="","",Allocation!BM265)</f>
        <v>M2</v>
      </c>
      <c r="F265" t="str">
        <f>IF(Allocation!BN265="","",Allocation!BN265)</f>
        <v>ALT</v>
      </c>
      <c r="G265">
        <f>IF(Allocation!BO265="","",Allocation!BO265)</f>
        <v>46.704999999999998</v>
      </c>
      <c r="H265">
        <f>IF(Allocation!BP265="","",Allocation!BP265)</f>
        <v>2</v>
      </c>
      <c r="I265">
        <f>IF(Allocation!BQ265="","",Allocation!BQ265)</f>
        <v>349811.109</v>
      </c>
      <c r="J265">
        <f>IF(Allocation!CC265="","",Allocation!CC265)</f>
        <v>0</v>
      </c>
      <c r="K265">
        <f t="shared" si="76"/>
        <v>840</v>
      </c>
      <c r="L265">
        <f t="shared" si="77"/>
        <v>257.59918699999997</v>
      </c>
      <c r="M265">
        <f t="shared" si="78"/>
        <v>10</v>
      </c>
      <c r="N265">
        <f t="shared" si="79"/>
        <v>1893896.646222</v>
      </c>
      <c r="O265">
        <f t="shared" si="80"/>
        <v>4800</v>
      </c>
      <c r="P265">
        <f t="shared" si="81"/>
        <v>118.49918700000001</v>
      </c>
      <c r="Q265">
        <f t="shared" si="82"/>
        <v>923.4341350000002</v>
      </c>
      <c r="R265">
        <f t="shared" si="83"/>
        <v>35</v>
      </c>
      <c r="S265">
        <f t="shared" si="84"/>
        <v>7310915.4392070007</v>
      </c>
      <c r="T265">
        <f t="shared" si="85"/>
        <v>3473.6699979999999</v>
      </c>
      <c r="U265">
        <f t="shared" si="86"/>
        <v>135</v>
      </c>
      <c r="V265">
        <f t="shared" si="87"/>
        <v>26814168.474038001</v>
      </c>
      <c r="W265">
        <f>IF($A265="","",Allocation!CD265)</f>
        <v>135942.289468</v>
      </c>
      <c r="X265">
        <f>IF($A265="","",Allocation!CE265)</f>
        <v>281228.67382199998</v>
      </c>
      <c r="Y265">
        <f>IF($A265="","",Allocation!CF265)</f>
        <v>96785.225993</v>
      </c>
      <c r="Z265">
        <f>IF($A265="","",Allocation!CG265)</f>
        <v>25395.45</v>
      </c>
      <c r="AA265">
        <f>IF($A265="","",Allocation!CH265)</f>
        <v>609507.91024999996</v>
      </c>
      <c r="AB265">
        <f>IF($A265="","",Allocation!CI265)</f>
        <v>2894009.9927380001</v>
      </c>
      <c r="AC265">
        <f>IF($A265="","",IF(Allocation!$N$4="VOL_EFF",$G265,IF(Allocation!$N$4="VOL_CLASS",$H265,$I265)))</f>
        <v>2</v>
      </c>
      <c r="AD265">
        <f>IF($A265="","",IF(Allocation!$N$4="VOL_EFF",$L265,IF(Allocation!$N$4="VOL_CLASS",$M265,$N265)))</f>
        <v>10</v>
      </c>
      <c r="AE265">
        <f>IF($A265="","",IF(Allocation!$N$3="VOL_EFF",$L265,IF(Allocation!$N$3="VOL_CLASS",$M265,$N265)))</f>
        <v>257.59918699999997</v>
      </c>
      <c r="AF265">
        <f>IF($A265="","",IF(Allocation!$N$3="VOL_EFF",$Q265,IF(Allocation!$N$3="VOL_CLASS",$R265,$S265)))</f>
        <v>923.4341350000002</v>
      </c>
      <c r="AG265">
        <f>IF($A265="","",IF(Allocation!$N$1="VOL_EFF",$Q265,IF(Allocation!$N$1="VOL_CLASS",$R265,$S265)))</f>
        <v>923.4341350000002</v>
      </c>
      <c r="AH265">
        <f>IF($A265="","",IF(Allocation!$N$1="VOL_EFF",$T265,IF(Allocation!$N$1="VOL_CLASS",$U265,$V265)))</f>
        <v>3473.6699979999999</v>
      </c>
      <c r="AI265">
        <f t="shared" si="88"/>
        <v>23789.900656899998</v>
      </c>
      <c r="AJ265">
        <f t="shared" si="89"/>
        <v>49215.017918849997</v>
      </c>
      <c r="AK265">
        <f t="shared" si="90"/>
        <v>17548.01337941748</v>
      </c>
      <c r="AL265">
        <f t="shared" si="91"/>
        <v>121901.58205</v>
      </c>
      <c r="AM265">
        <f t="shared" si="92"/>
        <v>42922.593207092825</v>
      </c>
      <c r="AN265">
        <f t="shared" si="93"/>
        <v>82602.456556154299</v>
      </c>
      <c r="AO265">
        <f>IF($A265="","",Allocation!CJ265)</f>
        <v>777795.6</v>
      </c>
      <c r="AP265">
        <f>IF($A265="","",IF(Allocation!$N$2="VOL_EFF",$Q265,IF(Allocation!$N$2="VOL_CLASS",$R265,$S265)))</f>
        <v>7310915.4392070007</v>
      </c>
      <c r="AQ265">
        <f>IF($A265="","",IF(Allocation!$N$2="VOL_EFF",$T265,IF(Allocation!$N$2="VOL_CLASS",$U265,$V265)))</f>
        <v>26814168.474038001</v>
      </c>
      <c r="AR265">
        <f t="shared" si="94"/>
        <v>11831.545231585374</v>
      </c>
      <c r="AS265" t="str">
        <f>IF($A265="","",$A265&amp;"|"&amp;Allocation!BG265)</f>
        <v>2027|V02</v>
      </c>
    </row>
    <row r="266" spans="1:45" x14ac:dyDescent="0.45">
      <c r="A266" t="str">
        <f>IF(Allocation!BI266="","",Allocation!BI266)</f>
        <v>2027</v>
      </c>
      <c r="B266" t="str">
        <f>IF(Allocation!BJ266="","",Allocation!BJ266)</f>
        <v>MBWAY_BOR</v>
      </c>
      <c r="C266" t="str">
        <f>IF(Allocation!BK266="","",Allocation!BK266)</f>
        <v>MBWAY</v>
      </c>
      <c r="D266" t="str">
        <f>IF(Allocation!BL266="","",Allocation!BL266)</f>
        <v>BAC_MGT</v>
      </c>
      <c r="E266" t="str">
        <f>IF(Allocation!BM266="","",Allocation!BM266)</f>
        <v>B1</v>
      </c>
      <c r="F266" t="str">
        <f>IF(Allocation!BN266="","",Allocation!BN266)</f>
        <v>INIT</v>
      </c>
      <c r="G266">
        <f>IF(Allocation!BO266="","",Allocation!BO266)</f>
        <v>62.592962999999997</v>
      </c>
      <c r="H266">
        <f>IF(Allocation!BP266="","",Allocation!BP266)</f>
        <v>2</v>
      </c>
      <c r="I266">
        <f>IF(Allocation!BQ266="","",Allocation!BQ266)</f>
        <v>480122.45234000002</v>
      </c>
      <c r="J266">
        <f>IF(Allocation!CC266="","",Allocation!CC266)</f>
        <v>62.592962999999997</v>
      </c>
      <c r="K266">
        <f t="shared" si="76"/>
        <v>1200</v>
      </c>
      <c r="L266">
        <f t="shared" si="77"/>
        <v>277.981832</v>
      </c>
      <c r="M266">
        <f t="shared" si="78"/>
        <v>10</v>
      </c>
      <c r="N266">
        <f t="shared" si="79"/>
        <v>2069060.7464480002</v>
      </c>
      <c r="O266">
        <f t="shared" si="80"/>
        <v>4800</v>
      </c>
      <c r="P266">
        <f t="shared" si="81"/>
        <v>128.71683200000001</v>
      </c>
      <c r="Q266">
        <f t="shared" si="82"/>
        <v>1392.39301</v>
      </c>
      <c r="R266">
        <f t="shared" si="83"/>
        <v>50</v>
      </c>
      <c r="S266">
        <f t="shared" si="84"/>
        <v>11144112.273887001</v>
      </c>
      <c r="T266">
        <f t="shared" si="85"/>
        <v>3473.6699979999999</v>
      </c>
      <c r="U266">
        <f t="shared" si="86"/>
        <v>135</v>
      </c>
      <c r="V266">
        <f t="shared" si="87"/>
        <v>26814168.474038001</v>
      </c>
      <c r="W266">
        <f>IF($A266="","",Allocation!CD266)</f>
        <v>135942.289468</v>
      </c>
      <c r="X266">
        <f>IF($A266="","",Allocation!CE266)</f>
        <v>294522.14675399999</v>
      </c>
      <c r="Y266">
        <f>IF($A266="","",Allocation!CF266)</f>
        <v>104327.25363200001</v>
      </c>
      <c r="Z266">
        <f>IF($A266="","",Allocation!CG266)</f>
        <v>28661.45</v>
      </c>
      <c r="AA266">
        <f>IF($A266="","",Allocation!CH266)</f>
        <v>672067.32410500001</v>
      </c>
      <c r="AB266">
        <f>IF($A266="","",Allocation!CI266)</f>
        <v>2894009.9927380001</v>
      </c>
      <c r="AC266">
        <f>IF($A266="","",IF(Allocation!$N$4="VOL_EFF",$G266,IF(Allocation!$N$4="VOL_CLASS",$H266,$I266)))</f>
        <v>2</v>
      </c>
      <c r="AD266">
        <f>IF($A266="","",IF(Allocation!$N$4="VOL_EFF",$L266,IF(Allocation!$N$4="VOL_CLASS",$M266,$N266)))</f>
        <v>10</v>
      </c>
      <c r="AE266">
        <f>IF($A266="","",IF(Allocation!$N$3="VOL_EFF",$L266,IF(Allocation!$N$3="VOL_CLASS",$M266,$N266)))</f>
        <v>277.981832</v>
      </c>
      <c r="AF266">
        <f>IF($A266="","",IF(Allocation!$N$3="VOL_EFF",$Q266,IF(Allocation!$N$3="VOL_CLASS",$R266,$S266)))</f>
        <v>1392.39301</v>
      </c>
      <c r="AG266">
        <f>IF($A266="","",IF(Allocation!$N$1="VOL_EFF",$Q266,IF(Allocation!$N$1="VOL_CLASS",$R266,$S266)))</f>
        <v>1392.39301</v>
      </c>
      <c r="AH266">
        <f>IF($A266="","",IF(Allocation!$N$1="VOL_EFF",$T266,IF(Allocation!$N$1="VOL_CLASS",$U266,$V266)))</f>
        <v>3473.6699979999999</v>
      </c>
      <c r="AI266">
        <f t="shared" si="88"/>
        <v>33985.572367000001</v>
      </c>
      <c r="AJ266">
        <f t="shared" si="89"/>
        <v>73630.536688499997</v>
      </c>
      <c r="AK266">
        <f t="shared" si="90"/>
        <v>37428.900925178474</v>
      </c>
      <c r="AL266">
        <f t="shared" si="91"/>
        <v>134413.464821</v>
      </c>
      <c r="AM266">
        <f t="shared" si="92"/>
        <v>46318.861611540808</v>
      </c>
      <c r="AN266">
        <f t="shared" si="93"/>
        <v>141437.94084611646</v>
      </c>
      <c r="AO266">
        <f>IF($A266="","",Allocation!CJ266)</f>
        <v>777795.6</v>
      </c>
      <c r="AP266">
        <f>IF($A266="","",IF(Allocation!$N$2="VOL_EFF",$Q266,IF(Allocation!$N$2="VOL_CLASS",$R266,$S266)))</f>
        <v>11144112.273887001</v>
      </c>
      <c r="AQ266">
        <f>IF($A266="","",IF(Allocation!$N$2="VOL_EFF",$T266,IF(Allocation!$N$2="VOL_CLASS",$U266,$V266)))</f>
        <v>26814168.474038001</v>
      </c>
      <c r="AR266">
        <f t="shared" si="94"/>
        <v>12907.175080664336</v>
      </c>
      <c r="AS266" t="str">
        <f>IF($A266="","",$A266&amp;"|"&amp;Allocation!BG266)</f>
        <v>2027|V02</v>
      </c>
    </row>
    <row r="267" spans="1:45" x14ac:dyDescent="0.45">
      <c r="A267" t="str">
        <f>IF(Allocation!BI267="","",Allocation!BI267)</f>
        <v>2027</v>
      </c>
      <c r="B267" t="str">
        <f>IF(Allocation!BJ267="","",Allocation!BJ267)</f>
        <v>MBWAY_BOR</v>
      </c>
      <c r="C267" t="str">
        <f>IF(Allocation!BK267="","",Allocation!BK267)</f>
        <v>MBWAY</v>
      </c>
      <c r="D267" t="str">
        <f>IF(Allocation!BL267="","",Allocation!BL267)</f>
        <v>BAC_MGT</v>
      </c>
      <c r="E267" t="str">
        <f>IF(Allocation!BM267="","",Allocation!BM267)</f>
        <v>B2</v>
      </c>
      <c r="F267" t="str">
        <f>IF(Allocation!BN267="","",Allocation!BN267)</f>
        <v>ALT</v>
      </c>
      <c r="G267">
        <f>IF(Allocation!BO267="","",Allocation!BO267)</f>
        <v>49.765000000000001</v>
      </c>
      <c r="H267">
        <f>IF(Allocation!BP267="","",Allocation!BP267)</f>
        <v>2</v>
      </c>
      <c r="I267">
        <f>IF(Allocation!BQ267="","",Allocation!BQ267)</f>
        <v>352096.33270000003</v>
      </c>
      <c r="J267">
        <f>IF(Allocation!CC267="","",Allocation!CC267)</f>
        <v>0</v>
      </c>
      <c r="K267">
        <f t="shared" si="76"/>
        <v>960</v>
      </c>
      <c r="L267">
        <f t="shared" si="77"/>
        <v>277.981832</v>
      </c>
      <c r="M267">
        <f t="shared" si="78"/>
        <v>10</v>
      </c>
      <c r="N267">
        <f t="shared" si="79"/>
        <v>2069060.7464480002</v>
      </c>
      <c r="O267">
        <f t="shared" si="80"/>
        <v>4800</v>
      </c>
      <c r="P267">
        <f t="shared" si="81"/>
        <v>128.71683200000001</v>
      </c>
      <c r="Q267">
        <f t="shared" si="82"/>
        <v>1392.39301</v>
      </c>
      <c r="R267">
        <f t="shared" si="83"/>
        <v>50</v>
      </c>
      <c r="S267">
        <f t="shared" si="84"/>
        <v>11144112.273887001</v>
      </c>
      <c r="T267">
        <f t="shared" si="85"/>
        <v>3473.6699979999999</v>
      </c>
      <c r="U267">
        <f t="shared" si="86"/>
        <v>135</v>
      </c>
      <c r="V267">
        <f t="shared" si="87"/>
        <v>26814168.474038001</v>
      </c>
      <c r="W267">
        <f>IF($A267="","",Allocation!CD267)</f>
        <v>135942.289468</v>
      </c>
      <c r="X267">
        <f>IF($A267="","",Allocation!CE267)</f>
        <v>294522.14675399999</v>
      </c>
      <c r="Y267">
        <f>IF($A267="","",Allocation!CF267)</f>
        <v>104327.25363200001</v>
      </c>
      <c r="Z267">
        <f>IF($A267="","",Allocation!CG267)</f>
        <v>28661.45</v>
      </c>
      <c r="AA267">
        <f>IF($A267="","",Allocation!CH267)</f>
        <v>672067.32410500001</v>
      </c>
      <c r="AB267">
        <f>IF($A267="","",Allocation!CI267)</f>
        <v>2894009.9927380001</v>
      </c>
      <c r="AC267">
        <f>IF($A267="","",IF(Allocation!$N$4="VOL_EFF",$G267,IF(Allocation!$N$4="VOL_CLASS",$H267,$I267)))</f>
        <v>2</v>
      </c>
      <c r="AD267">
        <f>IF($A267="","",IF(Allocation!$N$4="VOL_EFF",$L267,IF(Allocation!$N$4="VOL_CLASS",$M267,$N267)))</f>
        <v>10</v>
      </c>
      <c r="AE267">
        <f>IF($A267="","",IF(Allocation!$N$3="VOL_EFF",$L267,IF(Allocation!$N$3="VOL_CLASS",$M267,$N267)))</f>
        <v>277.981832</v>
      </c>
      <c r="AF267">
        <f>IF($A267="","",IF(Allocation!$N$3="VOL_EFF",$Q267,IF(Allocation!$N$3="VOL_CLASS",$R267,$S267)))</f>
        <v>1392.39301</v>
      </c>
      <c r="AG267">
        <f>IF($A267="","",IF(Allocation!$N$1="VOL_EFF",$Q267,IF(Allocation!$N$1="VOL_CLASS",$R267,$S267)))</f>
        <v>1392.39301</v>
      </c>
      <c r="AH267">
        <f>IF($A267="","",IF(Allocation!$N$1="VOL_EFF",$T267,IF(Allocation!$N$1="VOL_CLASS",$U267,$V267)))</f>
        <v>3473.6699979999999</v>
      </c>
      <c r="AI267">
        <f t="shared" si="88"/>
        <v>27188.457893600003</v>
      </c>
      <c r="AJ267">
        <f t="shared" si="89"/>
        <v>58904.429350799997</v>
      </c>
      <c r="AK267">
        <f t="shared" si="90"/>
        <v>18676.924817865365</v>
      </c>
      <c r="AL267">
        <f t="shared" si="91"/>
        <v>134413.464821</v>
      </c>
      <c r="AM267">
        <f t="shared" si="92"/>
        <v>46318.861611540808</v>
      </c>
      <c r="AN267">
        <f t="shared" si="93"/>
        <v>53687.019124529557</v>
      </c>
      <c r="AO267">
        <f>IF($A267="","",Allocation!CJ267)</f>
        <v>777795.6</v>
      </c>
      <c r="AP267">
        <f>IF($A267="","",IF(Allocation!$N$2="VOL_EFF",$Q267,IF(Allocation!$N$2="VOL_CLASS",$R267,$S267)))</f>
        <v>11144112.273887001</v>
      </c>
      <c r="AQ267">
        <f>IF($A267="","",IF(Allocation!$N$2="VOL_EFF",$T267,IF(Allocation!$N$2="VOL_CLASS",$U267,$V267)))</f>
        <v>26814168.474038001</v>
      </c>
      <c r="AR267">
        <f t="shared" si="94"/>
        <v>12907.175080664336</v>
      </c>
      <c r="AS267" t="str">
        <f>IF($A267="","",$A267&amp;"|"&amp;Allocation!BG267)</f>
        <v>2027|V02</v>
      </c>
    </row>
    <row r="268" spans="1:45" x14ac:dyDescent="0.45">
      <c r="A268" t="str">
        <f>IF(Allocation!BI268="","",Allocation!BI268)</f>
        <v>2027</v>
      </c>
      <c r="B268" t="str">
        <f>IF(Allocation!BJ268="","",Allocation!BJ268)</f>
        <v>MBWAY_BOR</v>
      </c>
      <c r="C268" t="str">
        <f>IF(Allocation!BK268="","",Allocation!BK268)</f>
        <v>MBWAY</v>
      </c>
      <c r="D268" t="str">
        <f>IF(Allocation!BL268="","",Allocation!BL268)</f>
        <v>BAC_MGT</v>
      </c>
      <c r="E268" t="str">
        <f>IF(Allocation!BM268="","",Allocation!BM268)</f>
        <v>B3</v>
      </c>
      <c r="F268" t="str">
        <f>IF(Allocation!BN268="","",Allocation!BN268)</f>
        <v>ALT</v>
      </c>
      <c r="G268">
        <f>IF(Allocation!BO268="","",Allocation!BO268)</f>
        <v>48.734999999999999</v>
      </c>
      <c r="H268">
        <f>IF(Allocation!BP268="","",Allocation!BP268)</f>
        <v>2</v>
      </c>
      <c r="I268">
        <f>IF(Allocation!BQ268="","",Allocation!BQ268)</f>
        <v>344808.89730000001</v>
      </c>
      <c r="J268">
        <f>IF(Allocation!CC268="","",Allocation!CC268)</f>
        <v>0</v>
      </c>
      <c r="K268">
        <f t="shared" si="76"/>
        <v>960</v>
      </c>
      <c r="L268">
        <f t="shared" si="77"/>
        <v>277.981832</v>
      </c>
      <c r="M268">
        <f t="shared" si="78"/>
        <v>10</v>
      </c>
      <c r="N268">
        <f t="shared" si="79"/>
        <v>2069060.7464480002</v>
      </c>
      <c r="O268">
        <f t="shared" si="80"/>
        <v>4800</v>
      </c>
      <c r="P268">
        <f t="shared" si="81"/>
        <v>128.71683200000001</v>
      </c>
      <c r="Q268">
        <f t="shared" si="82"/>
        <v>1392.39301</v>
      </c>
      <c r="R268">
        <f t="shared" si="83"/>
        <v>50</v>
      </c>
      <c r="S268">
        <f t="shared" si="84"/>
        <v>11144112.273887001</v>
      </c>
      <c r="T268">
        <f t="shared" si="85"/>
        <v>3473.6699979999999</v>
      </c>
      <c r="U268">
        <f t="shared" si="86"/>
        <v>135</v>
      </c>
      <c r="V268">
        <f t="shared" si="87"/>
        <v>26814168.474038001</v>
      </c>
      <c r="W268">
        <f>IF($A268="","",Allocation!CD268)</f>
        <v>135942.289468</v>
      </c>
      <c r="X268">
        <f>IF($A268="","",Allocation!CE268)</f>
        <v>294522.14675399999</v>
      </c>
      <c r="Y268">
        <f>IF($A268="","",Allocation!CF268)</f>
        <v>104327.25363200001</v>
      </c>
      <c r="Z268">
        <f>IF($A268="","",Allocation!CG268)</f>
        <v>28661.45</v>
      </c>
      <c r="AA268">
        <f>IF($A268="","",Allocation!CH268)</f>
        <v>672067.32410500001</v>
      </c>
      <c r="AB268">
        <f>IF($A268="","",Allocation!CI268)</f>
        <v>2894009.9927380001</v>
      </c>
      <c r="AC268">
        <f>IF($A268="","",IF(Allocation!$N$4="VOL_EFF",$G268,IF(Allocation!$N$4="VOL_CLASS",$H268,$I268)))</f>
        <v>2</v>
      </c>
      <c r="AD268">
        <f>IF($A268="","",IF(Allocation!$N$4="VOL_EFF",$L268,IF(Allocation!$N$4="VOL_CLASS",$M268,$N268)))</f>
        <v>10</v>
      </c>
      <c r="AE268">
        <f>IF($A268="","",IF(Allocation!$N$3="VOL_EFF",$L268,IF(Allocation!$N$3="VOL_CLASS",$M268,$N268)))</f>
        <v>277.981832</v>
      </c>
      <c r="AF268">
        <f>IF($A268="","",IF(Allocation!$N$3="VOL_EFF",$Q268,IF(Allocation!$N$3="VOL_CLASS",$R268,$S268)))</f>
        <v>1392.39301</v>
      </c>
      <c r="AG268">
        <f>IF($A268="","",IF(Allocation!$N$1="VOL_EFF",$Q268,IF(Allocation!$N$1="VOL_CLASS",$R268,$S268)))</f>
        <v>1392.39301</v>
      </c>
      <c r="AH268">
        <f>IF($A268="","",IF(Allocation!$N$1="VOL_EFF",$T268,IF(Allocation!$N$1="VOL_CLASS",$U268,$V268)))</f>
        <v>3473.6699979999999</v>
      </c>
      <c r="AI268">
        <f t="shared" si="88"/>
        <v>27188.457893600003</v>
      </c>
      <c r="AJ268">
        <f t="shared" si="89"/>
        <v>58904.429350799997</v>
      </c>
      <c r="AK268">
        <f t="shared" si="90"/>
        <v>18290.363327613151</v>
      </c>
      <c r="AL268">
        <f t="shared" si="91"/>
        <v>134413.464821</v>
      </c>
      <c r="AM268">
        <f t="shared" si="92"/>
        <v>46318.861611540808</v>
      </c>
      <c r="AN268">
        <f t="shared" si="93"/>
        <v>46786.145214781689</v>
      </c>
      <c r="AO268">
        <f>IF($A268="","",Allocation!CJ268)</f>
        <v>777795.6</v>
      </c>
      <c r="AP268">
        <f>IF($A268="","",IF(Allocation!$N$2="VOL_EFF",$Q268,IF(Allocation!$N$2="VOL_CLASS",$R268,$S268)))</f>
        <v>11144112.273887001</v>
      </c>
      <c r="AQ268">
        <f>IF($A268="","",IF(Allocation!$N$2="VOL_EFF",$T268,IF(Allocation!$N$2="VOL_CLASS",$U268,$V268)))</f>
        <v>26814168.474038001</v>
      </c>
      <c r="AR268">
        <f t="shared" si="94"/>
        <v>12907.175080664336</v>
      </c>
      <c r="AS268" t="str">
        <f>IF($A268="","",$A268&amp;"|"&amp;Allocation!BG268)</f>
        <v>2027|V02</v>
      </c>
    </row>
    <row r="269" spans="1:45" x14ac:dyDescent="0.45">
      <c r="A269" t="str">
        <f>IF(Allocation!BI269="","",Allocation!BI269)</f>
        <v>2027</v>
      </c>
      <c r="B269" t="str">
        <f>IF(Allocation!BJ269="","",Allocation!BJ269)</f>
        <v>MBWAY_BOR</v>
      </c>
      <c r="C269" t="str">
        <f>IF(Allocation!BK269="","",Allocation!BK269)</f>
        <v>MBWAY</v>
      </c>
      <c r="D269" t="str">
        <f>IF(Allocation!BL269="","",Allocation!BL269)</f>
        <v>MAS_MGT</v>
      </c>
      <c r="E269" t="str">
        <f>IF(Allocation!BM269="","",Allocation!BM269)</f>
        <v>M1</v>
      </c>
      <c r="F269" t="str">
        <f>IF(Allocation!BN269="","",Allocation!BN269)</f>
        <v>ALT</v>
      </c>
      <c r="G269">
        <f>IF(Allocation!BO269="","",Allocation!BO269)</f>
        <v>66.123868999999999</v>
      </c>
      <c r="H269">
        <f>IF(Allocation!BP269="","",Allocation!BP269)</f>
        <v>2</v>
      </c>
      <c r="I269">
        <f>IF(Allocation!BQ269="","",Allocation!BQ269)</f>
        <v>507206.44335800002</v>
      </c>
      <c r="J269">
        <f>IF(Allocation!CC269="","",Allocation!CC269)</f>
        <v>66.123868999999999</v>
      </c>
      <c r="K269">
        <f t="shared" si="76"/>
        <v>840</v>
      </c>
      <c r="L269">
        <f t="shared" si="77"/>
        <v>277.981832</v>
      </c>
      <c r="M269">
        <f t="shared" si="78"/>
        <v>10</v>
      </c>
      <c r="N269">
        <f t="shared" si="79"/>
        <v>2069060.7464480002</v>
      </c>
      <c r="O269">
        <f t="shared" si="80"/>
        <v>4800</v>
      </c>
      <c r="P269">
        <f t="shared" si="81"/>
        <v>128.71683200000001</v>
      </c>
      <c r="Q269">
        <f t="shared" si="82"/>
        <v>1392.39301</v>
      </c>
      <c r="R269">
        <f t="shared" si="83"/>
        <v>50</v>
      </c>
      <c r="S269">
        <f t="shared" si="84"/>
        <v>11144112.273887001</v>
      </c>
      <c r="T269">
        <f t="shared" si="85"/>
        <v>3473.6699979999999</v>
      </c>
      <c r="U269">
        <f t="shared" si="86"/>
        <v>135</v>
      </c>
      <c r="V269">
        <f t="shared" si="87"/>
        <v>26814168.474038001</v>
      </c>
      <c r="W269">
        <f>IF($A269="","",Allocation!CD269)</f>
        <v>135942.289468</v>
      </c>
      <c r="X269">
        <f>IF($A269="","",Allocation!CE269)</f>
        <v>294522.14675399999</v>
      </c>
      <c r="Y269">
        <f>IF($A269="","",Allocation!CF269)</f>
        <v>104327.25363200001</v>
      </c>
      <c r="Z269">
        <f>IF($A269="","",Allocation!CG269)</f>
        <v>28661.45</v>
      </c>
      <c r="AA269">
        <f>IF($A269="","",Allocation!CH269)</f>
        <v>672067.32410500001</v>
      </c>
      <c r="AB269">
        <f>IF($A269="","",Allocation!CI269)</f>
        <v>2894009.9927380001</v>
      </c>
      <c r="AC269">
        <f>IF($A269="","",IF(Allocation!$N$4="VOL_EFF",$G269,IF(Allocation!$N$4="VOL_CLASS",$H269,$I269)))</f>
        <v>2</v>
      </c>
      <c r="AD269">
        <f>IF($A269="","",IF(Allocation!$N$4="VOL_EFF",$L269,IF(Allocation!$N$4="VOL_CLASS",$M269,$N269)))</f>
        <v>10</v>
      </c>
      <c r="AE269">
        <f>IF($A269="","",IF(Allocation!$N$3="VOL_EFF",$L269,IF(Allocation!$N$3="VOL_CLASS",$M269,$N269)))</f>
        <v>277.981832</v>
      </c>
      <c r="AF269">
        <f>IF($A269="","",IF(Allocation!$N$3="VOL_EFF",$Q269,IF(Allocation!$N$3="VOL_CLASS",$R269,$S269)))</f>
        <v>1392.39301</v>
      </c>
      <c r="AG269">
        <f>IF($A269="","",IF(Allocation!$N$1="VOL_EFF",$Q269,IF(Allocation!$N$1="VOL_CLASS",$R269,$S269)))</f>
        <v>1392.39301</v>
      </c>
      <c r="AH269">
        <f>IF($A269="","",IF(Allocation!$N$1="VOL_EFF",$T269,IF(Allocation!$N$1="VOL_CLASS",$U269,$V269)))</f>
        <v>3473.6699979999999</v>
      </c>
      <c r="AI269">
        <f t="shared" si="88"/>
        <v>23789.900656899998</v>
      </c>
      <c r="AJ269">
        <f t="shared" si="89"/>
        <v>51541.375681949998</v>
      </c>
      <c r="AK269">
        <f t="shared" si="90"/>
        <v>39540.287325757054</v>
      </c>
      <c r="AL269">
        <f t="shared" si="91"/>
        <v>134413.464821</v>
      </c>
      <c r="AM269">
        <f t="shared" si="92"/>
        <v>46318.861611540808</v>
      </c>
      <c r="AN269">
        <f t="shared" si="93"/>
        <v>198695.37818018778</v>
      </c>
      <c r="AO269">
        <f>IF($A269="","",Allocation!CJ269)</f>
        <v>777795.6</v>
      </c>
      <c r="AP269">
        <f>IF($A269="","",IF(Allocation!$N$2="VOL_EFF",$Q269,IF(Allocation!$N$2="VOL_CLASS",$R269,$S269)))</f>
        <v>11144112.273887001</v>
      </c>
      <c r="AQ269">
        <f>IF($A269="","",IF(Allocation!$N$2="VOL_EFF",$T269,IF(Allocation!$N$2="VOL_CLASS",$U269,$V269)))</f>
        <v>26814168.474038001</v>
      </c>
      <c r="AR269">
        <f t="shared" si="94"/>
        <v>12907.175080664336</v>
      </c>
      <c r="AS269" t="str">
        <f>IF($A269="","",$A269&amp;"|"&amp;Allocation!BG269)</f>
        <v>2027|V02</v>
      </c>
    </row>
    <row r="270" spans="1:45" x14ac:dyDescent="0.45">
      <c r="A270" t="str">
        <f>IF(Allocation!BI270="","",Allocation!BI270)</f>
        <v>2027</v>
      </c>
      <c r="B270" t="str">
        <f>IF(Allocation!BJ270="","",Allocation!BJ270)</f>
        <v>MBWAY_BOR</v>
      </c>
      <c r="C270" t="str">
        <f>IF(Allocation!BK270="","",Allocation!BK270)</f>
        <v>MBWAY</v>
      </c>
      <c r="D270" t="str">
        <f>IF(Allocation!BL270="","",Allocation!BL270)</f>
        <v>MAS_MGT</v>
      </c>
      <c r="E270" t="str">
        <f>IF(Allocation!BM270="","",Allocation!BM270)</f>
        <v>M2</v>
      </c>
      <c r="F270" t="str">
        <f>IF(Allocation!BN270="","",Allocation!BN270)</f>
        <v>ALT</v>
      </c>
      <c r="G270">
        <f>IF(Allocation!BO270="","",Allocation!BO270)</f>
        <v>50.765000000000001</v>
      </c>
      <c r="H270">
        <f>IF(Allocation!BP270="","",Allocation!BP270)</f>
        <v>2</v>
      </c>
      <c r="I270">
        <f>IF(Allocation!BQ270="","",Allocation!BQ270)</f>
        <v>384826.62075</v>
      </c>
      <c r="J270">
        <f>IF(Allocation!CC270="","",Allocation!CC270)</f>
        <v>0</v>
      </c>
      <c r="K270">
        <f t="shared" si="76"/>
        <v>840</v>
      </c>
      <c r="L270">
        <f t="shared" si="77"/>
        <v>277.981832</v>
      </c>
      <c r="M270">
        <f t="shared" si="78"/>
        <v>10</v>
      </c>
      <c r="N270">
        <f t="shared" si="79"/>
        <v>2069060.7464480002</v>
      </c>
      <c r="O270">
        <f t="shared" si="80"/>
        <v>4800</v>
      </c>
      <c r="P270">
        <f t="shared" si="81"/>
        <v>128.71683200000001</v>
      </c>
      <c r="Q270">
        <f t="shared" si="82"/>
        <v>1392.39301</v>
      </c>
      <c r="R270">
        <f t="shared" si="83"/>
        <v>50</v>
      </c>
      <c r="S270">
        <f t="shared" si="84"/>
        <v>11144112.273887001</v>
      </c>
      <c r="T270">
        <f t="shared" si="85"/>
        <v>3473.6699979999999</v>
      </c>
      <c r="U270">
        <f t="shared" si="86"/>
        <v>135</v>
      </c>
      <c r="V270">
        <f t="shared" si="87"/>
        <v>26814168.474038001</v>
      </c>
      <c r="W270">
        <f>IF($A270="","",Allocation!CD270)</f>
        <v>135942.289468</v>
      </c>
      <c r="X270">
        <f>IF($A270="","",Allocation!CE270)</f>
        <v>294522.14675399999</v>
      </c>
      <c r="Y270">
        <f>IF($A270="","",Allocation!CF270)</f>
        <v>104327.25363200001</v>
      </c>
      <c r="Z270">
        <f>IF($A270="","",Allocation!CG270)</f>
        <v>28661.45</v>
      </c>
      <c r="AA270">
        <f>IF($A270="","",Allocation!CH270)</f>
        <v>672067.32410500001</v>
      </c>
      <c r="AB270">
        <f>IF($A270="","",Allocation!CI270)</f>
        <v>2894009.9927380001</v>
      </c>
      <c r="AC270">
        <f>IF($A270="","",IF(Allocation!$N$4="VOL_EFF",$G270,IF(Allocation!$N$4="VOL_CLASS",$H270,$I270)))</f>
        <v>2</v>
      </c>
      <c r="AD270">
        <f>IF($A270="","",IF(Allocation!$N$4="VOL_EFF",$L270,IF(Allocation!$N$4="VOL_CLASS",$M270,$N270)))</f>
        <v>10</v>
      </c>
      <c r="AE270">
        <f>IF($A270="","",IF(Allocation!$N$3="VOL_EFF",$L270,IF(Allocation!$N$3="VOL_CLASS",$M270,$N270)))</f>
        <v>277.981832</v>
      </c>
      <c r="AF270">
        <f>IF($A270="","",IF(Allocation!$N$3="VOL_EFF",$Q270,IF(Allocation!$N$3="VOL_CLASS",$R270,$S270)))</f>
        <v>1392.39301</v>
      </c>
      <c r="AG270">
        <f>IF($A270="","",IF(Allocation!$N$1="VOL_EFF",$Q270,IF(Allocation!$N$1="VOL_CLASS",$R270,$S270)))</f>
        <v>1392.39301</v>
      </c>
      <c r="AH270">
        <f>IF($A270="","",IF(Allocation!$N$1="VOL_EFF",$T270,IF(Allocation!$N$1="VOL_CLASS",$U270,$V270)))</f>
        <v>3473.6699979999999</v>
      </c>
      <c r="AI270">
        <f t="shared" si="88"/>
        <v>23789.900656899998</v>
      </c>
      <c r="AJ270">
        <f t="shared" si="89"/>
        <v>51541.375681949998</v>
      </c>
      <c r="AK270">
        <f t="shared" si="90"/>
        <v>19052.227235585957</v>
      </c>
      <c r="AL270">
        <f t="shared" si="91"/>
        <v>134413.464821</v>
      </c>
      <c r="AM270">
        <f t="shared" si="92"/>
        <v>46318.861611540808</v>
      </c>
      <c r="AN270">
        <f t="shared" si="93"/>
        <v>96803.615662358934</v>
      </c>
      <c r="AO270">
        <f>IF($A270="","",Allocation!CJ270)</f>
        <v>777795.6</v>
      </c>
      <c r="AP270">
        <f>IF($A270="","",IF(Allocation!$N$2="VOL_EFF",$Q270,IF(Allocation!$N$2="VOL_CLASS",$R270,$S270)))</f>
        <v>11144112.273887001</v>
      </c>
      <c r="AQ270">
        <f>IF($A270="","",IF(Allocation!$N$2="VOL_EFF",$T270,IF(Allocation!$N$2="VOL_CLASS",$U270,$V270)))</f>
        <v>26814168.474038001</v>
      </c>
      <c r="AR270">
        <f t="shared" si="94"/>
        <v>12907.175080664336</v>
      </c>
      <c r="AS270" t="str">
        <f>IF($A270="","",$A270&amp;"|"&amp;Allocation!BG270)</f>
        <v>2027|V02</v>
      </c>
    </row>
    <row r="271" spans="1:45" x14ac:dyDescent="0.45">
      <c r="A271" t="str">
        <f>IF(Allocation!BI271="","",Allocation!BI271)</f>
        <v>2027</v>
      </c>
      <c r="B271" t="str">
        <f>IF(Allocation!BJ271="","",Allocation!BJ271)</f>
        <v>MBWAY_LYO</v>
      </c>
      <c r="C271" t="str">
        <f>IF(Allocation!BK271="","",Allocation!BK271)</f>
        <v>MBWAY</v>
      </c>
      <c r="D271" t="str">
        <f>IF(Allocation!BL271="","",Allocation!BL271)</f>
        <v>BAC_MGT</v>
      </c>
      <c r="E271" t="str">
        <f>IF(Allocation!BM271="","",Allocation!BM271)</f>
        <v>B1</v>
      </c>
      <c r="F271" t="str">
        <f>IF(Allocation!BN271="","",Allocation!BN271)</f>
        <v>INIT</v>
      </c>
      <c r="G271">
        <f>IF(Allocation!BO271="","",Allocation!BO271)</f>
        <v>80.804742000000005</v>
      </c>
      <c r="H271">
        <f>IF(Allocation!BP271="","",Allocation!BP271)</f>
        <v>3</v>
      </c>
      <c r="I271">
        <f>IF(Allocation!BQ271="","",Allocation!BQ271)</f>
        <v>670335.93844699999</v>
      </c>
      <c r="J271">
        <f>IF(Allocation!CC271="","",Allocation!CC271)</f>
        <v>80.804742000000005</v>
      </c>
      <c r="K271">
        <f t="shared" si="76"/>
        <v>1800</v>
      </c>
      <c r="L271">
        <f t="shared" si="77"/>
        <v>361.11837500000001</v>
      </c>
      <c r="M271">
        <f t="shared" si="78"/>
        <v>13</v>
      </c>
      <c r="N271">
        <f t="shared" si="79"/>
        <v>2907661.0619069999</v>
      </c>
      <c r="O271">
        <f t="shared" si="80"/>
        <v>6240</v>
      </c>
      <c r="P271">
        <f t="shared" si="81"/>
        <v>166.17837500000002</v>
      </c>
      <c r="Q271">
        <f t="shared" si="82"/>
        <v>1392.39301</v>
      </c>
      <c r="R271">
        <f t="shared" si="83"/>
        <v>50</v>
      </c>
      <c r="S271">
        <f t="shared" si="84"/>
        <v>11144112.273887001</v>
      </c>
      <c r="T271">
        <f t="shared" si="85"/>
        <v>3473.6699979999999</v>
      </c>
      <c r="U271">
        <f t="shared" si="86"/>
        <v>135</v>
      </c>
      <c r="V271">
        <f t="shared" si="87"/>
        <v>26814168.474038001</v>
      </c>
      <c r="W271">
        <f>IF($A271="","",Allocation!CD271)</f>
        <v>176725.31411199999</v>
      </c>
      <c r="X271">
        <f>IF($A271="","",Allocation!CE271)</f>
        <v>420442.55567999999</v>
      </c>
      <c r="Y271">
        <f>IF($A271="","",Allocation!CF271)</f>
        <v>135750.86744599999</v>
      </c>
      <c r="Z271">
        <f>IF($A271="","",Allocation!CG271)</f>
        <v>48050.45</v>
      </c>
      <c r="AA271">
        <f>IF($A271="","",Allocation!CH271)</f>
        <v>960020.907396</v>
      </c>
      <c r="AB271">
        <f>IF($A271="","",Allocation!CI271)</f>
        <v>2894009.9927380001</v>
      </c>
      <c r="AC271">
        <f>IF($A271="","",IF(Allocation!$N$4="VOL_EFF",$G271,IF(Allocation!$N$4="VOL_CLASS",$H271,$I271)))</f>
        <v>3</v>
      </c>
      <c r="AD271">
        <f>IF($A271="","",IF(Allocation!$N$4="VOL_EFF",$L271,IF(Allocation!$N$4="VOL_CLASS",$M271,$N271)))</f>
        <v>13</v>
      </c>
      <c r="AE271">
        <f>IF($A271="","",IF(Allocation!$N$3="VOL_EFF",$L271,IF(Allocation!$N$3="VOL_CLASS",$M271,$N271)))</f>
        <v>361.11837500000001</v>
      </c>
      <c r="AF271">
        <f>IF($A271="","",IF(Allocation!$N$3="VOL_EFF",$Q271,IF(Allocation!$N$3="VOL_CLASS",$R271,$S271)))</f>
        <v>1392.39301</v>
      </c>
      <c r="AG271">
        <f>IF($A271="","",IF(Allocation!$N$1="VOL_EFF",$Q271,IF(Allocation!$N$1="VOL_CLASS",$R271,$S271)))</f>
        <v>1392.39301</v>
      </c>
      <c r="AH271">
        <f>IF($A271="","",IF(Allocation!$N$1="VOL_EFF",$T271,IF(Allocation!$N$1="VOL_CLASS",$U271,$V271)))</f>
        <v>3473.6699979999999</v>
      </c>
      <c r="AI271">
        <f t="shared" si="88"/>
        <v>50978.455993846146</v>
      </c>
      <c r="AJ271">
        <f t="shared" si="89"/>
        <v>121281.50644615383</v>
      </c>
      <c r="AK271">
        <f t="shared" si="90"/>
        <v>53740.628281108293</v>
      </c>
      <c r="AL271">
        <f t="shared" si="91"/>
        <v>221543.28632215384</v>
      </c>
      <c r="AM271">
        <f t="shared" si="92"/>
        <v>69428.688018924586</v>
      </c>
      <c r="AN271">
        <f t="shared" si="93"/>
        <v>134016.43348381622</v>
      </c>
      <c r="AO271">
        <f>IF($A271="","",Allocation!CJ271)</f>
        <v>777795.6</v>
      </c>
      <c r="AP271">
        <f>IF($A271="","",IF(Allocation!$N$2="VOL_EFF",$Q271,IF(Allocation!$N$2="VOL_CLASS",$R271,$S271)))</f>
        <v>11144112.273887001</v>
      </c>
      <c r="AQ271">
        <f>IF($A271="","",IF(Allocation!$N$2="VOL_EFF",$T271,IF(Allocation!$N$2="VOL_CLASS",$U271,$V271)))</f>
        <v>26814168.474038001</v>
      </c>
      <c r="AR271">
        <f t="shared" si="94"/>
        <v>19346.939900997109</v>
      </c>
      <c r="AS271" t="str">
        <f>IF($A271="","",$A271&amp;"|"&amp;Allocation!BG271)</f>
        <v>2027|V02</v>
      </c>
    </row>
    <row r="272" spans="1:45" x14ac:dyDescent="0.45">
      <c r="A272" t="str">
        <f>IF(Allocation!BI272="","",Allocation!BI272)</f>
        <v>2027</v>
      </c>
      <c r="B272" t="str">
        <f>IF(Allocation!BJ272="","",Allocation!BJ272)</f>
        <v>MBWAY_LYO</v>
      </c>
      <c r="C272" t="str">
        <f>IF(Allocation!BK272="","",Allocation!BK272)</f>
        <v>MBWAY</v>
      </c>
      <c r="D272" t="str">
        <f>IF(Allocation!BL272="","",Allocation!BL272)</f>
        <v>BAC_MGT</v>
      </c>
      <c r="E272" t="str">
        <f>IF(Allocation!BM272="","",Allocation!BM272)</f>
        <v>B2</v>
      </c>
      <c r="F272" t="str">
        <f>IF(Allocation!BN272="","",Allocation!BN272)</f>
        <v>ALT</v>
      </c>
      <c r="G272">
        <f>IF(Allocation!BO272="","",Allocation!BO272)</f>
        <v>64.989999999999995</v>
      </c>
      <c r="H272">
        <f>IF(Allocation!BP272="","",Allocation!BP272)</f>
        <v>2</v>
      </c>
      <c r="I272">
        <f>IF(Allocation!BQ272="","",Allocation!BQ272)</f>
        <v>497738.913</v>
      </c>
      <c r="J272">
        <f>IF(Allocation!CC272="","",Allocation!CC272)</f>
        <v>0</v>
      </c>
      <c r="K272">
        <f t="shared" si="76"/>
        <v>960</v>
      </c>
      <c r="L272">
        <f t="shared" si="77"/>
        <v>361.11837500000001</v>
      </c>
      <c r="M272">
        <f t="shared" si="78"/>
        <v>13</v>
      </c>
      <c r="N272">
        <f t="shared" si="79"/>
        <v>2907661.0619069999</v>
      </c>
      <c r="O272">
        <f t="shared" si="80"/>
        <v>6240</v>
      </c>
      <c r="P272">
        <f t="shared" si="81"/>
        <v>166.17837500000002</v>
      </c>
      <c r="Q272">
        <f t="shared" si="82"/>
        <v>1392.39301</v>
      </c>
      <c r="R272">
        <f t="shared" si="83"/>
        <v>50</v>
      </c>
      <c r="S272">
        <f t="shared" si="84"/>
        <v>11144112.273887001</v>
      </c>
      <c r="T272">
        <f t="shared" si="85"/>
        <v>3473.6699979999999</v>
      </c>
      <c r="U272">
        <f t="shared" si="86"/>
        <v>135</v>
      </c>
      <c r="V272">
        <f t="shared" si="87"/>
        <v>26814168.474038001</v>
      </c>
      <c r="W272">
        <f>IF($A272="","",Allocation!CD272)</f>
        <v>176725.31411199999</v>
      </c>
      <c r="X272">
        <f>IF($A272="","",Allocation!CE272)</f>
        <v>420442.55567999999</v>
      </c>
      <c r="Y272">
        <f>IF($A272="","",Allocation!CF272)</f>
        <v>135750.86744599999</v>
      </c>
      <c r="Z272">
        <f>IF($A272="","",Allocation!CG272)</f>
        <v>48050.45</v>
      </c>
      <c r="AA272">
        <f>IF($A272="","",Allocation!CH272)</f>
        <v>960020.907396</v>
      </c>
      <c r="AB272">
        <f>IF($A272="","",Allocation!CI272)</f>
        <v>2894009.9927380001</v>
      </c>
      <c r="AC272">
        <f>IF($A272="","",IF(Allocation!$N$4="VOL_EFF",$G272,IF(Allocation!$N$4="VOL_CLASS",$H272,$I272)))</f>
        <v>2</v>
      </c>
      <c r="AD272">
        <f>IF($A272="","",IF(Allocation!$N$4="VOL_EFF",$L272,IF(Allocation!$N$4="VOL_CLASS",$M272,$N272)))</f>
        <v>13</v>
      </c>
      <c r="AE272">
        <f>IF($A272="","",IF(Allocation!$N$3="VOL_EFF",$L272,IF(Allocation!$N$3="VOL_CLASS",$M272,$N272)))</f>
        <v>361.11837500000001</v>
      </c>
      <c r="AF272">
        <f>IF($A272="","",IF(Allocation!$N$3="VOL_EFF",$Q272,IF(Allocation!$N$3="VOL_CLASS",$R272,$S272)))</f>
        <v>1392.39301</v>
      </c>
      <c r="AG272">
        <f>IF($A272="","",IF(Allocation!$N$1="VOL_EFF",$Q272,IF(Allocation!$N$1="VOL_CLASS",$R272,$S272)))</f>
        <v>1392.39301</v>
      </c>
      <c r="AH272">
        <f>IF($A272="","",IF(Allocation!$N$1="VOL_EFF",$T272,IF(Allocation!$N$1="VOL_CLASS",$U272,$V272)))</f>
        <v>3473.6699979999999</v>
      </c>
      <c r="AI272">
        <f t="shared" si="88"/>
        <v>27188.509863384617</v>
      </c>
      <c r="AJ272">
        <f t="shared" si="89"/>
        <v>64683.470104615386</v>
      </c>
      <c r="AK272">
        <f t="shared" si="90"/>
        <v>24430.905448429585</v>
      </c>
      <c r="AL272">
        <f t="shared" si="91"/>
        <v>147695.52421476925</v>
      </c>
      <c r="AM272">
        <f t="shared" si="92"/>
        <v>46285.792012616395</v>
      </c>
      <c r="AN272">
        <f t="shared" si="93"/>
        <v>174556.75142218667</v>
      </c>
      <c r="AO272">
        <f>IF($A272="","",Allocation!CJ272)</f>
        <v>777795.6</v>
      </c>
      <c r="AP272">
        <f>IF($A272="","",IF(Allocation!$N$2="VOL_EFF",$Q272,IF(Allocation!$N$2="VOL_CLASS",$R272,$S272)))</f>
        <v>11144112.273887001</v>
      </c>
      <c r="AQ272">
        <f>IF($A272="","",IF(Allocation!$N$2="VOL_EFF",$T272,IF(Allocation!$N$2="VOL_CLASS",$U272,$V272)))</f>
        <v>26814168.474038001</v>
      </c>
      <c r="AR272">
        <f t="shared" si="94"/>
        <v>12897.959933998072</v>
      </c>
      <c r="AS272" t="str">
        <f>IF($A272="","",$A272&amp;"|"&amp;Allocation!BG272)</f>
        <v>2027|V02</v>
      </c>
    </row>
    <row r="273" spans="1:45" x14ac:dyDescent="0.45">
      <c r="A273" t="str">
        <f>IF(Allocation!BI273="","",Allocation!BI273)</f>
        <v>2027</v>
      </c>
      <c r="B273" t="str">
        <f>IF(Allocation!BJ273="","",Allocation!BJ273)</f>
        <v>MBWAY_LYO</v>
      </c>
      <c r="C273" t="str">
        <f>IF(Allocation!BK273="","",Allocation!BK273)</f>
        <v>MBWAY</v>
      </c>
      <c r="D273" t="str">
        <f>IF(Allocation!BL273="","",Allocation!BL273)</f>
        <v>BAC_MGT</v>
      </c>
      <c r="E273" t="str">
        <f>IF(Allocation!BM273="","",Allocation!BM273)</f>
        <v>B3</v>
      </c>
      <c r="F273" t="str">
        <f>IF(Allocation!BN273="","",Allocation!BN273)</f>
        <v>ALT</v>
      </c>
      <c r="G273">
        <f>IF(Allocation!BO273="","",Allocation!BO273)</f>
        <v>63.96</v>
      </c>
      <c r="H273">
        <f>IF(Allocation!BP273="","",Allocation!BP273)</f>
        <v>2</v>
      </c>
      <c r="I273">
        <f>IF(Allocation!BQ273="","",Allocation!BQ273)</f>
        <v>489850.45199999999</v>
      </c>
      <c r="J273">
        <f>IF(Allocation!CC273="","",Allocation!CC273)</f>
        <v>0</v>
      </c>
      <c r="K273">
        <f t="shared" si="76"/>
        <v>960</v>
      </c>
      <c r="L273">
        <f t="shared" si="77"/>
        <v>361.11837500000001</v>
      </c>
      <c r="M273">
        <f t="shared" si="78"/>
        <v>13</v>
      </c>
      <c r="N273">
        <f t="shared" si="79"/>
        <v>2907661.0619069999</v>
      </c>
      <c r="O273">
        <f t="shared" si="80"/>
        <v>6240</v>
      </c>
      <c r="P273">
        <f t="shared" si="81"/>
        <v>166.17837500000002</v>
      </c>
      <c r="Q273">
        <f t="shared" si="82"/>
        <v>1392.39301</v>
      </c>
      <c r="R273">
        <f t="shared" si="83"/>
        <v>50</v>
      </c>
      <c r="S273">
        <f t="shared" si="84"/>
        <v>11144112.273887001</v>
      </c>
      <c r="T273">
        <f t="shared" si="85"/>
        <v>3473.6699979999999</v>
      </c>
      <c r="U273">
        <f t="shared" si="86"/>
        <v>135</v>
      </c>
      <c r="V273">
        <f t="shared" si="87"/>
        <v>26814168.474038001</v>
      </c>
      <c r="W273">
        <f>IF($A273="","",Allocation!CD273)</f>
        <v>176725.31411199999</v>
      </c>
      <c r="X273">
        <f>IF($A273="","",Allocation!CE273)</f>
        <v>420442.55567999999</v>
      </c>
      <c r="Y273">
        <f>IF($A273="","",Allocation!CF273)</f>
        <v>135750.86744599999</v>
      </c>
      <c r="Z273">
        <f>IF($A273="","",Allocation!CG273)</f>
        <v>48050.45</v>
      </c>
      <c r="AA273">
        <f>IF($A273="","",Allocation!CH273)</f>
        <v>960020.907396</v>
      </c>
      <c r="AB273">
        <f>IF($A273="","",Allocation!CI273)</f>
        <v>2894009.9927380001</v>
      </c>
      <c r="AC273">
        <f>IF($A273="","",IF(Allocation!$N$4="VOL_EFF",$G273,IF(Allocation!$N$4="VOL_CLASS",$H273,$I273)))</f>
        <v>2</v>
      </c>
      <c r="AD273">
        <f>IF($A273="","",IF(Allocation!$N$4="VOL_EFF",$L273,IF(Allocation!$N$4="VOL_CLASS",$M273,$N273)))</f>
        <v>13</v>
      </c>
      <c r="AE273">
        <f>IF($A273="","",IF(Allocation!$N$3="VOL_EFF",$L273,IF(Allocation!$N$3="VOL_CLASS",$M273,$N273)))</f>
        <v>361.11837500000001</v>
      </c>
      <c r="AF273">
        <f>IF($A273="","",IF(Allocation!$N$3="VOL_EFF",$Q273,IF(Allocation!$N$3="VOL_CLASS",$R273,$S273)))</f>
        <v>1392.39301</v>
      </c>
      <c r="AG273">
        <f>IF($A273="","",IF(Allocation!$N$1="VOL_EFF",$Q273,IF(Allocation!$N$1="VOL_CLASS",$R273,$S273)))</f>
        <v>1392.39301</v>
      </c>
      <c r="AH273">
        <f>IF($A273="","",IF(Allocation!$N$1="VOL_EFF",$T273,IF(Allocation!$N$1="VOL_CLASS",$U273,$V273)))</f>
        <v>3473.6699979999999</v>
      </c>
      <c r="AI273">
        <f t="shared" si="88"/>
        <v>27188.509863384617</v>
      </c>
      <c r="AJ273">
        <f t="shared" si="89"/>
        <v>64683.470104615386</v>
      </c>
      <c r="AK273">
        <f t="shared" si="90"/>
        <v>24043.709993561417</v>
      </c>
      <c r="AL273">
        <f t="shared" si="91"/>
        <v>147695.52421476925</v>
      </c>
      <c r="AM273">
        <f t="shared" si="92"/>
        <v>46285.792012616395</v>
      </c>
      <c r="AN273">
        <f t="shared" si="93"/>
        <v>167055.48587705486</v>
      </c>
      <c r="AO273">
        <f>IF($A273="","",Allocation!CJ273)</f>
        <v>777795.6</v>
      </c>
      <c r="AP273">
        <f>IF($A273="","",IF(Allocation!$N$2="VOL_EFF",$Q273,IF(Allocation!$N$2="VOL_CLASS",$R273,$S273)))</f>
        <v>11144112.273887001</v>
      </c>
      <c r="AQ273">
        <f>IF($A273="","",IF(Allocation!$N$2="VOL_EFF",$T273,IF(Allocation!$N$2="VOL_CLASS",$U273,$V273)))</f>
        <v>26814168.474038001</v>
      </c>
      <c r="AR273">
        <f t="shared" si="94"/>
        <v>12897.959933998072</v>
      </c>
      <c r="AS273" t="str">
        <f>IF($A273="","",$A273&amp;"|"&amp;Allocation!BG273)</f>
        <v>2027|V02</v>
      </c>
    </row>
    <row r="274" spans="1:45" x14ac:dyDescent="0.45">
      <c r="A274" t="str">
        <f>IF(Allocation!BI274="","",Allocation!BI274)</f>
        <v>2027</v>
      </c>
      <c r="B274" t="str">
        <f>IF(Allocation!BJ274="","",Allocation!BJ274)</f>
        <v>MBWAY_LYO</v>
      </c>
      <c r="C274" t="str">
        <f>IF(Allocation!BK274="","",Allocation!BK274)</f>
        <v>MBWAY</v>
      </c>
      <c r="D274" t="str">
        <f>IF(Allocation!BL274="","",Allocation!BL274)</f>
        <v>MAS_MGT</v>
      </c>
      <c r="E274" t="str">
        <f>IF(Allocation!BM274="","",Allocation!BM274)</f>
        <v>M1</v>
      </c>
      <c r="F274" t="str">
        <f>IF(Allocation!BN274="","",Allocation!BN274)</f>
        <v>ALT</v>
      </c>
      <c r="G274">
        <f>IF(Allocation!BO274="","",Allocation!BO274)</f>
        <v>85.373632999999998</v>
      </c>
      <c r="H274">
        <f>IF(Allocation!BP274="","",Allocation!BP274)</f>
        <v>3</v>
      </c>
      <c r="I274">
        <f>IF(Allocation!BQ274="","",Allocation!BQ274)</f>
        <v>708238.31596000004</v>
      </c>
      <c r="J274">
        <f>IF(Allocation!CC274="","",Allocation!CC274)</f>
        <v>85.373632999999998</v>
      </c>
      <c r="K274">
        <f t="shared" si="76"/>
        <v>1260</v>
      </c>
      <c r="L274">
        <f t="shared" si="77"/>
        <v>361.11837500000001</v>
      </c>
      <c r="M274">
        <f t="shared" si="78"/>
        <v>13</v>
      </c>
      <c r="N274">
        <f t="shared" si="79"/>
        <v>2907661.0619069999</v>
      </c>
      <c r="O274">
        <f t="shared" si="80"/>
        <v>6240</v>
      </c>
      <c r="P274">
        <f t="shared" si="81"/>
        <v>166.17837500000002</v>
      </c>
      <c r="Q274">
        <f t="shared" si="82"/>
        <v>1392.39301</v>
      </c>
      <c r="R274">
        <f t="shared" si="83"/>
        <v>50</v>
      </c>
      <c r="S274">
        <f t="shared" si="84"/>
        <v>11144112.273887001</v>
      </c>
      <c r="T274">
        <f t="shared" si="85"/>
        <v>3473.6699979999999</v>
      </c>
      <c r="U274">
        <f t="shared" si="86"/>
        <v>135</v>
      </c>
      <c r="V274">
        <f t="shared" si="87"/>
        <v>26814168.474038001</v>
      </c>
      <c r="W274">
        <f>IF($A274="","",Allocation!CD274)</f>
        <v>176725.31411199999</v>
      </c>
      <c r="X274">
        <f>IF($A274="","",Allocation!CE274)</f>
        <v>420442.55567999999</v>
      </c>
      <c r="Y274">
        <f>IF($A274="","",Allocation!CF274)</f>
        <v>135750.86744599999</v>
      </c>
      <c r="Z274">
        <f>IF($A274="","",Allocation!CG274)</f>
        <v>48050.45</v>
      </c>
      <c r="AA274">
        <f>IF($A274="","",Allocation!CH274)</f>
        <v>960020.907396</v>
      </c>
      <c r="AB274">
        <f>IF($A274="","",Allocation!CI274)</f>
        <v>2894009.9927380001</v>
      </c>
      <c r="AC274">
        <f>IF($A274="","",IF(Allocation!$N$4="VOL_EFF",$G274,IF(Allocation!$N$4="VOL_CLASS",$H274,$I274)))</f>
        <v>3</v>
      </c>
      <c r="AD274">
        <f>IF($A274="","",IF(Allocation!$N$4="VOL_EFF",$L274,IF(Allocation!$N$4="VOL_CLASS",$M274,$N274)))</f>
        <v>13</v>
      </c>
      <c r="AE274">
        <f>IF($A274="","",IF(Allocation!$N$3="VOL_EFF",$L274,IF(Allocation!$N$3="VOL_CLASS",$M274,$N274)))</f>
        <v>361.11837500000001</v>
      </c>
      <c r="AF274">
        <f>IF($A274="","",IF(Allocation!$N$3="VOL_EFF",$Q274,IF(Allocation!$N$3="VOL_CLASS",$R274,$S274)))</f>
        <v>1392.39301</v>
      </c>
      <c r="AG274">
        <f>IF($A274="","",IF(Allocation!$N$1="VOL_EFF",$Q274,IF(Allocation!$N$1="VOL_CLASS",$R274,$S274)))</f>
        <v>1392.39301</v>
      </c>
      <c r="AH274">
        <f>IF($A274="","",IF(Allocation!$N$1="VOL_EFF",$T274,IF(Allocation!$N$1="VOL_CLASS",$U274,$V274)))</f>
        <v>3473.6699979999999</v>
      </c>
      <c r="AI274">
        <f t="shared" si="88"/>
        <v>35684.91919569231</v>
      </c>
      <c r="AJ274">
        <f t="shared" si="89"/>
        <v>84897.054512307688</v>
      </c>
      <c r="AK274">
        <f t="shared" si="90"/>
        <v>56779.250357123354</v>
      </c>
      <c r="AL274">
        <f t="shared" si="91"/>
        <v>221543.28632215384</v>
      </c>
      <c r="AM274">
        <f t="shared" si="92"/>
        <v>69428.688018924586</v>
      </c>
      <c r="AN274">
        <f t="shared" si="93"/>
        <v>220558.17765280115</v>
      </c>
      <c r="AO274">
        <f>IF($A274="","",Allocation!CJ274)</f>
        <v>777795.6</v>
      </c>
      <c r="AP274">
        <f>IF($A274="","",IF(Allocation!$N$2="VOL_EFF",$Q274,IF(Allocation!$N$2="VOL_CLASS",$R274,$S274)))</f>
        <v>11144112.273887001</v>
      </c>
      <c r="AQ274">
        <f>IF($A274="","",IF(Allocation!$N$2="VOL_EFF",$T274,IF(Allocation!$N$2="VOL_CLASS",$U274,$V274)))</f>
        <v>26814168.474038001</v>
      </c>
      <c r="AR274">
        <f t="shared" si="94"/>
        <v>19346.939900997109</v>
      </c>
      <c r="AS274" t="str">
        <f>IF($A274="","",$A274&amp;"|"&amp;Allocation!BG274)</f>
        <v>2027|V02</v>
      </c>
    </row>
    <row r="275" spans="1:45" x14ac:dyDescent="0.45">
      <c r="A275" t="str">
        <f>IF(Allocation!BI275="","",Allocation!BI275)</f>
        <v>2027</v>
      </c>
      <c r="B275" t="str">
        <f>IF(Allocation!BJ275="","",Allocation!BJ275)</f>
        <v>MBWAY_LYO</v>
      </c>
      <c r="C275" t="str">
        <f>IF(Allocation!BK275="","",Allocation!BK275)</f>
        <v>MBWAY</v>
      </c>
      <c r="D275" t="str">
        <f>IF(Allocation!BL275="","",Allocation!BL275)</f>
        <v>MAS_MGT</v>
      </c>
      <c r="E275" t="str">
        <f>IF(Allocation!BM275="","",Allocation!BM275)</f>
        <v>M2</v>
      </c>
      <c r="F275" t="str">
        <f>IF(Allocation!BN275="","",Allocation!BN275)</f>
        <v>ALT</v>
      </c>
      <c r="G275">
        <f>IF(Allocation!BO275="","",Allocation!BO275)</f>
        <v>65.989999999999995</v>
      </c>
      <c r="H275">
        <f>IF(Allocation!BP275="","",Allocation!BP275)</f>
        <v>3</v>
      </c>
      <c r="I275">
        <f>IF(Allocation!BQ275="","",Allocation!BQ275)</f>
        <v>541497.4425</v>
      </c>
      <c r="J275">
        <f>IF(Allocation!CC275="","",Allocation!CC275)</f>
        <v>0</v>
      </c>
      <c r="K275">
        <f t="shared" si="76"/>
        <v>1260</v>
      </c>
      <c r="L275">
        <f t="shared" si="77"/>
        <v>361.11837500000001</v>
      </c>
      <c r="M275">
        <f t="shared" si="78"/>
        <v>13</v>
      </c>
      <c r="N275">
        <f t="shared" si="79"/>
        <v>2907661.0619069999</v>
      </c>
      <c r="O275">
        <f t="shared" si="80"/>
        <v>6240</v>
      </c>
      <c r="P275">
        <f t="shared" si="81"/>
        <v>166.17837500000002</v>
      </c>
      <c r="Q275">
        <f t="shared" si="82"/>
        <v>1392.39301</v>
      </c>
      <c r="R275">
        <f t="shared" si="83"/>
        <v>50</v>
      </c>
      <c r="S275">
        <f t="shared" si="84"/>
        <v>11144112.273887001</v>
      </c>
      <c r="T275">
        <f t="shared" si="85"/>
        <v>3473.6699979999999</v>
      </c>
      <c r="U275">
        <f t="shared" si="86"/>
        <v>135</v>
      </c>
      <c r="V275">
        <f t="shared" si="87"/>
        <v>26814168.474038001</v>
      </c>
      <c r="W275">
        <f>IF($A275="","",Allocation!CD275)</f>
        <v>176725.31411199999</v>
      </c>
      <c r="X275">
        <f>IF($A275="","",Allocation!CE275)</f>
        <v>420442.55567999999</v>
      </c>
      <c r="Y275">
        <f>IF($A275="","",Allocation!CF275)</f>
        <v>135750.86744599999</v>
      </c>
      <c r="Z275">
        <f>IF($A275="","",Allocation!CG275)</f>
        <v>48050.45</v>
      </c>
      <c r="AA275">
        <f>IF($A275="","",Allocation!CH275)</f>
        <v>960020.907396</v>
      </c>
      <c r="AB275">
        <f>IF($A275="","",Allocation!CI275)</f>
        <v>2894009.9927380001</v>
      </c>
      <c r="AC275">
        <f>IF($A275="","",IF(Allocation!$N$4="VOL_EFF",$G275,IF(Allocation!$N$4="VOL_CLASS",$H275,$I275)))</f>
        <v>3</v>
      </c>
      <c r="AD275">
        <f>IF($A275="","",IF(Allocation!$N$4="VOL_EFF",$L275,IF(Allocation!$N$4="VOL_CLASS",$M275,$N275)))</f>
        <v>13</v>
      </c>
      <c r="AE275">
        <f>IF($A275="","",IF(Allocation!$N$3="VOL_EFF",$L275,IF(Allocation!$N$3="VOL_CLASS",$M275,$N275)))</f>
        <v>361.11837500000001</v>
      </c>
      <c r="AF275">
        <f>IF($A275="","",IF(Allocation!$N$3="VOL_EFF",$Q275,IF(Allocation!$N$3="VOL_CLASS",$R275,$S275)))</f>
        <v>1392.39301</v>
      </c>
      <c r="AG275">
        <f>IF($A275="","",IF(Allocation!$N$1="VOL_EFF",$Q275,IF(Allocation!$N$1="VOL_CLASS",$R275,$S275)))</f>
        <v>1392.39301</v>
      </c>
      <c r="AH275">
        <f>IF($A275="","",IF(Allocation!$N$1="VOL_EFF",$T275,IF(Allocation!$N$1="VOL_CLASS",$U275,$V275)))</f>
        <v>3473.6699979999999</v>
      </c>
      <c r="AI275">
        <f t="shared" si="88"/>
        <v>35684.91919569231</v>
      </c>
      <c r="AJ275">
        <f t="shared" si="89"/>
        <v>84897.054512307688</v>
      </c>
      <c r="AK275">
        <f t="shared" si="90"/>
        <v>24806.823365777327</v>
      </c>
      <c r="AL275">
        <f t="shared" si="91"/>
        <v>221543.28632215384</v>
      </c>
      <c r="AM275">
        <f t="shared" si="92"/>
        <v>69428.688018924586</v>
      </c>
      <c r="AN275">
        <f t="shared" si="93"/>
        <v>85789.731184147182</v>
      </c>
      <c r="AO275">
        <f>IF($A275="","",Allocation!CJ275)</f>
        <v>777795.6</v>
      </c>
      <c r="AP275">
        <f>IF($A275="","",IF(Allocation!$N$2="VOL_EFF",$Q275,IF(Allocation!$N$2="VOL_CLASS",$R275,$S275)))</f>
        <v>11144112.273887001</v>
      </c>
      <c r="AQ275">
        <f>IF($A275="","",IF(Allocation!$N$2="VOL_EFF",$T275,IF(Allocation!$N$2="VOL_CLASS",$U275,$V275)))</f>
        <v>26814168.474038001</v>
      </c>
      <c r="AR275">
        <f t="shared" si="94"/>
        <v>19346.939900997109</v>
      </c>
      <c r="AS275" t="str">
        <f>IF($A275="","",$A275&amp;"|"&amp;Allocation!BG275)</f>
        <v>2027|V02</v>
      </c>
    </row>
    <row r="276" spans="1:45" x14ac:dyDescent="0.45">
      <c r="A276" t="str">
        <f>IF(Allocation!BI276="","",Allocation!BI276)</f>
        <v>2027</v>
      </c>
      <c r="B276" t="str">
        <f>IF(Allocation!BJ276="","",Allocation!BJ276)</f>
        <v>MBWAY_NAN</v>
      </c>
      <c r="C276" t="str">
        <f>IF(Allocation!BK276="","",Allocation!BK276)</f>
        <v>MBWAY</v>
      </c>
      <c r="D276" t="str">
        <f>IF(Allocation!BL276="","",Allocation!BL276)</f>
        <v>BAC_MGT</v>
      </c>
      <c r="E276" t="str">
        <f>IF(Allocation!BM276="","",Allocation!BM276)</f>
        <v>B1</v>
      </c>
      <c r="F276" t="str">
        <f>IF(Allocation!BN276="","",Allocation!BN276)</f>
        <v>INIT</v>
      </c>
      <c r="G276">
        <f>IF(Allocation!BO276="","",Allocation!BO276)</f>
        <v>73.560697000000005</v>
      </c>
      <c r="H276">
        <f>IF(Allocation!BP276="","",Allocation!BP276)</f>
        <v>2</v>
      </c>
      <c r="I276">
        <f>IF(Allocation!BQ276="","",Allocation!BQ276)</f>
        <v>581497.30978500005</v>
      </c>
      <c r="J276">
        <f>IF(Allocation!CC276="","",Allocation!CC276)</f>
        <v>73.560697000000005</v>
      </c>
      <c r="K276">
        <f t="shared" si="76"/>
        <v>1200</v>
      </c>
      <c r="L276">
        <f t="shared" si="77"/>
        <v>327.95961999999997</v>
      </c>
      <c r="M276">
        <f t="shared" si="78"/>
        <v>12</v>
      </c>
      <c r="N276">
        <f t="shared" si="79"/>
        <v>2515783.3261000002</v>
      </c>
      <c r="O276">
        <f t="shared" si="80"/>
        <v>5640</v>
      </c>
      <c r="P276">
        <f t="shared" si="81"/>
        <v>151.28962000000001</v>
      </c>
      <c r="Q276">
        <f t="shared" si="82"/>
        <v>1392.39301</v>
      </c>
      <c r="R276">
        <f t="shared" si="83"/>
        <v>50</v>
      </c>
      <c r="S276">
        <f t="shared" si="84"/>
        <v>11144112.273887001</v>
      </c>
      <c r="T276">
        <f t="shared" si="85"/>
        <v>3473.6699979999999</v>
      </c>
      <c r="U276">
        <f t="shared" si="86"/>
        <v>135</v>
      </c>
      <c r="V276">
        <f t="shared" si="87"/>
        <v>26814168.474038001</v>
      </c>
      <c r="W276">
        <f>IF($A276="","",Allocation!CD276)</f>
        <v>163130.972564</v>
      </c>
      <c r="X276">
        <f>IF($A276="","",Allocation!CE276)</f>
        <v>361671.57144000003</v>
      </c>
      <c r="Y276">
        <f>IF($A276="","",Allocation!CF276)</f>
        <v>123181.196719</v>
      </c>
      <c r="Z276">
        <f>IF($A276="","",Allocation!CG276)</f>
        <v>36262.949999999997</v>
      </c>
      <c r="AA276">
        <f>IF($A276="","",Allocation!CH276)</f>
        <v>816084.87010599999</v>
      </c>
      <c r="AB276">
        <f>IF($A276="","",Allocation!CI276)</f>
        <v>2894009.9927380001</v>
      </c>
      <c r="AC276">
        <f>IF($A276="","",IF(Allocation!$N$4="VOL_EFF",$G276,IF(Allocation!$N$4="VOL_CLASS",$H276,$I276)))</f>
        <v>2</v>
      </c>
      <c r="AD276">
        <f>IF($A276="","",IF(Allocation!$N$4="VOL_EFF",$L276,IF(Allocation!$N$4="VOL_CLASS",$M276,$N276)))</f>
        <v>12</v>
      </c>
      <c r="AE276">
        <f>IF($A276="","",IF(Allocation!$N$3="VOL_EFF",$L276,IF(Allocation!$N$3="VOL_CLASS",$M276,$N276)))</f>
        <v>327.95961999999997</v>
      </c>
      <c r="AF276">
        <f>IF($A276="","",IF(Allocation!$N$3="VOL_EFF",$Q276,IF(Allocation!$N$3="VOL_CLASS",$R276,$S276)))</f>
        <v>1392.39301</v>
      </c>
      <c r="AG276">
        <f>IF($A276="","",IF(Allocation!$N$1="VOL_EFF",$Q276,IF(Allocation!$N$1="VOL_CLASS",$R276,$S276)))</f>
        <v>1392.39301</v>
      </c>
      <c r="AH276">
        <f>IF($A276="","",IF(Allocation!$N$1="VOL_EFF",$T276,IF(Allocation!$N$1="VOL_CLASS",$U276,$V276)))</f>
        <v>3473.6699979999999</v>
      </c>
      <c r="AI276">
        <f t="shared" si="88"/>
        <v>34708.717566808511</v>
      </c>
      <c r="AJ276">
        <f t="shared" si="89"/>
        <v>76951.398178723408</v>
      </c>
      <c r="AK276">
        <f t="shared" si="90"/>
        <v>45261.229132999921</v>
      </c>
      <c r="AL276">
        <f t="shared" si="91"/>
        <v>136014.14501766665</v>
      </c>
      <c r="AM276">
        <f t="shared" si="92"/>
        <v>45538.696251180147</v>
      </c>
      <c r="AN276">
        <f t="shared" si="93"/>
        <v>230333.34878113563</v>
      </c>
      <c r="AO276">
        <f>IF($A276="","",Allocation!CJ276)</f>
        <v>777795.6</v>
      </c>
      <c r="AP276">
        <f>IF($A276="","",IF(Allocation!$N$2="VOL_EFF",$Q276,IF(Allocation!$N$2="VOL_CLASS",$R276,$S276)))</f>
        <v>11144112.273887001</v>
      </c>
      <c r="AQ276">
        <f>IF($A276="","",IF(Allocation!$N$2="VOL_EFF",$T276,IF(Allocation!$N$2="VOL_CLASS",$U276,$V276)))</f>
        <v>26814168.474038001</v>
      </c>
      <c r="AR276">
        <f t="shared" si="94"/>
        <v>12689.774856485777</v>
      </c>
      <c r="AS276" t="str">
        <f>IF($A276="","",$A276&amp;"|"&amp;Allocation!BG276)</f>
        <v>2027|V02</v>
      </c>
    </row>
    <row r="277" spans="1:45" x14ac:dyDescent="0.45">
      <c r="A277" t="str">
        <f>IF(Allocation!BI277="","",Allocation!BI277)</f>
        <v>2027</v>
      </c>
      <c r="B277" t="str">
        <f>IF(Allocation!BJ277="","",Allocation!BJ277)</f>
        <v>MBWAY_NAN</v>
      </c>
      <c r="C277" t="str">
        <f>IF(Allocation!BK277="","",Allocation!BK277)</f>
        <v>MBWAY</v>
      </c>
      <c r="D277" t="str">
        <f>IF(Allocation!BL277="","",Allocation!BL277)</f>
        <v>BAC_MGT</v>
      </c>
      <c r="E277" t="str">
        <f>IF(Allocation!BM277="","",Allocation!BM277)</f>
        <v>B2</v>
      </c>
      <c r="F277" t="str">
        <f>IF(Allocation!BN277="","",Allocation!BN277)</f>
        <v>ALT</v>
      </c>
      <c r="G277">
        <f>IF(Allocation!BO277="","",Allocation!BO277)</f>
        <v>58.9</v>
      </c>
      <c r="H277">
        <f>IF(Allocation!BP277="","",Allocation!BP277)</f>
        <v>2</v>
      </c>
      <c r="I277">
        <f>IF(Allocation!BQ277="","",Allocation!BQ277)</f>
        <v>429616.6</v>
      </c>
      <c r="J277">
        <f>IF(Allocation!CC277="","",Allocation!CC277)</f>
        <v>0</v>
      </c>
      <c r="K277">
        <f t="shared" si="76"/>
        <v>960</v>
      </c>
      <c r="L277">
        <f t="shared" si="77"/>
        <v>327.95961999999997</v>
      </c>
      <c r="M277">
        <f t="shared" si="78"/>
        <v>12</v>
      </c>
      <c r="N277">
        <f t="shared" si="79"/>
        <v>2515783.3261000002</v>
      </c>
      <c r="O277">
        <f t="shared" si="80"/>
        <v>5640</v>
      </c>
      <c r="P277">
        <f t="shared" si="81"/>
        <v>151.28962000000001</v>
      </c>
      <c r="Q277">
        <f t="shared" si="82"/>
        <v>1392.39301</v>
      </c>
      <c r="R277">
        <f t="shared" si="83"/>
        <v>50</v>
      </c>
      <c r="S277">
        <f t="shared" si="84"/>
        <v>11144112.273887001</v>
      </c>
      <c r="T277">
        <f t="shared" si="85"/>
        <v>3473.6699979999999</v>
      </c>
      <c r="U277">
        <f t="shared" si="86"/>
        <v>135</v>
      </c>
      <c r="V277">
        <f t="shared" si="87"/>
        <v>26814168.474038001</v>
      </c>
      <c r="W277">
        <f>IF($A277="","",Allocation!CD277)</f>
        <v>163130.972564</v>
      </c>
      <c r="X277">
        <f>IF($A277="","",Allocation!CE277)</f>
        <v>361671.57144000003</v>
      </c>
      <c r="Y277">
        <f>IF($A277="","",Allocation!CF277)</f>
        <v>123181.196719</v>
      </c>
      <c r="Z277">
        <f>IF($A277="","",Allocation!CG277)</f>
        <v>36262.949999999997</v>
      </c>
      <c r="AA277">
        <f>IF($A277="","",Allocation!CH277)</f>
        <v>816084.87010599999</v>
      </c>
      <c r="AB277">
        <f>IF($A277="","",Allocation!CI277)</f>
        <v>2894009.9927380001</v>
      </c>
      <c r="AC277">
        <f>IF($A277="","",IF(Allocation!$N$4="VOL_EFF",$G277,IF(Allocation!$N$4="VOL_CLASS",$H277,$I277)))</f>
        <v>2</v>
      </c>
      <c r="AD277">
        <f>IF($A277="","",IF(Allocation!$N$4="VOL_EFF",$L277,IF(Allocation!$N$4="VOL_CLASS",$M277,$N277)))</f>
        <v>12</v>
      </c>
      <c r="AE277">
        <f>IF($A277="","",IF(Allocation!$N$3="VOL_EFF",$L277,IF(Allocation!$N$3="VOL_CLASS",$M277,$N277)))</f>
        <v>327.95961999999997</v>
      </c>
      <c r="AF277">
        <f>IF($A277="","",IF(Allocation!$N$3="VOL_EFF",$Q277,IF(Allocation!$N$3="VOL_CLASS",$R277,$S277)))</f>
        <v>1392.39301</v>
      </c>
      <c r="AG277">
        <f>IF($A277="","",IF(Allocation!$N$1="VOL_EFF",$Q277,IF(Allocation!$N$1="VOL_CLASS",$R277,$S277)))</f>
        <v>1392.39301</v>
      </c>
      <c r="AH277">
        <f>IF($A277="","",IF(Allocation!$N$1="VOL_EFF",$T277,IF(Allocation!$N$1="VOL_CLASS",$U277,$V277)))</f>
        <v>3473.6699979999999</v>
      </c>
      <c r="AI277">
        <f t="shared" si="88"/>
        <v>27766.974053446807</v>
      </c>
      <c r="AJ277">
        <f t="shared" si="89"/>
        <v>61561.118542978729</v>
      </c>
      <c r="AK277">
        <f t="shared" si="90"/>
        <v>22122.761597141442</v>
      </c>
      <c r="AL277">
        <f t="shared" si="91"/>
        <v>136014.14501766665</v>
      </c>
      <c r="AM277">
        <f t="shared" si="92"/>
        <v>45538.696251180147</v>
      </c>
      <c r="AN277">
        <f t="shared" si="93"/>
        <v>123923.12968110043</v>
      </c>
      <c r="AO277">
        <f>IF($A277="","",Allocation!CJ277)</f>
        <v>777795.6</v>
      </c>
      <c r="AP277">
        <f>IF($A277="","",IF(Allocation!$N$2="VOL_EFF",$Q277,IF(Allocation!$N$2="VOL_CLASS",$R277,$S277)))</f>
        <v>11144112.273887001</v>
      </c>
      <c r="AQ277">
        <f>IF($A277="","",IF(Allocation!$N$2="VOL_EFF",$T277,IF(Allocation!$N$2="VOL_CLASS",$U277,$V277)))</f>
        <v>26814168.474038001</v>
      </c>
      <c r="AR277">
        <f t="shared" si="94"/>
        <v>12689.774856485777</v>
      </c>
      <c r="AS277" t="str">
        <f>IF($A277="","",$A277&amp;"|"&amp;Allocation!BG277)</f>
        <v>2027|V02</v>
      </c>
    </row>
    <row r="278" spans="1:45" x14ac:dyDescent="0.45">
      <c r="A278" t="str">
        <f>IF(Allocation!BI278="","",Allocation!BI278)</f>
        <v>2027</v>
      </c>
      <c r="B278" t="str">
        <f>IF(Allocation!BJ278="","",Allocation!BJ278)</f>
        <v>MBWAY_NAN</v>
      </c>
      <c r="C278" t="str">
        <f>IF(Allocation!BK278="","",Allocation!BK278)</f>
        <v>MBWAY</v>
      </c>
      <c r="D278" t="str">
        <f>IF(Allocation!BL278="","",Allocation!BL278)</f>
        <v>BAC_MGT</v>
      </c>
      <c r="E278" t="str">
        <f>IF(Allocation!BM278="","",Allocation!BM278)</f>
        <v>B3</v>
      </c>
      <c r="F278" t="str">
        <f>IF(Allocation!BN278="","",Allocation!BN278)</f>
        <v>ALT</v>
      </c>
      <c r="G278">
        <f>IF(Allocation!BO278="","",Allocation!BO278)</f>
        <v>57.87</v>
      </c>
      <c r="H278">
        <f>IF(Allocation!BP278="","",Allocation!BP278)</f>
        <v>2</v>
      </c>
      <c r="I278">
        <f>IF(Allocation!BQ278="","",Allocation!BQ278)</f>
        <v>422103.78</v>
      </c>
      <c r="J278">
        <f>IF(Allocation!CC278="","",Allocation!CC278)</f>
        <v>0</v>
      </c>
      <c r="K278">
        <f t="shared" si="76"/>
        <v>960</v>
      </c>
      <c r="L278">
        <f t="shared" si="77"/>
        <v>327.95961999999997</v>
      </c>
      <c r="M278">
        <f t="shared" si="78"/>
        <v>12</v>
      </c>
      <c r="N278">
        <f t="shared" si="79"/>
        <v>2515783.3261000002</v>
      </c>
      <c r="O278">
        <f t="shared" si="80"/>
        <v>5640</v>
      </c>
      <c r="P278">
        <f t="shared" si="81"/>
        <v>151.28962000000001</v>
      </c>
      <c r="Q278">
        <f t="shared" si="82"/>
        <v>1392.39301</v>
      </c>
      <c r="R278">
        <f t="shared" si="83"/>
        <v>50</v>
      </c>
      <c r="S278">
        <f t="shared" si="84"/>
        <v>11144112.273887001</v>
      </c>
      <c r="T278">
        <f t="shared" si="85"/>
        <v>3473.6699979999999</v>
      </c>
      <c r="U278">
        <f t="shared" si="86"/>
        <v>135</v>
      </c>
      <c r="V278">
        <f t="shared" si="87"/>
        <v>26814168.474038001</v>
      </c>
      <c r="W278">
        <f>IF($A278="","",Allocation!CD278)</f>
        <v>163130.972564</v>
      </c>
      <c r="X278">
        <f>IF($A278="","",Allocation!CE278)</f>
        <v>361671.57144000003</v>
      </c>
      <c r="Y278">
        <f>IF($A278="","",Allocation!CF278)</f>
        <v>123181.196719</v>
      </c>
      <c r="Z278">
        <f>IF($A278="","",Allocation!CG278)</f>
        <v>36262.949999999997</v>
      </c>
      <c r="AA278">
        <f>IF($A278="","",Allocation!CH278)</f>
        <v>816084.87010599999</v>
      </c>
      <c r="AB278">
        <f>IF($A278="","",Allocation!CI278)</f>
        <v>2894009.9927380001</v>
      </c>
      <c r="AC278">
        <f>IF($A278="","",IF(Allocation!$N$4="VOL_EFF",$G278,IF(Allocation!$N$4="VOL_CLASS",$H278,$I278)))</f>
        <v>2</v>
      </c>
      <c r="AD278">
        <f>IF($A278="","",IF(Allocation!$N$4="VOL_EFF",$L278,IF(Allocation!$N$4="VOL_CLASS",$M278,$N278)))</f>
        <v>12</v>
      </c>
      <c r="AE278">
        <f>IF($A278="","",IF(Allocation!$N$3="VOL_EFF",$L278,IF(Allocation!$N$3="VOL_CLASS",$M278,$N278)))</f>
        <v>327.95961999999997</v>
      </c>
      <c r="AF278">
        <f>IF($A278="","",IF(Allocation!$N$3="VOL_EFF",$Q278,IF(Allocation!$N$3="VOL_CLASS",$R278,$S278)))</f>
        <v>1392.39301</v>
      </c>
      <c r="AG278">
        <f>IF($A278="","",IF(Allocation!$N$1="VOL_EFF",$Q278,IF(Allocation!$N$1="VOL_CLASS",$R278,$S278)))</f>
        <v>1392.39301</v>
      </c>
      <c r="AH278">
        <f>IF($A278="","",IF(Allocation!$N$1="VOL_EFF",$T278,IF(Allocation!$N$1="VOL_CLASS",$U278,$V278)))</f>
        <v>3473.6699979999999</v>
      </c>
      <c r="AI278">
        <f t="shared" si="88"/>
        <v>27766.974053446807</v>
      </c>
      <c r="AJ278">
        <f t="shared" si="89"/>
        <v>61561.118542978729</v>
      </c>
      <c r="AK278">
        <f t="shared" si="90"/>
        <v>21735.894968193126</v>
      </c>
      <c r="AL278">
        <f t="shared" si="91"/>
        <v>136014.14501766665</v>
      </c>
      <c r="AM278">
        <f t="shared" si="92"/>
        <v>45538.696251180147</v>
      </c>
      <c r="AN278">
        <f t="shared" si="93"/>
        <v>116797.17631004879</v>
      </c>
      <c r="AO278">
        <f>IF($A278="","",Allocation!CJ278)</f>
        <v>777795.6</v>
      </c>
      <c r="AP278">
        <f>IF($A278="","",IF(Allocation!$N$2="VOL_EFF",$Q278,IF(Allocation!$N$2="VOL_CLASS",$R278,$S278)))</f>
        <v>11144112.273887001</v>
      </c>
      <c r="AQ278">
        <f>IF($A278="","",IF(Allocation!$N$2="VOL_EFF",$T278,IF(Allocation!$N$2="VOL_CLASS",$U278,$V278)))</f>
        <v>26814168.474038001</v>
      </c>
      <c r="AR278">
        <f t="shared" si="94"/>
        <v>12689.774856485777</v>
      </c>
      <c r="AS278" t="str">
        <f>IF($A278="","",$A278&amp;"|"&amp;Allocation!BG278)</f>
        <v>2027|V02</v>
      </c>
    </row>
    <row r="279" spans="1:45" x14ac:dyDescent="0.45">
      <c r="A279" t="str">
        <f>IF(Allocation!BI279="","",Allocation!BI279)</f>
        <v>2027</v>
      </c>
      <c r="B279" t="str">
        <f>IF(Allocation!BJ279="","",Allocation!BJ279)</f>
        <v>MBWAY_NAN</v>
      </c>
      <c r="C279" t="str">
        <f>IF(Allocation!BK279="","",Allocation!BK279)</f>
        <v>MBWAY</v>
      </c>
      <c r="D279" t="str">
        <f>IF(Allocation!BL279="","",Allocation!BL279)</f>
        <v>MAS_MGT</v>
      </c>
      <c r="E279" t="str">
        <f>IF(Allocation!BM279="","",Allocation!BM279)</f>
        <v>M1</v>
      </c>
      <c r="F279" t="str">
        <f>IF(Allocation!BN279="","",Allocation!BN279)</f>
        <v>ALT</v>
      </c>
      <c r="G279">
        <f>IF(Allocation!BO279="","",Allocation!BO279)</f>
        <v>77.728922999999995</v>
      </c>
      <c r="H279">
        <f>IF(Allocation!BP279="","",Allocation!BP279)</f>
        <v>3</v>
      </c>
      <c r="I279">
        <f>IF(Allocation!BQ279="","",Allocation!BQ279)</f>
        <v>614447.13631500001</v>
      </c>
      <c r="J279">
        <f>IF(Allocation!CC279="","",Allocation!CC279)</f>
        <v>77.728922999999995</v>
      </c>
      <c r="K279">
        <f t="shared" si="76"/>
        <v>1260</v>
      </c>
      <c r="L279">
        <f t="shared" si="77"/>
        <v>327.95961999999997</v>
      </c>
      <c r="M279">
        <f t="shared" si="78"/>
        <v>12</v>
      </c>
      <c r="N279">
        <f t="shared" si="79"/>
        <v>2515783.3261000002</v>
      </c>
      <c r="O279">
        <f t="shared" si="80"/>
        <v>5640</v>
      </c>
      <c r="P279">
        <f t="shared" si="81"/>
        <v>151.28962000000001</v>
      </c>
      <c r="Q279">
        <f t="shared" si="82"/>
        <v>1392.39301</v>
      </c>
      <c r="R279">
        <f t="shared" si="83"/>
        <v>50</v>
      </c>
      <c r="S279">
        <f t="shared" si="84"/>
        <v>11144112.273887001</v>
      </c>
      <c r="T279">
        <f t="shared" si="85"/>
        <v>3473.6699979999999</v>
      </c>
      <c r="U279">
        <f t="shared" si="86"/>
        <v>135</v>
      </c>
      <c r="V279">
        <f t="shared" si="87"/>
        <v>26814168.474038001</v>
      </c>
      <c r="W279">
        <f>IF($A279="","",Allocation!CD279)</f>
        <v>163130.972564</v>
      </c>
      <c r="X279">
        <f>IF($A279="","",Allocation!CE279)</f>
        <v>361671.57144000003</v>
      </c>
      <c r="Y279">
        <f>IF($A279="","",Allocation!CF279)</f>
        <v>123181.196719</v>
      </c>
      <c r="Z279">
        <f>IF($A279="","",Allocation!CG279)</f>
        <v>36262.949999999997</v>
      </c>
      <c r="AA279">
        <f>IF($A279="","",Allocation!CH279)</f>
        <v>816084.87010599999</v>
      </c>
      <c r="AB279">
        <f>IF($A279="","",Allocation!CI279)</f>
        <v>2894009.9927380001</v>
      </c>
      <c r="AC279">
        <f>IF($A279="","",IF(Allocation!$N$4="VOL_EFF",$G279,IF(Allocation!$N$4="VOL_CLASS",$H279,$I279)))</f>
        <v>3</v>
      </c>
      <c r="AD279">
        <f>IF($A279="","",IF(Allocation!$N$4="VOL_EFF",$L279,IF(Allocation!$N$4="VOL_CLASS",$M279,$N279)))</f>
        <v>12</v>
      </c>
      <c r="AE279">
        <f>IF($A279="","",IF(Allocation!$N$3="VOL_EFF",$L279,IF(Allocation!$N$3="VOL_CLASS",$M279,$N279)))</f>
        <v>327.95961999999997</v>
      </c>
      <c r="AF279">
        <f>IF($A279="","",IF(Allocation!$N$3="VOL_EFF",$Q279,IF(Allocation!$N$3="VOL_CLASS",$R279,$S279)))</f>
        <v>1392.39301</v>
      </c>
      <c r="AG279">
        <f>IF($A279="","",IF(Allocation!$N$1="VOL_EFF",$Q279,IF(Allocation!$N$1="VOL_CLASS",$R279,$S279)))</f>
        <v>1392.39301</v>
      </c>
      <c r="AH279">
        <f>IF($A279="","",IF(Allocation!$N$1="VOL_EFF",$T279,IF(Allocation!$N$1="VOL_CLASS",$U279,$V279)))</f>
        <v>3473.6699979999999</v>
      </c>
      <c r="AI279">
        <f t="shared" si="88"/>
        <v>36444.153445148935</v>
      </c>
      <c r="AJ279">
        <f t="shared" si="89"/>
        <v>80798.968087659581</v>
      </c>
      <c r="AK279">
        <f t="shared" si="90"/>
        <v>47825.900754642207</v>
      </c>
      <c r="AL279">
        <f t="shared" si="91"/>
        <v>204021.2175265</v>
      </c>
      <c r="AM279">
        <f t="shared" si="92"/>
        <v>68308.044376770224</v>
      </c>
      <c r="AN279">
        <f t="shared" si="93"/>
        <v>158014.18983955041</v>
      </c>
      <c r="AO279">
        <f>IF($A279="","",Allocation!CJ279)</f>
        <v>777795.6</v>
      </c>
      <c r="AP279">
        <f>IF($A279="","",IF(Allocation!$N$2="VOL_EFF",$Q279,IF(Allocation!$N$2="VOL_CLASS",$R279,$S279)))</f>
        <v>11144112.273887001</v>
      </c>
      <c r="AQ279">
        <f>IF($A279="","",IF(Allocation!$N$2="VOL_EFF",$T279,IF(Allocation!$N$2="VOL_CLASS",$U279,$V279)))</f>
        <v>26814168.474038001</v>
      </c>
      <c r="AR279">
        <f t="shared" si="94"/>
        <v>19034.662284728667</v>
      </c>
      <c r="AS279" t="str">
        <f>IF($A279="","",$A279&amp;"|"&amp;Allocation!BG279)</f>
        <v>2027|V02</v>
      </c>
    </row>
    <row r="280" spans="1:45" x14ac:dyDescent="0.45">
      <c r="A280" t="str">
        <f>IF(Allocation!BI280="","",Allocation!BI280)</f>
        <v>2027</v>
      </c>
      <c r="B280" t="str">
        <f>IF(Allocation!BJ280="","",Allocation!BJ280)</f>
        <v>MBWAY_NAN</v>
      </c>
      <c r="C280" t="str">
        <f>IF(Allocation!BK280="","",Allocation!BK280)</f>
        <v>MBWAY</v>
      </c>
      <c r="D280" t="str">
        <f>IF(Allocation!BL280="","",Allocation!BL280)</f>
        <v>MAS_MGT</v>
      </c>
      <c r="E280" t="str">
        <f>IF(Allocation!BM280="","",Allocation!BM280)</f>
        <v>M2</v>
      </c>
      <c r="F280" t="str">
        <f>IF(Allocation!BN280="","",Allocation!BN280)</f>
        <v>ALT</v>
      </c>
      <c r="G280">
        <f>IF(Allocation!BO280="","",Allocation!BO280)</f>
        <v>59.9</v>
      </c>
      <c r="H280">
        <f>IF(Allocation!BP280="","",Allocation!BP280)</f>
        <v>3</v>
      </c>
      <c r="I280">
        <f>IF(Allocation!BQ280="","",Allocation!BQ280)</f>
        <v>468118.5</v>
      </c>
      <c r="J280">
        <f>IF(Allocation!CC280="","",Allocation!CC280)</f>
        <v>0</v>
      </c>
      <c r="K280">
        <f t="shared" si="76"/>
        <v>1260</v>
      </c>
      <c r="L280">
        <f t="shared" si="77"/>
        <v>327.95961999999997</v>
      </c>
      <c r="M280">
        <f t="shared" si="78"/>
        <v>12</v>
      </c>
      <c r="N280">
        <f t="shared" si="79"/>
        <v>2515783.3261000002</v>
      </c>
      <c r="O280">
        <f t="shared" si="80"/>
        <v>5640</v>
      </c>
      <c r="P280">
        <f t="shared" si="81"/>
        <v>151.28962000000001</v>
      </c>
      <c r="Q280">
        <f t="shared" si="82"/>
        <v>1392.39301</v>
      </c>
      <c r="R280">
        <f t="shared" si="83"/>
        <v>50</v>
      </c>
      <c r="S280">
        <f t="shared" si="84"/>
        <v>11144112.273887001</v>
      </c>
      <c r="T280">
        <f t="shared" si="85"/>
        <v>3473.6699979999999</v>
      </c>
      <c r="U280">
        <f t="shared" si="86"/>
        <v>135</v>
      </c>
      <c r="V280">
        <f t="shared" si="87"/>
        <v>26814168.474038001</v>
      </c>
      <c r="W280">
        <f>IF($A280="","",Allocation!CD280)</f>
        <v>163130.972564</v>
      </c>
      <c r="X280">
        <f>IF($A280="","",Allocation!CE280)</f>
        <v>361671.57144000003</v>
      </c>
      <c r="Y280">
        <f>IF($A280="","",Allocation!CF280)</f>
        <v>123181.196719</v>
      </c>
      <c r="Z280">
        <f>IF($A280="","",Allocation!CG280)</f>
        <v>36262.949999999997</v>
      </c>
      <c r="AA280">
        <f>IF($A280="","",Allocation!CH280)</f>
        <v>816084.87010599999</v>
      </c>
      <c r="AB280">
        <f>IF($A280="","",Allocation!CI280)</f>
        <v>2894009.9927380001</v>
      </c>
      <c r="AC280">
        <f>IF($A280="","",IF(Allocation!$N$4="VOL_EFF",$G280,IF(Allocation!$N$4="VOL_CLASS",$H280,$I280)))</f>
        <v>3</v>
      </c>
      <c r="AD280">
        <f>IF($A280="","",IF(Allocation!$N$4="VOL_EFF",$L280,IF(Allocation!$N$4="VOL_CLASS",$M280,$N280)))</f>
        <v>12</v>
      </c>
      <c r="AE280">
        <f>IF($A280="","",IF(Allocation!$N$3="VOL_EFF",$L280,IF(Allocation!$N$3="VOL_CLASS",$M280,$N280)))</f>
        <v>327.95961999999997</v>
      </c>
      <c r="AF280">
        <f>IF($A280="","",IF(Allocation!$N$3="VOL_EFF",$Q280,IF(Allocation!$N$3="VOL_CLASS",$R280,$S280)))</f>
        <v>1392.39301</v>
      </c>
      <c r="AG280">
        <f>IF($A280="","",IF(Allocation!$N$1="VOL_EFF",$Q280,IF(Allocation!$N$1="VOL_CLASS",$R280,$S280)))</f>
        <v>1392.39301</v>
      </c>
      <c r="AH280">
        <f>IF($A280="","",IF(Allocation!$N$1="VOL_EFF",$T280,IF(Allocation!$N$1="VOL_CLASS",$U280,$V280)))</f>
        <v>3473.6699979999999</v>
      </c>
      <c r="AI280">
        <f t="shared" si="88"/>
        <v>36444.153445148935</v>
      </c>
      <c r="AJ280">
        <f t="shared" si="89"/>
        <v>80798.968087659581</v>
      </c>
      <c r="AK280">
        <f t="shared" si="90"/>
        <v>22498.360266023301</v>
      </c>
      <c r="AL280">
        <f t="shared" si="91"/>
        <v>204021.2175265</v>
      </c>
      <c r="AM280">
        <f t="shared" si="92"/>
        <v>68308.044376770224</v>
      </c>
      <c r="AN280">
        <f t="shared" si="93"/>
        <v>37013.094013169291</v>
      </c>
      <c r="AO280">
        <f>IF($A280="","",Allocation!CJ280)</f>
        <v>777795.6</v>
      </c>
      <c r="AP280">
        <f>IF($A280="","",IF(Allocation!$N$2="VOL_EFF",$Q280,IF(Allocation!$N$2="VOL_CLASS",$R280,$S280)))</f>
        <v>11144112.273887001</v>
      </c>
      <c r="AQ280">
        <f>IF($A280="","",IF(Allocation!$N$2="VOL_EFF",$T280,IF(Allocation!$N$2="VOL_CLASS",$U280,$V280)))</f>
        <v>26814168.474038001</v>
      </c>
      <c r="AR280">
        <f t="shared" si="94"/>
        <v>19034.662284728667</v>
      </c>
      <c r="AS280" t="str">
        <f>IF($A280="","",$A280&amp;"|"&amp;Allocation!BG280)</f>
        <v>2027|V02</v>
      </c>
    </row>
    <row r="281" spans="1:45" x14ac:dyDescent="0.45">
      <c r="A281" t="str">
        <f>IF(Allocation!BI281="","",Allocation!BI281)</f>
        <v>2027</v>
      </c>
      <c r="B281" t="str">
        <f>IF(Allocation!BJ281="","",Allocation!BJ281)</f>
        <v>MBWAY_PAR</v>
      </c>
      <c r="C281" t="str">
        <f>IF(Allocation!BK281="","",Allocation!BK281)</f>
        <v>MBWAY</v>
      </c>
      <c r="D281" t="str">
        <f>IF(Allocation!BL281="","",Allocation!BL281)</f>
        <v>BAC_MGT</v>
      </c>
      <c r="E281" t="str">
        <f>IF(Allocation!BM281="","",Allocation!BM281)</f>
        <v>B1</v>
      </c>
      <c r="F281" t="str">
        <f>IF(Allocation!BN281="","",Allocation!BN281)</f>
        <v>INIT</v>
      </c>
      <c r="G281">
        <f>IF(Allocation!BO281="","",Allocation!BO281)</f>
        <v>95.228054999999998</v>
      </c>
      <c r="H281">
        <f>IF(Allocation!BP281="","",Allocation!BP281)</f>
        <v>3</v>
      </c>
      <c r="I281">
        <f>IF(Allocation!BQ281="","",Allocation!BQ281)</f>
        <v>842082.64475400001</v>
      </c>
      <c r="J281">
        <f>IF(Allocation!CC281="","",Allocation!CC281)</f>
        <v>95.228054999999998</v>
      </c>
      <c r="K281">
        <f t="shared" si="76"/>
        <v>1800</v>
      </c>
      <c r="L281">
        <f t="shared" si="77"/>
        <v>425.33318300000002</v>
      </c>
      <c r="M281">
        <f t="shared" si="78"/>
        <v>15</v>
      </c>
      <c r="N281">
        <f t="shared" si="79"/>
        <v>3651607.1394319995</v>
      </c>
      <c r="O281">
        <f t="shared" si="80"/>
        <v>7200</v>
      </c>
      <c r="P281">
        <f t="shared" si="81"/>
        <v>195.853183</v>
      </c>
      <c r="Q281">
        <f t="shared" si="82"/>
        <v>1392.39301</v>
      </c>
      <c r="R281">
        <f t="shared" si="83"/>
        <v>50</v>
      </c>
      <c r="S281">
        <f t="shared" si="84"/>
        <v>11144112.273887001</v>
      </c>
      <c r="T281">
        <f t="shared" si="85"/>
        <v>3473.6699979999999</v>
      </c>
      <c r="U281">
        <f t="shared" si="86"/>
        <v>135</v>
      </c>
      <c r="V281">
        <f t="shared" si="87"/>
        <v>26814168.474038001</v>
      </c>
      <c r="W281">
        <f>IF($A281="","",Allocation!CD281)</f>
        <v>203913.99720799999</v>
      </c>
      <c r="X281">
        <f>IF($A281="","",Allocation!CE281)</f>
        <v>527467.34577599994</v>
      </c>
      <c r="Y281">
        <f>IF($A281="","",Allocation!CF281)</f>
        <v>160051.33004500001</v>
      </c>
      <c r="Z281">
        <f>IF($A281="","",Allocation!CG281)</f>
        <v>78534.649999999994</v>
      </c>
      <c r="AA281">
        <f>IF($A281="","",Allocation!CH281)</f>
        <v>1222648.632762</v>
      </c>
      <c r="AB281">
        <f>IF($A281="","",Allocation!CI281)</f>
        <v>2894009.9927380001</v>
      </c>
      <c r="AC281">
        <f>IF($A281="","",IF(Allocation!$N$4="VOL_EFF",$G281,IF(Allocation!$N$4="VOL_CLASS",$H281,$I281)))</f>
        <v>3</v>
      </c>
      <c r="AD281">
        <f>IF($A281="","",IF(Allocation!$N$4="VOL_EFF",$L281,IF(Allocation!$N$4="VOL_CLASS",$M281,$N281)))</f>
        <v>15</v>
      </c>
      <c r="AE281">
        <f>IF($A281="","",IF(Allocation!$N$3="VOL_EFF",$L281,IF(Allocation!$N$3="VOL_CLASS",$M281,$N281)))</f>
        <v>425.33318300000002</v>
      </c>
      <c r="AF281">
        <f>IF($A281="","",IF(Allocation!$N$3="VOL_EFF",$Q281,IF(Allocation!$N$3="VOL_CLASS",$R281,$S281)))</f>
        <v>1392.39301</v>
      </c>
      <c r="AG281">
        <f>IF($A281="","",IF(Allocation!$N$1="VOL_EFF",$Q281,IF(Allocation!$N$1="VOL_CLASS",$R281,$S281)))</f>
        <v>1392.39301</v>
      </c>
      <c r="AH281">
        <f>IF($A281="","",IF(Allocation!$N$1="VOL_EFF",$T281,IF(Allocation!$N$1="VOL_CLASS",$U281,$V281)))</f>
        <v>3473.6699979999999</v>
      </c>
      <c r="AI281">
        <f t="shared" si="88"/>
        <v>50978.499301999997</v>
      </c>
      <c r="AJ281">
        <f t="shared" si="89"/>
        <v>131866.83644399999</v>
      </c>
      <c r="AK281">
        <f t="shared" si="90"/>
        <v>74019.216785077646</v>
      </c>
      <c r="AL281">
        <f t="shared" si="91"/>
        <v>244529.72655240001</v>
      </c>
      <c r="AM281">
        <f t="shared" si="92"/>
        <v>70871.354075302152</v>
      </c>
      <c r="AN281">
        <f t="shared" si="93"/>
        <v>250068.05958242377</v>
      </c>
      <c r="AO281">
        <f>IF($A281="","",Allocation!CJ281)</f>
        <v>777795.6</v>
      </c>
      <c r="AP281">
        <f>IF($A281="","",IF(Allocation!$N$2="VOL_EFF",$Q281,IF(Allocation!$N$2="VOL_CLASS",$R281,$S281)))</f>
        <v>11144112.273887001</v>
      </c>
      <c r="AQ281">
        <f>IF($A281="","",IF(Allocation!$N$2="VOL_EFF",$T281,IF(Allocation!$N$2="VOL_CLASS",$U281,$V281)))</f>
        <v>26814168.474038001</v>
      </c>
      <c r="AR281">
        <f t="shared" si="94"/>
        <v>19748.952012796446</v>
      </c>
      <c r="AS281" t="str">
        <f>IF($A281="","",$A281&amp;"|"&amp;Allocation!BG281)</f>
        <v>2027|V02</v>
      </c>
    </row>
    <row r="282" spans="1:45" x14ac:dyDescent="0.45">
      <c r="A282" t="str">
        <f>IF(Allocation!BI282="","",Allocation!BI282)</f>
        <v>2027</v>
      </c>
      <c r="B282" t="str">
        <f>IF(Allocation!BJ282="","",Allocation!BJ282)</f>
        <v>MBWAY_PAR</v>
      </c>
      <c r="C282" t="str">
        <f>IF(Allocation!BK282="","",Allocation!BK282)</f>
        <v>MBWAY</v>
      </c>
      <c r="D282" t="str">
        <f>IF(Allocation!BL282="","",Allocation!BL282)</f>
        <v>BAC_MGT</v>
      </c>
      <c r="E282" t="str">
        <f>IF(Allocation!BM282="","",Allocation!BM282)</f>
        <v>B2</v>
      </c>
      <c r="F282" t="str">
        <f>IF(Allocation!BN282="","",Allocation!BN282)</f>
        <v>ALT</v>
      </c>
      <c r="G282">
        <f>IF(Allocation!BO282="","",Allocation!BO282)</f>
        <v>77.17</v>
      </c>
      <c r="H282">
        <f>IF(Allocation!BP282="","",Allocation!BP282)</f>
        <v>3</v>
      </c>
      <c r="I282">
        <f>IF(Allocation!BQ282="","",Allocation!BQ282)</f>
        <v>630423.33759999997</v>
      </c>
      <c r="J282">
        <f>IF(Allocation!CC282="","",Allocation!CC282)</f>
        <v>0</v>
      </c>
      <c r="K282">
        <f t="shared" si="76"/>
        <v>1440</v>
      </c>
      <c r="L282">
        <f t="shared" si="77"/>
        <v>425.33318300000002</v>
      </c>
      <c r="M282">
        <f t="shared" si="78"/>
        <v>15</v>
      </c>
      <c r="N282">
        <f t="shared" si="79"/>
        <v>3651607.1394319995</v>
      </c>
      <c r="O282">
        <f t="shared" si="80"/>
        <v>7200</v>
      </c>
      <c r="P282">
        <f t="shared" si="81"/>
        <v>195.853183</v>
      </c>
      <c r="Q282">
        <f t="shared" si="82"/>
        <v>1392.39301</v>
      </c>
      <c r="R282">
        <f t="shared" si="83"/>
        <v>50</v>
      </c>
      <c r="S282">
        <f t="shared" si="84"/>
        <v>11144112.273887001</v>
      </c>
      <c r="T282">
        <f t="shared" si="85"/>
        <v>3473.6699979999999</v>
      </c>
      <c r="U282">
        <f t="shared" si="86"/>
        <v>135</v>
      </c>
      <c r="V282">
        <f t="shared" si="87"/>
        <v>26814168.474038001</v>
      </c>
      <c r="W282">
        <f>IF($A282="","",Allocation!CD282)</f>
        <v>203913.99720799999</v>
      </c>
      <c r="X282">
        <f>IF($A282="","",Allocation!CE282)</f>
        <v>527467.34577599994</v>
      </c>
      <c r="Y282">
        <f>IF($A282="","",Allocation!CF282)</f>
        <v>160051.33004500001</v>
      </c>
      <c r="Z282">
        <f>IF($A282="","",Allocation!CG282)</f>
        <v>78534.649999999994</v>
      </c>
      <c r="AA282">
        <f>IF($A282="","",Allocation!CH282)</f>
        <v>1222648.632762</v>
      </c>
      <c r="AB282">
        <f>IF($A282="","",Allocation!CI282)</f>
        <v>2894009.9927380001</v>
      </c>
      <c r="AC282">
        <f>IF($A282="","",IF(Allocation!$N$4="VOL_EFF",$G282,IF(Allocation!$N$4="VOL_CLASS",$H282,$I282)))</f>
        <v>3</v>
      </c>
      <c r="AD282">
        <f>IF($A282="","",IF(Allocation!$N$4="VOL_EFF",$L282,IF(Allocation!$N$4="VOL_CLASS",$M282,$N282)))</f>
        <v>15</v>
      </c>
      <c r="AE282">
        <f>IF($A282="","",IF(Allocation!$N$3="VOL_EFF",$L282,IF(Allocation!$N$3="VOL_CLASS",$M282,$N282)))</f>
        <v>425.33318300000002</v>
      </c>
      <c r="AF282">
        <f>IF($A282="","",IF(Allocation!$N$3="VOL_EFF",$Q282,IF(Allocation!$N$3="VOL_CLASS",$R282,$S282)))</f>
        <v>1392.39301</v>
      </c>
      <c r="AG282">
        <f>IF($A282="","",IF(Allocation!$N$1="VOL_EFF",$Q282,IF(Allocation!$N$1="VOL_CLASS",$R282,$S282)))</f>
        <v>1392.39301</v>
      </c>
      <c r="AH282">
        <f>IF($A282="","",IF(Allocation!$N$1="VOL_EFF",$T282,IF(Allocation!$N$1="VOL_CLASS",$U282,$V282)))</f>
        <v>3473.6699979999999</v>
      </c>
      <c r="AI282">
        <f t="shared" si="88"/>
        <v>40782.7994416</v>
      </c>
      <c r="AJ282">
        <f t="shared" si="89"/>
        <v>105493.4691552</v>
      </c>
      <c r="AK282">
        <f t="shared" si="90"/>
        <v>29038.790372423522</v>
      </c>
      <c r="AL282">
        <f t="shared" si="91"/>
        <v>244529.72655240001</v>
      </c>
      <c r="AM282">
        <f t="shared" si="92"/>
        <v>70871.354075302152</v>
      </c>
      <c r="AN282">
        <f t="shared" si="93"/>
        <v>119958.24599027785</v>
      </c>
      <c r="AO282">
        <f>IF($A282="","",Allocation!CJ282)</f>
        <v>777795.6</v>
      </c>
      <c r="AP282">
        <f>IF($A282="","",IF(Allocation!$N$2="VOL_EFF",$Q282,IF(Allocation!$N$2="VOL_CLASS",$R282,$S282)))</f>
        <v>11144112.273887001</v>
      </c>
      <c r="AQ282">
        <f>IF($A282="","",IF(Allocation!$N$2="VOL_EFF",$T282,IF(Allocation!$N$2="VOL_CLASS",$U282,$V282)))</f>
        <v>26814168.474038001</v>
      </c>
      <c r="AR282">
        <f t="shared" si="94"/>
        <v>19748.952012796446</v>
      </c>
      <c r="AS282" t="str">
        <f>IF($A282="","",$A282&amp;"|"&amp;Allocation!BG282)</f>
        <v>2027|V02</v>
      </c>
    </row>
    <row r="283" spans="1:45" x14ac:dyDescent="0.45">
      <c r="A283" t="str">
        <f>IF(Allocation!BI283="","",Allocation!BI283)</f>
        <v>2027</v>
      </c>
      <c r="B283" t="str">
        <f>IF(Allocation!BJ283="","",Allocation!BJ283)</f>
        <v>MBWAY_PAR</v>
      </c>
      <c r="C283" t="str">
        <f>IF(Allocation!BK283="","",Allocation!BK283)</f>
        <v>MBWAY</v>
      </c>
      <c r="D283" t="str">
        <f>IF(Allocation!BL283="","",Allocation!BL283)</f>
        <v>BAC_MGT</v>
      </c>
      <c r="E283" t="str">
        <f>IF(Allocation!BM283="","",Allocation!BM283)</f>
        <v>B3</v>
      </c>
      <c r="F283" t="str">
        <f>IF(Allocation!BN283="","",Allocation!BN283)</f>
        <v>ALT</v>
      </c>
      <c r="G283">
        <f>IF(Allocation!BO283="","",Allocation!BO283)</f>
        <v>75.14</v>
      </c>
      <c r="H283">
        <f>IF(Allocation!BP283="","",Allocation!BP283)</f>
        <v>3</v>
      </c>
      <c r="I283">
        <f>IF(Allocation!BQ283="","",Allocation!BQ283)</f>
        <v>613839.69920000003</v>
      </c>
      <c r="J283">
        <f>IF(Allocation!CC283="","",Allocation!CC283)</f>
        <v>0</v>
      </c>
      <c r="K283">
        <f t="shared" si="76"/>
        <v>1440</v>
      </c>
      <c r="L283">
        <f t="shared" si="77"/>
        <v>425.33318300000002</v>
      </c>
      <c r="M283">
        <f t="shared" si="78"/>
        <v>15</v>
      </c>
      <c r="N283">
        <f t="shared" si="79"/>
        <v>3651607.1394319995</v>
      </c>
      <c r="O283">
        <f t="shared" si="80"/>
        <v>7200</v>
      </c>
      <c r="P283">
        <f t="shared" si="81"/>
        <v>195.853183</v>
      </c>
      <c r="Q283">
        <f t="shared" si="82"/>
        <v>1392.39301</v>
      </c>
      <c r="R283">
        <f t="shared" si="83"/>
        <v>50</v>
      </c>
      <c r="S283">
        <f t="shared" si="84"/>
        <v>11144112.273887001</v>
      </c>
      <c r="T283">
        <f t="shared" si="85"/>
        <v>3473.6699979999999</v>
      </c>
      <c r="U283">
        <f t="shared" si="86"/>
        <v>135</v>
      </c>
      <c r="V283">
        <f t="shared" si="87"/>
        <v>26814168.474038001</v>
      </c>
      <c r="W283">
        <f>IF($A283="","",Allocation!CD283)</f>
        <v>203913.99720799999</v>
      </c>
      <c r="X283">
        <f>IF($A283="","",Allocation!CE283)</f>
        <v>527467.34577599994</v>
      </c>
      <c r="Y283">
        <f>IF($A283="","",Allocation!CF283)</f>
        <v>160051.33004500001</v>
      </c>
      <c r="Z283">
        <f>IF($A283="","",Allocation!CG283)</f>
        <v>78534.649999999994</v>
      </c>
      <c r="AA283">
        <f>IF($A283="","",Allocation!CH283)</f>
        <v>1222648.632762</v>
      </c>
      <c r="AB283">
        <f>IF($A283="","",Allocation!CI283)</f>
        <v>2894009.9927380001</v>
      </c>
      <c r="AC283">
        <f>IF($A283="","",IF(Allocation!$N$4="VOL_EFF",$G283,IF(Allocation!$N$4="VOL_CLASS",$H283,$I283)))</f>
        <v>3</v>
      </c>
      <c r="AD283">
        <f>IF($A283="","",IF(Allocation!$N$4="VOL_EFF",$L283,IF(Allocation!$N$4="VOL_CLASS",$M283,$N283)))</f>
        <v>15</v>
      </c>
      <c r="AE283">
        <f>IF($A283="","",IF(Allocation!$N$3="VOL_EFF",$L283,IF(Allocation!$N$3="VOL_CLASS",$M283,$N283)))</f>
        <v>425.33318300000002</v>
      </c>
      <c r="AF283">
        <f>IF($A283="","",IF(Allocation!$N$3="VOL_EFF",$Q283,IF(Allocation!$N$3="VOL_CLASS",$R283,$S283)))</f>
        <v>1392.39301</v>
      </c>
      <c r="AG283">
        <f>IF($A283="","",IF(Allocation!$N$1="VOL_EFF",$Q283,IF(Allocation!$N$1="VOL_CLASS",$R283,$S283)))</f>
        <v>1392.39301</v>
      </c>
      <c r="AH283">
        <f>IF($A283="","",IF(Allocation!$N$1="VOL_EFF",$T283,IF(Allocation!$N$1="VOL_CLASS",$U283,$V283)))</f>
        <v>3473.6699979999999</v>
      </c>
      <c r="AI283">
        <f t="shared" si="88"/>
        <v>40782.7994416</v>
      </c>
      <c r="AJ283">
        <f t="shared" si="89"/>
        <v>105493.4691552</v>
      </c>
      <c r="AK283">
        <f t="shared" si="90"/>
        <v>28274.908754488832</v>
      </c>
      <c r="AL283">
        <f t="shared" si="91"/>
        <v>244529.72655240001</v>
      </c>
      <c r="AM283">
        <f t="shared" si="92"/>
        <v>70871.354075302152</v>
      </c>
      <c r="AN283">
        <f t="shared" si="93"/>
        <v>104138.48920821265</v>
      </c>
      <c r="AO283">
        <f>IF($A283="","",Allocation!CJ283)</f>
        <v>777795.6</v>
      </c>
      <c r="AP283">
        <f>IF($A283="","",IF(Allocation!$N$2="VOL_EFF",$Q283,IF(Allocation!$N$2="VOL_CLASS",$R283,$S283)))</f>
        <v>11144112.273887001</v>
      </c>
      <c r="AQ283">
        <f>IF($A283="","",IF(Allocation!$N$2="VOL_EFF",$T283,IF(Allocation!$N$2="VOL_CLASS",$U283,$V283)))</f>
        <v>26814168.474038001</v>
      </c>
      <c r="AR283">
        <f t="shared" si="94"/>
        <v>19748.952012796446</v>
      </c>
      <c r="AS283" t="str">
        <f>IF($A283="","",$A283&amp;"|"&amp;Allocation!BG283)</f>
        <v>2027|V02</v>
      </c>
    </row>
    <row r="284" spans="1:45" x14ac:dyDescent="0.45">
      <c r="A284" t="str">
        <f>IF(Allocation!BI284="","",Allocation!BI284)</f>
        <v>2027</v>
      </c>
      <c r="B284" t="str">
        <f>IF(Allocation!BJ284="","",Allocation!BJ284)</f>
        <v>MBWAY_PAR</v>
      </c>
      <c r="C284" t="str">
        <f>IF(Allocation!BK284="","",Allocation!BK284)</f>
        <v>MBWAY</v>
      </c>
      <c r="D284" t="str">
        <f>IF(Allocation!BL284="","",Allocation!BL284)</f>
        <v>MAS_MGT</v>
      </c>
      <c r="E284" t="str">
        <f>IF(Allocation!BM284="","",Allocation!BM284)</f>
        <v>M1</v>
      </c>
      <c r="F284" t="str">
        <f>IF(Allocation!BN284="","",Allocation!BN284)</f>
        <v>ALT</v>
      </c>
      <c r="G284">
        <f>IF(Allocation!BO284="","",Allocation!BO284)</f>
        <v>100.625128</v>
      </c>
      <c r="H284">
        <f>IF(Allocation!BP284="","",Allocation!BP284)</f>
        <v>3</v>
      </c>
      <c r="I284">
        <f>IF(Allocation!BQ284="","",Allocation!BQ284)</f>
        <v>889807.88187799999</v>
      </c>
      <c r="J284">
        <f>IF(Allocation!CC284="","",Allocation!CC284)</f>
        <v>100.625128</v>
      </c>
      <c r="K284">
        <f t="shared" si="76"/>
        <v>1260</v>
      </c>
      <c r="L284">
        <f t="shared" si="77"/>
        <v>425.33318300000002</v>
      </c>
      <c r="M284">
        <f t="shared" si="78"/>
        <v>15</v>
      </c>
      <c r="N284">
        <f t="shared" si="79"/>
        <v>3651607.1394319995</v>
      </c>
      <c r="O284">
        <f t="shared" si="80"/>
        <v>7200</v>
      </c>
      <c r="P284">
        <f t="shared" si="81"/>
        <v>195.853183</v>
      </c>
      <c r="Q284">
        <f t="shared" si="82"/>
        <v>1392.39301</v>
      </c>
      <c r="R284">
        <f t="shared" si="83"/>
        <v>50</v>
      </c>
      <c r="S284">
        <f t="shared" si="84"/>
        <v>11144112.273887001</v>
      </c>
      <c r="T284">
        <f t="shared" si="85"/>
        <v>3473.6699979999999</v>
      </c>
      <c r="U284">
        <f t="shared" si="86"/>
        <v>135</v>
      </c>
      <c r="V284">
        <f t="shared" si="87"/>
        <v>26814168.474038001</v>
      </c>
      <c r="W284">
        <f>IF($A284="","",Allocation!CD284)</f>
        <v>203913.99720799999</v>
      </c>
      <c r="X284">
        <f>IF($A284="","",Allocation!CE284)</f>
        <v>527467.34577599994</v>
      </c>
      <c r="Y284">
        <f>IF($A284="","",Allocation!CF284)</f>
        <v>160051.33004500001</v>
      </c>
      <c r="Z284">
        <f>IF($A284="","",Allocation!CG284)</f>
        <v>78534.649999999994</v>
      </c>
      <c r="AA284">
        <f>IF($A284="","",Allocation!CH284)</f>
        <v>1222648.632762</v>
      </c>
      <c r="AB284">
        <f>IF($A284="","",Allocation!CI284)</f>
        <v>2894009.9927380001</v>
      </c>
      <c r="AC284">
        <f>IF($A284="","",IF(Allocation!$N$4="VOL_EFF",$G284,IF(Allocation!$N$4="VOL_CLASS",$H284,$I284)))</f>
        <v>3</v>
      </c>
      <c r="AD284">
        <f>IF($A284="","",IF(Allocation!$N$4="VOL_EFF",$L284,IF(Allocation!$N$4="VOL_CLASS",$M284,$N284)))</f>
        <v>15</v>
      </c>
      <c r="AE284">
        <f>IF($A284="","",IF(Allocation!$N$3="VOL_EFF",$L284,IF(Allocation!$N$3="VOL_CLASS",$M284,$N284)))</f>
        <v>425.33318300000002</v>
      </c>
      <c r="AF284">
        <f>IF($A284="","",IF(Allocation!$N$3="VOL_EFF",$Q284,IF(Allocation!$N$3="VOL_CLASS",$R284,$S284)))</f>
        <v>1392.39301</v>
      </c>
      <c r="AG284">
        <f>IF($A284="","",IF(Allocation!$N$1="VOL_EFF",$Q284,IF(Allocation!$N$1="VOL_CLASS",$R284,$S284)))</f>
        <v>1392.39301</v>
      </c>
      <c r="AH284">
        <f>IF($A284="","",IF(Allocation!$N$1="VOL_EFF",$T284,IF(Allocation!$N$1="VOL_CLASS",$U284,$V284)))</f>
        <v>3473.6699979999999</v>
      </c>
      <c r="AI284">
        <f t="shared" si="88"/>
        <v>35684.949511399995</v>
      </c>
      <c r="AJ284">
        <f t="shared" si="89"/>
        <v>92306.785510799979</v>
      </c>
      <c r="AK284">
        <f t="shared" si="90"/>
        <v>78214.273760586482</v>
      </c>
      <c r="AL284">
        <f t="shared" si="91"/>
        <v>244529.72655240001</v>
      </c>
      <c r="AM284">
        <f t="shared" si="92"/>
        <v>70871.354075302152</v>
      </c>
      <c r="AN284">
        <f t="shared" si="93"/>
        <v>348451.84045471495</v>
      </c>
      <c r="AO284">
        <f>IF($A284="","",Allocation!CJ284)</f>
        <v>777795.6</v>
      </c>
      <c r="AP284">
        <f>IF($A284="","",IF(Allocation!$N$2="VOL_EFF",$Q284,IF(Allocation!$N$2="VOL_CLASS",$R284,$S284)))</f>
        <v>11144112.273887001</v>
      </c>
      <c r="AQ284">
        <f>IF($A284="","",IF(Allocation!$N$2="VOL_EFF",$T284,IF(Allocation!$N$2="VOL_CLASS",$U284,$V284)))</f>
        <v>26814168.474038001</v>
      </c>
      <c r="AR284">
        <f t="shared" si="94"/>
        <v>19748.952012796446</v>
      </c>
      <c r="AS284" t="str">
        <f>IF($A284="","",$A284&amp;"|"&amp;Allocation!BG284)</f>
        <v>2027|V02</v>
      </c>
    </row>
    <row r="285" spans="1:45" x14ac:dyDescent="0.45">
      <c r="A285" t="str">
        <f>IF(Allocation!BI285="","",Allocation!BI285)</f>
        <v>2027</v>
      </c>
      <c r="B285" t="str">
        <f>IF(Allocation!BJ285="","",Allocation!BJ285)</f>
        <v>MBWAY_PAR</v>
      </c>
      <c r="C285" t="str">
        <f>IF(Allocation!BK285="","",Allocation!BK285)</f>
        <v>MBWAY</v>
      </c>
      <c r="D285" t="str">
        <f>IF(Allocation!BL285="","",Allocation!BL285)</f>
        <v>MAS_MGT</v>
      </c>
      <c r="E285" t="str">
        <f>IF(Allocation!BM285="","",Allocation!BM285)</f>
        <v>M2</v>
      </c>
      <c r="F285" t="str">
        <f>IF(Allocation!BN285="","",Allocation!BN285)</f>
        <v>ALT</v>
      </c>
      <c r="G285">
        <f>IF(Allocation!BO285="","",Allocation!BO285)</f>
        <v>77.17</v>
      </c>
      <c r="H285">
        <f>IF(Allocation!BP285="","",Allocation!BP285)</f>
        <v>3</v>
      </c>
      <c r="I285">
        <f>IF(Allocation!BQ285="","",Allocation!BQ285)</f>
        <v>675453.576</v>
      </c>
      <c r="J285">
        <f>IF(Allocation!CC285="","",Allocation!CC285)</f>
        <v>0</v>
      </c>
      <c r="K285">
        <f t="shared" si="76"/>
        <v>1260</v>
      </c>
      <c r="L285">
        <f t="shared" si="77"/>
        <v>425.33318300000002</v>
      </c>
      <c r="M285">
        <f t="shared" si="78"/>
        <v>15</v>
      </c>
      <c r="N285">
        <f t="shared" si="79"/>
        <v>3651607.1394319995</v>
      </c>
      <c r="O285">
        <f t="shared" si="80"/>
        <v>7200</v>
      </c>
      <c r="P285">
        <f t="shared" si="81"/>
        <v>195.853183</v>
      </c>
      <c r="Q285">
        <f t="shared" si="82"/>
        <v>1392.39301</v>
      </c>
      <c r="R285">
        <f t="shared" si="83"/>
        <v>50</v>
      </c>
      <c r="S285">
        <f t="shared" si="84"/>
        <v>11144112.273887001</v>
      </c>
      <c r="T285">
        <f t="shared" si="85"/>
        <v>3473.6699979999999</v>
      </c>
      <c r="U285">
        <f t="shared" si="86"/>
        <v>135</v>
      </c>
      <c r="V285">
        <f t="shared" si="87"/>
        <v>26814168.474038001</v>
      </c>
      <c r="W285">
        <f>IF($A285="","",Allocation!CD285)</f>
        <v>203913.99720799999</v>
      </c>
      <c r="X285">
        <f>IF($A285="","",Allocation!CE285)</f>
        <v>527467.34577599994</v>
      </c>
      <c r="Y285">
        <f>IF($A285="","",Allocation!CF285)</f>
        <v>160051.33004500001</v>
      </c>
      <c r="Z285">
        <f>IF($A285="","",Allocation!CG285)</f>
        <v>78534.649999999994</v>
      </c>
      <c r="AA285">
        <f>IF($A285="","",Allocation!CH285)</f>
        <v>1222648.632762</v>
      </c>
      <c r="AB285">
        <f>IF($A285="","",Allocation!CI285)</f>
        <v>2894009.9927380001</v>
      </c>
      <c r="AC285">
        <f>IF($A285="","",IF(Allocation!$N$4="VOL_EFF",$G285,IF(Allocation!$N$4="VOL_CLASS",$H285,$I285)))</f>
        <v>3</v>
      </c>
      <c r="AD285">
        <f>IF($A285="","",IF(Allocation!$N$4="VOL_EFF",$L285,IF(Allocation!$N$4="VOL_CLASS",$M285,$N285)))</f>
        <v>15</v>
      </c>
      <c r="AE285">
        <f>IF($A285="","",IF(Allocation!$N$3="VOL_EFF",$L285,IF(Allocation!$N$3="VOL_CLASS",$M285,$N285)))</f>
        <v>425.33318300000002</v>
      </c>
      <c r="AF285">
        <f>IF($A285="","",IF(Allocation!$N$3="VOL_EFF",$Q285,IF(Allocation!$N$3="VOL_CLASS",$R285,$S285)))</f>
        <v>1392.39301</v>
      </c>
      <c r="AG285">
        <f>IF($A285="","",IF(Allocation!$N$1="VOL_EFF",$Q285,IF(Allocation!$N$1="VOL_CLASS",$R285,$S285)))</f>
        <v>1392.39301</v>
      </c>
      <c r="AH285">
        <f>IF($A285="","",IF(Allocation!$N$1="VOL_EFF",$T285,IF(Allocation!$N$1="VOL_CLASS",$U285,$V285)))</f>
        <v>3473.6699979999999</v>
      </c>
      <c r="AI285">
        <f t="shared" si="88"/>
        <v>35684.949511399995</v>
      </c>
      <c r="AJ285">
        <f t="shared" si="89"/>
        <v>92306.785510799979</v>
      </c>
      <c r="AK285">
        <f t="shared" si="90"/>
        <v>29038.790372423522</v>
      </c>
      <c r="AL285">
        <f t="shared" si="91"/>
        <v>244529.72655240001</v>
      </c>
      <c r="AM285">
        <f t="shared" si="92"/>
        <v>70871.354075302152</v>
      </c>
      <c r="AN285">
        <f t="shared" si="93"/>
        <v>183273.01796487789</v>
      </c>
      <c r="AO285">
        <f>IF($A285="","",Allocation!CJ285)</f>
        <v>777795.6</v>
      </c>
      <c r="AP285">
        <f>IF($A285="","",IF(Allocation!$N$2="VOL_EFF",$Q285,IF(Allocation!$N$2="VOL_CLASS",$R285,$S285)))</f>
        <v>11144112.273887001</v>
      </c>
      <c r="AQ285">
        <f>IF($A285="","",IF(Allocation!$N$2="VOL_EFF",$T285,IF(Allocation!$N$2="VOL_CLASS",$U285,$V285)))</f>
        <v>26814168.474038001</v>
      </c>
      <c r="AR285">
        <f t="shared" si="94"/>
        <v>19748.952012796446</v>
      </c>
      <c r="AS285" t="str">
        <f>IF($A285="","",$A285&amp;"|"&amp;Allocation!BG285)</f>
        <v>2027|V02</v>
      </c>
    </row>
    <row r="286" spans="1:45" x14ac:dyDescent="0.45">
      <c r="A286" t="str">
        <f>IF(Allocation!BI286="","",Allocation!BI286)</f>
        <v>2027</v>
      </c>
      <c r="B286" t="str">
        <f>IF(Allocation!BJ286="","",Allocation!BJ286)</f>
        <v>PIGIER_BOR</v>
      </c>
      <c r="C286" t="str">
        <f>IF(Allocation!BK286="","",Allocation!BK286)</f>
        <v>PIGIER</v>
      </c>
      <c r="D286" t="str">
        <f>IF(Allocation!BL286="","",Allocation!BL286)</f>
        <v>BTS_GES</v>
      </c>
      <c r="E286" t="str">
        <f>IF(Allocation!BM286="","",Allocation!BM286)</f>
        <v>BTS1</v>
      </c>
      <c r="F286" t="str">
        <f>IF(Allocation!BN286="","",Allocation!BN286)</f>
        <v>ALT</v>
      </c>
      <c r="G286">
        <f>IF(Allocation!BO286="","",Allocation!BO286)</f>
        <v>46.478135000000002</v>
      </c>
      <c r="H286">
        <f>IF(Allocation!BP286="","",Allocation!BP286)</f>
        <v>2</v>
      </c>
      <c r="I286">
        <f>IF(Allocation!BQ286="","",Allocation!BQ286)</f>
        <v>283206.61433999997</v>
      </c>
      <c r="J286">
        <f>IF(Allocation!CC286="","",Allocation!CC286)</f>
        <v>46.478135000000002</v>
      </c>
      <c r="K286">
        <f t="shared" si="76"/>
        <v>1400</v>
      </c>
      <c r="L286">
        <f t="shared" si="77"/>
        <v>198.56127000000001</v>
      </c>
      <c r="M286">
        <f t="shared" si="78"/>
        <v>10</v>
      </c>
      <c r="N286">
        <f t="shared" si="79"/>
        <v>1317002.7097690001</v>
      </c>
      <c r="O286">
        <f t="shared" si="80"/>
        <v>5680</v>
      </c>
      <c r="P286">
        <f t="shared" si="81"/>
        <v>92.956270000000004</v>
      </c>
      <c r="Q286">
        <f t="shared" si="82"/>
        <v>453.10243600000001</v>
      </c>
      <c r="R286">
        <f t="shared" si="83"/>
        <v>20</v>
      </c>
      <c r="S286">
        <f t="shared" si="84"/>
        <v>3143826.2793970006</v>
      </c>
      <c r="T286">
        <f t="shared" si="85"/>
        <v>3473.6699979999999</v>
      </c>
      <c r="U286">
        <f t="shared" si="86"/>
        <v>135</v>
      </c>
      <c r="V286">
        <f t="shared" si="87"/>
        <v>26814168.474038001</v>
      </c>
      <c r="W286">
        <f>IF($A286="","",Allocation!CD286)</f>
        <v>108753.60637199999</v>
      </c>
      <c r="X286">
        <f>IF($A286="","",Allocation!CE286)</f>
        <v>192003.82131</v>
      </c>
      <c r="Y286">
        <f>IF($A286="","",Allocation!CF286)</f>
        <v>59496.216244000003</v>
      </c>
      <c r="Z286">
        <f>IF($A286="","",Allocation!CG286)</f>
        <v>25263.200000000001</v>
      </c>
      <c r="AA286">
        <f>IF($A286="","",Allocation!CH286)</f>
        <v>350737.430926</v>
      </c>
      <c r="AB286">
        <f>IF($A286="","",Allocation!CI286)</f>
        <v>2894009.9927380001</v>
      </c>
      <c r="AC286">
        <f>IF($A286="","",IF(Allocation!$N$4="VOL_EFF",$G286,IF(Allocation!$N$4="VOL_CLASS",$H286,$I286)))</f>
        <v>2</v>
      </c>
      <c r="AD286">
        <f>IF($A286="","",IF(Allocation!$N$4="VOL_EFF",$L286,IF(Allocation!$N$4="VOL_CLASS",$M286,$N286)))</f>
        <v>10</v>
      </c>
      <c r="AE286">
        <f>IF($A286="","",IF(Allocation!$N$3="VOL_EFF",$L286,IF(Allocation!$N$3="VOL_CLASS",$M286,$N286)))</f>
        <v>198.56127000000001</v>
      </c>
      <c r="AF286">
        <f>IF($A286="","",IF(Allocation!$N$3="VOL_EFF",$Q286,IF(Allocation!$N$3="VOL_CLASS",$R286,$S286)))</f>
        <v>453.10243600000001</v>
      </c>
      <c r="AG286">
        <f>IF($A286="","",IF(Allocation!$N$1="VOL_EFF",$Q286,IF(Allocation!$N$1="VOL_CLASS",$R286,$S286)))</f>
        <v>453.10243600000001</v>
      </c>
      <c r="AH286">
        <f>IF($A286="","",IF(Allocation!$N$1="VOL_EFF",$T286,IF(Allocation!$N$1="VOL_CLASS",$U286,$V286)))</f>
        <v>3473.6699979999999</v>
      </c>
      <c r="AI286">
        <f t="shared" si="88"/>
        <v>26805.466359295773</v>
      </c>
      <c r="AJ286">
        <f t="shared" si="89"/>
        <v>47324.885534154928</v>
      </c>
      <c r="AK286">
        <f t="shared" si="90"/>
        <v>26558.148569002529</v>
      </c>
      <c r="AL286">
        <f t="shared" si="91"/>
        <v>70147.486185200003</v>
      </c>
      <c r="AM286">
        <f t="shared" si="92"/>
        <v>33085.370796972762</v>
      </c>
      <c r="AN286">
        <f t="shared" si="93"/>
        <v>71292.661495972017</v>
      </c>
      <c r="AO286">
        <f>IF($A286="","",Allocation!CJ286)</f>
        <v>777795.6</v>
      </c>
      <c r="AP286">
        <f>IF($A286="","",IF(Allocation!$N$2="VOL_EFF",$Q286,IF(Allocation!$N$2="VOL_CLASS",$R286,$S286)))</f>
        <v>3143826.2793970006</v>
      </c>
      <c r="AQ286">
        <f>IF($A286="","",IF(Allocation!$N$2="VOL_EFF",$T286,IF(Allocation!$N$2="VOL_CLASS",$U286,$V286)))</f>
        <v>26814168.474038001</v>
      </c>
      <c r="AR286">
        <f t="shared" si="94"/>
        <v>7992.5953994019555</v>
      </c>
      <c r="AS286" t="str">
        <f>IF($A286="","",$A286&amp;"|"&amp;Allocation!BG286)</f>
        <v>2027|V02</v>
      </c>
    </row>
    <row r="287" spans="1:45" x14ac:dyDescent="0.45">
      <c r="A287" t="str">
        <f>IF(Allocation!BI287="","",Allocation!BI287)</f>
        <v>2027</v>
      </c>
      <c r="B287" t="str">
        <f>IF(Allocation!BJ287="","",Allocation!BJ287)</f>
        <v>PIGIER_BOR</v>
      </c>
      <c r="C287" t="str">
        <f>IF(Allocation!BK287="","",Allocation!BK287)</f>
        <v>PIGIER</v>
      </c>
      <c r="D287" t="str">
        <f>IF(Allocation!BL287="","",Allocation!BL287)</f>
        <v>BTS_GES</v>
      </c>
      <c r="E287" t="str">
        <f>IF(Allocation!BM287="","",Allocation!BM287)</f>
        <v>BTS2</v>
      </c>
      <c r="F287" t="str">
        <f>IF(Allocation!BN287="","",Allocation!BN287)</f>
        <v>ALT</v>
      </c>
      <c r="G287">
        <f>IF(Allocation!BO287="","",Allocation!BO287)</f>
        <v>35.54</v>
      </c>
      <c r="H287">
        <f>IF(Allocation!BP287="","",Allocation!BP287)</f>
        <v>2</v>
      </c>
      <c r="I287">
        <f>IF(Allocation!BQ287="","",Allocation!BQ287)</f>
        <v>213358.34820000001</v>
      </c>
      <c r="J287">
        <f>IF(Allocation!CC287="","",Allocation!CC287)</f>
        <v>0</v>
      </c>
      <c r="K287">
        <f t="shared" si="76"/>
        <v>1400</v>
      </c>
      <c r="L287">
        <f t="shared" si="77"/>
        <v>198.56127000000001</v>
      </c>
      <c r="M287">
        <f t="shared" si="78"/>
        <v>10</v>
      </c>
      <c r="N287">
        <f t="shared" si="79"/>
        <v>1317002.7097690001</v>
      </c>
      <c r="O287">
        <f t="shared" si="80"/>
        <v>5680</v>
      </c>
      <c r="P287">
        <f t="shared" si="81"/>
        <v>92.956270000000004</v>
      </c>
      <c r="Q287">
        <f t="shared" si="82"/>
        <v>453.10243600000001</v>
      </c>
      <c r="R287">
        <f t="shared" si="83"/>
        <v>20</v>
      </c>
      <c r="S287">
        <f t="shared" si="84"/>
        <v>3143826.2793970006</v>
      </c>
      <c r="T287">
        <f t="shared" si="85"/>
        <v>3473.6699979999999</v>
      </c>
      <c r="U287">
        <f t="shared" si="86"/>
        <v>135</v>
      </c>
      <c r="V287">
        <f t="shared" si="87"/>
        <v>26814168.474038001</v>
      </c>
      <c r="W287">
        <f>IF($A287="","",Allocation!CD287)</f>
        <v>108753.60637199999</v>
      </c>
      <c r="X287">
        <f>IF($A287="","",Allocation!CE287)</f>
        <v>192003.82131</v>
      </c>
      <c r="Y287">
        <f>IF($A287="","",Allocation!CF287)</f>
        <v>59496.216244000003</v>
      </c>
      <c r="Z287">
        <f>IF($A287="","",Allocation!CG287)</f>
        <v>25263.200000000001</v>
      </c>
      <c r="AA287">
        <f>IF($A287="","",Allocation!CH287)</f>
        <v>350737.430926</v>
      </c>
      <c r="AB287">
        <f>IF($A287="","",Allocation!CI287)</f>
        <v>2894009.9927380001</v>
      </c>
      <c r="AC287">
        <f>IF($A287="","",IF(Allocation!$N$4="VOL_EFF",$G287,IF(Allocation!$N$4="VOL_CLASS",$H287,$I287)))</f>
        <v>2</v>
      </c>
      <c r="AD287">
        <f>IF($A287="","",IF(Allocation!$N$4="VOL_EFF",$L287,IF(Allocation!$N$4="VOL_CLASS",$M287,$N287)))</f>
        <v>10</v>
      </c>
      <c r="AE287">
        <f>IF($A287="","",IF(Allocation!$N$3="VOL_EFF",$L287,IF(Allocation!$N$3="VOL_CLASS",$M287,$N287)))</f>
        <v>198.56127000000001</v>
      </c>
      <c r="AF287">
        <f>IF($A287="","",IF(Allocation!$N$3="VOL_EFF",$Q287,IF(Allocation!$N$3="VOL_CLASS",$R287,$S287)))</f>
        <v>453.10243600000001</v>
      </c>
      <c r="AG287">
        <f>IF($A287="","",IF(Allocation!$N$1="VOL_EFF",$Q287,IF(Allocation!$N$1="VOL_CLASS",$R287,$S287)))</f>
        <v>453.10243600000001</v>
      </c>
      <c r="AH287">
        <f>IF($A287="","",IF(Allocation!$N$1="VOL_EFF",$T287,IF(Allocation!$N$1="VOL_CLASS",$U287,$V287)))</f>
        <v>3473.6699979999999</v>
      </c>
      <c r="AI287">
        <f t="shared" si="88"/>
        <v>26805.466359295773</v>
      </c>
      <c r="AJ287">
        <f t="shared" si="89"/>
        <v>47324.885534154928</v>
      </c>
      <c r="AK287">
        <f t="shared" si="90"/>
        <v>10649.083405398042</v>
      </c>
      <c r="AL287">
        <f t="shared" si="91"/>
        <v>70147.486185200003</v>
      </c>
      <c r="AM287">
        <f t="shared" si="92"/>
        <v>33085.370796972762</v>
      </c>
      <c r="AN287">
        <f t="shared" si="93"/>
        <v>17353.460519576533</v>
      </c>
      <c r="AO287">
        <f>IF($A287="","",Allocation!CJ287)</f>
        <v>777795.6</v>
      </c>
      <c r="AP287">
        <f>IF($A287="","",IF(Allocation!$N$2="VOL_EFF",$Q287,IF(Allocation!$N$2="VOL_CLASS",$R287,$S287)))</f>
        <v>3143826.2793970006</v>
      </c>
      <c r="AQ287">
        <f>IF($A287="","",IF(Allocation!$N$2="VOL_EFF",$T287,IF(Allocation!$N$2="VOL_CLASS",$U287,$V287)))</f>
        <v>26814168.474038001</v>
      </c>
      <c r="AR287">
        <f t="shared" si="94"/>
        <v>7992.5953994019555</v>
      </c>
      <c r="AS287" t="str">
        <f>IF($A287="","",$A287&amp;"|"&amp;Allocation!BG287)</f>
        <v>2027|V02</v>
      </c>
    </row>
    <row r="288" spans="1:45" x14ac:dyDescent="0.45">
      <c r="A288" t="str">
        <f>IF(Allocation!BI288="","",Allocation!BI288)</f>
        <v>2027</v>
      </c>
      <c r="B288" t="str">
        <f>IF(Allocation!BJ288="","",Allocation!BJ288)</f>
        <v>PIGIER_BOR</v>
      </c>
      <c r="C288" t="str">
        <f>IF(Allocation!BK288="","",Allocation!BK288)</f>
        <v>PIGIER</v>
      </c>
      <c r="D288" t="str">
        <f>IF(Allocation!BL288="","",Allocation!BL288)</f>
        <v>BAC_RH</v>
      </c>
      <c r="E288" t="str">
        <f>IF(Allocation!BM288="","",Allocation!BM288)</f>
        <v>B1</v>
      </c>
      <c r="F288" t="str">
        <f>IF(Allocation!BN288="","",Allocation!BN288)</f>
        <v>ALT</v>
      </c>
      <c r="G288">
        <f>IF(Allocation!BO288="","",Allocation!BO288)</f>
        <v>46.478135000000002</v>
      </c>
      <c r="H288">
        <f>IF(Allocation!BP288="","",Allocation!BP288)</f>
        <v>2</v>
      </c>
      <c r="I288">
        <f>IF(Allocation!BQ288="","",Allocation!BQ288)</f>
        <v>329710.544704</v>
      </c>
      <c r="J288">
        <f>IF(Allocation!CC288="","",Allocation!CC288)</f>
        <v>46.478135000000002</v>
      </c>
      <c r="K288">
        <f t="shared" si="76"/>
        <v>960</v>
      </c>
      <c r="L288">
        <f t="shared" si="77"/>
        <v>198.56127000000001</v>
      </c>
      <c r="M288">
        <f t="shared" si="78"/>
        <v>10</v>
      </c>
      <c r="N288">
        <f t="shared" si="79"/>
        <v>1317002.7097690001</v>
      </c>
      <c r="O288">
        <f t="shared" si="80"/>
        <v>5680</v>
      </c>
      <c r="P288">
        <f t="shared" si="81"/>
        <v>92.956270000000004</v>
      </c>
      <c r="Q288">
        <f t="shared" si="82"/>
        <v>453.10243600000001</v>
      </c>
      <c r="R288">
        <f t="shared" si="83"/>
        <v>20</v>
      </c>
      <c r="S288">
        <f t="shared" si="84"/>
        <v>3143826.2793970006</v>
      </c>
      <c r="T288">
        <f t="shared" si="85"/>
        <v>3473.6699979999999</v>
      </c>
      <c r="U288">
        <f t="shared" si="86"/>
        <v>135</v>
      </c>
      <c r="V288">
        <f t="shared" si="87"/>
        <v>26814168.474038001</v>
      </c>
      <c r="W288">
        <f>IF($A288="","",Allocation!CD288)</f>
        <v>108753.60637199999</v>
      </c>
      <c r="X288">
        <f>IF($A288="","",Allocation!CE288)</f>
        <v>192003.82131</v>
      </c>
      <c r="Y288">
        <f>IF($A288="","",Allocation!CF288)</f>
        <v>59496.216244000003</v>
      </c>
      <c r="Z288">
        <f>IF($A288="","",Allocation!CG288)</f>
        <v>25263.200000000001</v>
      </c>
      <c r="AA288">
        <f>IF($A288="","",Allocation!CH288)</f>
        <v>350737.430926</v>
      </c>
      <c r="AB288">
        <f>IF($A288="","",Allocation!CI288)</f>
        <v>2894009.9927380001</v>
      </c>
      <c r="AC288">
        <f>IF($A288="","",IF(Allocation!$N$4="VOL_EFF",$G288,IF(Allocation!$N$4="VOL_CLASS",$H288,$I288)))</f>
        <v>2</v>
      </c>
      <c r="AD288">
        <f>IF($A288="","",IF(Allocation!$N$4="VOL_EFF",$L288,IF(Allocation!$N$4="VOL_CLASS",$M288,$N288)))</f>
        <v>10</v>
      </c>
      <c r="AE288">
        <f>IF($A288="","",IF(Allocation!$N$3="VOL_EFF",$L288,IF(Allocation!$N$3="VOL_CLASS",$M288,$N288)))</f>
        <v>198.56127000000001</v>
      </c>
      <c r="AF288">
        <f>IF($A288="","",IF(Allocation!$N$3="VOL_EFF",$Q288,IF(Allocation!$N$3="VOL_CLASS",$R288,$S288)))</f>
        <v>453.10243600000001</v>
      </c>
      <c r="AG288">
        <f>IF($A288="","",IF(Allocation!$N$1="VOL_EFF",$Q288,IF(Allocation!$N$1="VOL_CLASS",$R288,$S288)))</f>
        <v>453.10243600000001</v>
      </c>
      <c r="AH288">
        <f>IF($A288="","",IF(Allocation!$N$1="VOL_EFF",$T288,IF(Allocation!$N$1="VOL_CLASS",$U288,$V288)))</f>
        <v>3473.6699979999999</v>
      </c>
      <c r="AI288">
        <f t="shared" si="88"/>
        <v>18380.891217802815</v>
      </c>
      <c r="AJ288">
        <f t="shared" si="89"/>
        <v>32451.350080563381</v>
      </c>
      <c r="AK288">
        <f t="shared" si="90"/>
        <v>26558.148569002529</v>
      </c>
      <c r="AL288">
        <f t="shared" si="91"/>
        <v>70147.486185200003</v>
      </c>
      <c r="AM288">
        <f t="shared" si="92"/>
        <v>33085.370796972762</v>
      </c>
      <c r="AN288">
        <f t="shared" si="93"/>
        <v>141094.70245505654</v>
      </c>
      <c r="AO288">
        <f>IF($A288="","",Allocation!CJ288)</f>
        <v>777795.6</v>
      </c>
      <c r="AP288">
        <f>IF($A288="","",IF(Allocation!$N$2="VOL_EFF",$Q288,IF(Allocation!$N$2="VOL_CLASS",$R288,$S288)))</f>
        <v>3143826.2793970006</v>
      </c>
      <c r="AQ288">
        <f>IF($A288="","",IF(Allocation!$N$2="VOL_EFF",$T288,IF(Allocation!$N$2="VOL_CLASS",$U288,$V288)))</f>
        <v>26814168.474038001</v>
      </c>
      <c r="AR288">
        <f t="shared" si="94"/>
        <v>7992.5953994019555</v>
      </c>
      <c r="AS288" t="str">
        <f>IF($A288="","",$A288&amp;"|"&amp;Allocation!BG288)</f>
        <v>2027|V02</v>
      </c>
    </row>
    <row r="289" spans="1:45" x14ac:dyDescent="0.45">
      <c r="A289" t="str">
        <f>IF(Allocation!BI289="","",Allocation!BI289)</f>
        <v>2027</v>
      </c>
      <c r="B289" t="str">
        <f>IF(Allocation!BJ289="","",Allocation!BJ289)</f>
        <v>PIGIER_BOR</v>
      </c>
      <c r="C289" t="str">
        <f>IF(Allocation!BK289="","",Allocation!BK289)</f>
        <v>PIGIER</v>
      </c>
      <c r="D289" t="str">
        <f>IF(Allocation!BL289="","",Allocation!BL289)</f>
        <v>BAC_RH</v>
      </c>
      <c r="E289" t="str">
        <f>IF(Allocation!BM289="","",Allocation!BM289)</f>
        <v>B2</v>
      </c>
      <c r="F289" t="str">
        <f>IF(Allocation!BN289="","",Allocation!BN289)</f>
        <v>ALT</v>
      </c>
      <c r="G289">
        <f>IF(Allocation!BO289="","",Allocation!BO289)</f>
        <v>35.54</v>
      </c>
      <c r="H289">
        <f>IF(Allocation!BP289="","",Allocation!BP289)</f>
        <v>2</v>
      </c>
      <c r="I289">
        <f>IF(Allocation!BQ289="","",Allocation!BQ289)</f>
        <v>248918.0729</v>
      </c>
      <c r="J289">
        <f>IF(Allocation!CC289="","",Allocation!CC289)</f>
        <v>0</v>
      </c>
      <c r="K289">
        <f t="shared" si="76"/>
        <v>960</v>
      </c>
      <c r="L289">
        <f t="shared" si="77"/>
        <v>198.56127000000001</v>
      </c>
      <c r="M289">
        <f t="shared" si="78"/>
        <v>10</v>
      </c>
      <c r="N289">
        <f t="shared" si="79"/>
        <v>1317002.7097690001</v>
      </c>
      <c r="O289">
        <f t="shared" si="80"/>
        <v>5680</v>
      </c>
      <c r="P289">
        <f t="shared" si="81"/>
        <v>92.956270000000004</v>
      </c>
      <c r="Q289">
        <f t="shared" si="82"/>
        <v>453.10243600000001</v>
      </c>
      <c r="R289">
        <f t="shared" si="83"/>
        <v>20</v>
      </c>
      <c r="S289">
        <f t="shared" si="84"/>
        <v>3143826.2793970006</v>
      </c>
      <c r="T289">
        <f t="shared" si="85"/>
        <v>3473.6699979999999</v>
      </c>
      <c r="U289">
        <f t="shared" si="86"/>
        <v>135</v>
      </c>
      <c r="V289">
        <f t="shared" si="87"/>
        <v>26814168.474038001</v>
      </c>
      <c r="W289">
        <f>IF($A289="","",Allocation!CD289)</f>
        <v>108753.60637199999</v>
      </c>
      <c r="X289">
        <f>IF($A289="","",Allocation!CE289)</f>
        <v>192003.82131</v>
      </c>
      <c r="Y289">
        <f>IF($A289="","",Allocation!CF289)</f>
        <v>59496.216244000003</v>
      </c>
      <c r="Z289">
        <f>IF($A289="","",Allocation!CG289)</f>
        <v>25263.200000000001</v>
      </c>
      <c r="AA289">
        <f>IF($A289="","",Allocation!CH289)</f>
        <v>350737.430926</v>
      </c>
      <c r="AB289">
        <f>IF($A289="","",Allocation!CI289)</f>
        <v>2894009.9927380001</v>
      </c>
      <c r="AC289">
        <f>IF($A289="","",IF(Allocation!$N$4="VOL_EFF",$G289,IF(Allocation!$N$4="VOL_CLASS",$H289,$I289)))</f>
        <v>2</v>
      </c>
      <c r="AD289">
        <f>IF($A289="","",IF(Allocation!$N$4="VOL_EFF",$L289,IF(Allocation!$N$4="VOL_CLASS",$M289,$N289)))</f>
        <v>10</v>
      </c>
      <c r="AE289">
        <f>IF($A289="","",IF(Allocation!$N$3="VOL_EFF",$L289,IF(Allocation!$N$3="VOL_CLASS",$M289,$N289)))</f>
        <v>198.56127000000001</v>
      </c>
      <c r="AF289">
        <f>IF($A289="","",IF(Allocation!$N$3="VOL_EFF",$Q289,IF(Allocation!$N$3="VOL_CLASS",$R289,$S289)))</f>
        <v>453.10243600000001</v>
      </c>
      <c r="AG289">
        <f>IF($A289="","",IF(Allocation!$N$1="VOL_EFF",$Q289,IF(Allocation!$N$1="VOL_CLASS",$R289,$S289)))</f>
        <v>453.10243600000001</v>
      </c>
      <c r="AH289">
        <f>IF($A289="","",IF(Allocation!$N$1="VOL_EFF",$T289,IF(Allocation!$N$1="VOL_CLASS",$U289,$V289)))</f>
        <v>3473.6699979999999</v>
      </c>
      <c r="AI289">
        <f t="shared" si="88"/>
        <v>18380.891217802815</v>
      </c>
      <c r="AJ289">
        <f t="shared" si="89"/>
        <v>32451.350080563381</v>
      </c>
      <c r="AK289">
        <f t="shared" si="90"/>
        <v>10649.083405398042</v>
      </c>
      <c r="AL289">
        <f t="shared" si="91"/>
        <v>70147.486185200003</v>
      </c>
      <c r="AM289">
        <f t="shared" si="92"/>
        <v>33085.370796972762</v>
      </c>
      <c r="AN289">
        <f t="shared" si="93"/>
        <v>76211.295814661018</v>
      </c>
      <c r="AO289">
        <f>IF($A289="","",Allocation!CJ289)</f>
        <v>777795.6</v>
      </c>
      <c r="AP289">
        <f>IF($A289="","",IF(Allocation!$N$2="VOL_EFF",$Q289,IF(Allocation!$N$2="VOL_CLASS",$R289,$S289)))</f>
        <v>3143826.2793970006</v>
      </c>
      <c r="AQ289">
        <f>IF($A289="","",IF(Allocation!$N$2="VOL_EFF",$T289,IF(Allocation!$N$2="VOL_CLASS",$U289,$V289)))</f>
        <v>26814168.474038001</v>
      </c>
      <c r="AR289">
        <f t="shared" si="94"/>
        <v>7992.5953994019555</v>
      </c>
      <c r="AS289" t="str">
        <f>IF($A289="","",$A289&amp;"|"&amp;Allocation!BG289)</f>
        <v>2027|V02</v>
      </c>
    </row>
    <row r="290" spans="1:45" x14ac:dyDescent="0.45">
      <c r="A290" t="str">
        <f>IF(Allocation!BI290="","",Allocation!BI290)</f>
        <v>2027</v>
      </c>
      <c r="B290" t="str">
        <f>IF(Allocation!BJ290="","",Allocation!BJ290)</f>
        <v>PIGIER_BOR</v>
      </c>
      <c r="C290" t="str">
        <f>IF(Allocation!BK290="","",Allocation!BK290)</f>
        <v>PIGIER</v>
      </c>
      <c r="D290" t="str">
        <f>IF(Allocation!BL290="","",Allocation!BL290)</f>
        <v>BAC_RH</v>
      </c>
      <c r="E290" t="str">
        <f>IF(Allocation!BM290="","",Allocation!BM290)</f>
        <v>B3</v>
      </c>
      <c r="F290" t="str">
        <f>IF(Allocation!BN290="","",Allocation!BN290)</f>
        <v>ALT</v>
      </c>
      <c r="G290">
        <f>IF(Allocation!BO290="","",Allocation!BO290)</f>
        <v>34.524999999999999</v>
      </c>
      <c r="H290">
        <f>IF(Allocation!BP290="","",Allocation!BP290)</f>
        <v>2</v>
      </c>
      <c r="I290">
        <f>IF(Allocation!BQ290="","",Allocation!BQ290)</f>
        <v>241809.129625</v>
      </c>
      <c r="J290">
        <f>IF(Allocation!CC290="","",Allocation!CC290)</f>
        <v>0</v>
      </c>
      <c r="K290">
        <f t="shared" si="76"/>
        <v>960</v>
      </c>
      <c r="L290">
        <f t="shared" si="77"/>
        <v>198.56127000000001</v>
      </c>
      <c r="M290">
        <f t="shared" si="78"/>
        <v>10</v>
      </c>
      <c r="N290">
        <f t="shared" si="79"/>
        <v>1317002.7097690001</v>
      </c>
      <c r="O290">
        <f t="shared" si="80"/>
        <v>5680</v>
      </c>
      <c r="P290">
        <f t="shared" si="81"/>
        <v>92.956270000000004</v>
      </c>
      <c r="Q290">
        <f t="shared" si="82"/>
        <v>453.10243600000001</v>
      </c>
      <c r="R290">
        <f t="shared" si="83"/>
        <v>20</v>
      </c>
      <c r="S290">
        <f t="shared" si="84"/>
        <v>3143826.2793970006</v>
      </c>
      <c r="T290">
        <f t="shared" si="85"/>
        <v>3473.6699979999999</v>
      </c>
      <c r="U290">
        <f t="shared" si="86"/>
        <v>135</v>
      </c>
      <c r="V290">
        <f t="shared" si="87"/>
        <v>26814168.474038001</v>
      </c>
      <c r="W290">
        <f>IF($A290="","",Allocation!CD290)</f>
        <v>108753.60637199999</v>
      </c>
      <c r="X290">
        <f>IF($A290="","",Allocation!CE290)</f>
        <v>192003.82131</v>
      </c>
      <c r="Y290">
        <f>IF($A290="","",Allocation!CF290)</f>
        <v>59496.216244000003</v>
      </c>
      <c r="Z290">
        <f>IF($A290="","",Allocation!CG290)</f>
        <v>25263.200000000001</v>
      </c>
      <c r="AA290">
        <f>IF($A290="","",Allocation!CH290)</f>
        <v>350737.430926</v>
      </c>
      <c r="AB290">
        <f>IF($A290="","",Allocation!CI290)</f>
        <v>2894009.9927380001</v>
      </c>
      <c r="AC290">
        <f>IF($A290="","",IF(Allocation!$N$4="VOL_EFF",$G290,IF(Allocation!$N$4="VOL_CLASS",$H290,$I290)))</f>
        <v>2</v>
      </c>
      <c r="AD290">
        <f>IF($A290="","",IF(Allocation!$N$4="VOL_EFF",$L290,IF(Allocation!$N$4="VOL_CLASS",$M290,$N290)))</f>
        <v>10</v>
      </c>
      <c r="AE290">
        <f>IF($A290="","",IF(Allocation!$N$3="VOL_EFF",$L290,IF(Allocation!$N$3="VOL_CLASS",$M290,$N290)))</f>
        <v>198.56127000000001</v>
      </c>
      <c r="AF290">
        <f>IF($A290="","",IF(Allocation!$N$3="VOL_EFF",$Q290,IF(Allocation!$N$3="VOL_CLASS",$R290,$S290)))</f>
        <v>453.10243600000001</v>
      </c>
      <c r="AG290">
        <f>IF($A290="","",IF(Allocation!$N$1="VOL_EFF",$Q290,IF(Allocation!$N$1="VOL_CLASS",$R290,$S290)))</f>
        <v>453.10243600000001</v>
      </c>
      <c r="AH290">
        <f>IF($A290="","",IF(Allocation!$N$1="VOL_EFF",$T290,IF(Allocation!$N$1="VOL_CLASS",$U290,$V290)))</f>
        <v>3473.6699979999999</v>
      </c>
      <c r="AI290">
        <f t="shared" si="88"/>
        <v>18380.891217802815</v>
      </c>
      <c r="AJ290">
        <f t="shared" si="89"/>
        <v>32451.350080563381</v>
      </c>
      <c r="AK290">
        <f t="shared" si="90"/>
        <v>10344.952295198857</v>
      </c>
      <c r="AL290">
        <f t="shared" si="91"/>
        <v>70147.486185200003</v>
      </c>
      <c r="AM290">
        <f t="shared" si="92"/>
        <v>33085.370796972762</v>
      </c>
      <c r="AN290">
        <f t="shared" si="93"/>
        <v>69406.483649860224</v>
      </c>
      <c r="AO290">
        <f>IF($A290="","",Allocation!CJ290)</f>
        <v>777795.6</v>
      </c>
      <c r="AP290">
        <f>IF($A290="","",IF(Allocation!$N$2="VOL_EFF",$Q290,IF(Allocation!$N$2="VOL_CLASS",$R290,$S290)))</f>
        <v>3143826.2793970006</v>
      </c>
      <c r="AQ290">
        <f>IF($A290="","",IF(Allocation!$N$2="VOL_EFF",$T290,IF(Allocation!$N$2="VOL_CLASS",$U290,$V290)))</f>
        <v>26814168.474038001</v>
      </c>
      <c r="AR290">
        <f t="shared" si="94"/>
        <v>7992.5953994019555</v>
      </c>
      <c r="AS290" t="str">
        <f>IF($A290="","",$A290&amp;"|"&amp;Allocation!BG290)</f>
        <v>2027|V02</v>
      </c>
    </row>
    <row r="291" spans="1:45" x14ac:dyDescent="0.45">
      <c r="A291" t="str">
        <f>IF(Allocation!BI291="","",Allocation!BI291)</f>
        <v>2027</v>
      </c>
      <c r="B291" t="str">
        <f>IF(Allocation!BJ291="","",Allocation!BJ291)</f>
        <v>PIGIER_LYO</v>
      </c>
      <c r="C291" t="str">
        <f>IF(Allocation!BK291="","",Allocation!BK291)</f>
        <v>PIGIER</v>
      </c>
      <c r="D291" t="str">
        <f>IF(Allocation!BL291="","",Allocation!BL291)</f>
        <v>BAC_RH</v>
      </c>
      <c r="E291" t="str">
        <f>IF(Allocation!BM291="","",Allocation!BM291)</f>
        <v>B3</v>
      </c>
      <c r="F291" t="str">
        <f>IF(Allocation!BN291="","",Allocation!BN291)</f>
        <v>ALT</v>
      </c>
      <c r="G291">
        <f>IF(Allocation!BO291="","",Allocation!BO291)</f>
        <v>44.674999999999997</v>
      </c>
      <c r="H291">
        <f>IF(Allocation!BP291="","",Allocation!BP291)</f>
        <v>2</v>
      </c>
      <c r="I291">
        <f>IF(Allocation!BQ291="","",Allocation!BQ291)</f>
        <v>338704.62937500002</v>
      </c>
      <c r="J291">
        <f>IF(Allocation!CC291="","",Allocation!CC291)</f>
        <v>0</v>
      </c>
      <c r="K291">
        <f t="shared" si="76"/>
        <v>960</v>
      </c>
      <c r="L291">
        <f t="shared" si="77"/>
        <v>254.54116599999998</v>
      </c>
      <c r="M291">
        <f t="shared" si="78"/>
        <v>10</v>
      </c>
      <c r="N291">
        <f t="shared" si="79"/>
        <v>1826823.569628</v>
      </c>
      <c r="O291">
        <f t="shared" si="80"/>
        <v>5680</v>
      </c>
      <c r="P291">
        <f t="shared" si="81"/>
        <v>118.486166</v>
      </c>
      <c r="Q291">
        <f t="shared" si="82"/>
        <v>453.10243600000001</v>
      </c>
      <c r="R291">
        <f t="shared" si="83"/>
        <v>20</v>
      </c>
      <c r="S291">
        <f t="shared" si="84"/>
        <v>3143826.2793970006</v>
      </c>
      <c r="T291">
        <f t="shared" si="85"/>
        <v>3473.6699979999999</v>
      </c>
      <c r="U291">
        <f t="shared" si="86"/>
        <v>135</v>
      </c>
      <c r="V291">
        <f t="shared" si="87"/>
        <v>26814168.474038001</v>
      </c>
      <c r="W291">
        <f>IF($A291="","",Allocation!CD291)</f>
        <v>108753.60637199999</v>
      </c>
      <c r="X291">
        <f>IF($A291="","",Allocation!CE291)</f>
        <v>253518.92022</v>
      </c>
      <c r="Y291">
        <f>IF($A291="","",Allocation!CF291)</f>
        <v>76255.777214000002</v>
      </c>
      <c r="Z291">
        <f>IF($A291="","",Allocation!CG291)</f>
        <v>42103.8</v>
      </c>
      <c r="AA291">
        <f>IF($A291="","",Allocation!CH291)</f>
        <v>543803.99753199995</v>
      </c>
      <c r="AB291">
        <f>IF($A291="","",Allocation!CI291)</f>
        <v>2894009.9927380001</v>
      </c>
      <c r="AC291">
        <f>IF($A291="","",IF(Allocation!$N$4="VOL_EFF",$G291,IF(Allocation!$N$4="VOL_CLASS",$H291,$I291)))</f>
        <v>2</v>
      </c>
      <c r="AD291">
        <f>IF($A291="","",IF(Allocation!$N$4="VOL_EFF",$L291,IF(Allocation!$N$4="VOL_CLASS",$M291,$N291)))</f>
        <v>10</v>
      </c>
      <c r="AE291">
        <f>IF($A291="","",IF(Allocation!$N$3="VOL_EFF",$L291,IF(Allocation!$N$3="VOL_CLASS",$M291,$N291)))</f>
        <v>254.54116599999998</v>
      </c>
      <c r="AF291">
        <f>IF($A291="","",IF(Allocation!$N$3="VOL_EFF",$Q291,IF(Allocation!$N$3="VOL_CLASS",$R291,$S291)))</f>
        <v>453.10243600000001</v>
      </c>
      <c r="AG291">
        <f>IF($A291="","",IF(Allocation!$N$1="VOL_EFF",$Q291,IF(Allocation!$N$1="VOL_CLASS",$R291,$S291)))</f>
        <v>453.10243600000001</v>
      </c>
      <c r="AH291">
        <f>IF($A291="","",IF(Allocation!$N$1="VOL_EFF",$T291,IF(Allocation!$N$1="VOL_CLASS",$U291,$V291)))</f>
        <v>3473.6699979999999</v>
      </c>
      <c r="AI291">
        <f t="shared" si="88"/>
        <v>18380.891217802815</v>
      </c>
      <c r="AJ291">
        <f t="shared" si="89"/>
        <v>42848.268206197179</v>
      </c>
      <c r="AK291">
        <f t="shared" si="90"/>
        <v>13383.795244481005</v>
      </c>
      <c r="AL291">
        <f t="shared" si="91"/>
        <v>108760.7995064</v>
      </c>
      <c r="AM291">
        <f t="shared" si="92"/>
        <v>42413.04893045756</v>
      </c>
      <c r="AN291">
        <f t="shared" si="93"/>
        <v>102671.89788528916</v>
      </c>
      <c r="AO291">
        <f>IF($A291="","",Allocation!CJ291)</f>
        <v>777795.6</v>
      </c>
      <c r="AP291">
        <f>IF($A291="","",IF(Allocation!$N$2="VOL_EFF",$Q291,IF(Allocation!$N$2="VOL_CLASS",$R291,$S291)))</f>
        <v>3143826.2793970006</v>
      </c>
      <c r="AQ291">
        <f>IF($A291="","",IF(Allocation!$N$2="VOL_EFF",$T291,IF(Allocation!$N$2="VOL_CLASS",$U291,$V291)))</f>
        <v>26814168.474038001</v>
      </c>
      <c r="AR291">
        <f t="shared" si="94"/>
        <v>10245.928384372286</v>
      </c>
      <c r="AS291" t="str">
        <f>IF($A291="","",$A291&amp;"|"&amp;Allocation!BG291)</f>
        <v>2027|V02</v>
      </c>
    </row>
    <row r="292" spans="1:45" x14ac:dyDescent="0.45">
      <c r="A292" t="str">
        <f>IF(Allocation!BI292="","",Allocation!BI292)</f>
        <v>2027</v>
      </c>
      <c r="B292" t="str">
        <f>IF(Allocation!BJ292="","",Allocation!BJ292)</f>
        <v>PIGIER_LYO</v>
      </c>
      <c r="C292" t="str">
        <f>IF(Allocation!BK292="","",Allocation!BK292)</f>
        <v>PIGIER</v>
      </c>
      <c r="D292" t="str">
        <f>IF(Allocation!BL292="","",Allocation!BL292)</f>
        <v>BAC_RH</v>
      </c>
      <c r="E292" t="str">
        <f>IF(Allocation!BM292="","",Allocation!BM292)</f>
        <v>B2</v>
      </c>
      <c r="F292" t="str">
        <f>IF(Allocation!BN292="","",Allocation!BN292)</f>
        <v>ALT</v>
      </c>
      <c r="G292">
        <f>IF(Allocation!BO292="","",Allocation!BO292)</f>
        <v>45.69</v>
      </c>
      <c r="H292">
        <f>IF(Allocation!BP292="","",Allocation!BP292)</f>
        <v>2</v>
      </c>
      <c r="I292">
        <f>IF(Allocation!BQ292="","",Allocation!BQ292)</f>
        <v>346399.87725000002</v>
      </c>
      <c r="J292">
        <f>IF(Allocation!CC292="","",Allocation!CC292)</f>
        <v>0</v>
      </c>
      <c r="K292">
        <f t="shared" si="76"/>
        <v>960</v>
      </c>
      <c r="L292">
        <f t="shared" si="77"/>
        <v>254.54116599999998</v>
      </c>
      <c r="M292">
        <f t="shared" si="78"/>
        <v>10</v>
      </c>
      <c r="N292">
        <f t="shared" si="79"/>
        <v>1826823.569628</v>
      </c>
      <c r="O292">
        <f t="shared" si="80"/>
        <v>5680</v>
      </c>
      <c r="P292">
        <f t="shared" si="81"/>
        <v>118.486166</v>
      </c>
      <c r="Q292">
        <f t="shared" si="82"/>
        <v>453.10243600000001</v>
      </c>
      <c r="R292">
        <f t="shared" si="83"/>
        <v>20</v>
      </c>
      <c r="S292">
        <f t="shared" si="84"/>
        <v>3143826.2793970006</v>
      </c>
      <c r="T292">
        <f t="shared" si="85"/>
        <v>3473.6699979999999</v>
      </c>
      <c r="U292">
        <f t="shared" si="86"/>
        <v>135</v>
      </c>
      <c r="V292">
        <f t="shared" si="87"/>
        <v>26814168.474038001</v>
      </c>
      <c r="W292">
        <f>IF($A292="","",Allocation!CD292)</f>
        <v>108753.60637199999</v>
      </c>
      <c r="X292">
        <f>IF($A292="","",Allocation!CE292)</f>
        <v>253518.92022</v>
      </c>
      <c r="Y292">
        <f>IF($A292="","",Allocation!CF292)</f>
        <v>76255.777214000002</v>
      </c>
      <c r="Z292">
        <f>IF($A292="","",Allocation!CG292)</f>
        <v>42103.8</v>
      </c>
      <c r="AA292">
        <f>IF($A292="","",Allocation!CH292)</f>
        <v>543803.99753199995</v>
      </c>
      <c r="AB292">
        <f>IF($A292="","",Allocation!CI292)</f>
        <v>2894009.9927380001</v>
      </c>
      <c r="AC292">
        <f>IF($A292="","",IF(Allocation!$N$4="VOL_EFF",$G292,IF(Allocation!$N$4="VOL_CLASS",$H292,$I292)))</f>
        <v>2</v>
      </c>
      <c r="AD292">
        <f>IF($A292="","",IF(Allocation!$N$4="VOL_EFF",$L292,IF(Allocation!$N$4="VOL_CLASS",$M292,$N292)))</f>
        <v>10</v>
      </c>
      <c r="AE292">
        <f>IF($A292="","",IF(Allocation!$N$3="VOL_EFF",$L292,IF(Allocation!$N$3="VOL_CLASS",$M292,$N292)))</f>
        <v>254.54116599999998</v>
      </c>
      <c r="AF292">
        <f>IF($A292="","",IF(Allocation!$N$3="VOL_EFF",$Q292,IF(Allocation!$N$3="VOL_CLASS",$R292,$S292)))</f>
        <v>453.10243600000001</v>
      </c>
      <c r="AG292">
        <f>IF($A292="","",IF(Allocation!$N$1="VOL_EFF",$Q292,IF(Allocation!$N$1="VOL_CLASS",$R292,$S292)))</f>
        <v>453.10243600000001</v>
      </c>
      <c r="AH292">
        <f>IF($A292="","",IF(Allocation!$N$1="VOL_EFF",$T292,IF(Allocation!$N$1="VOL_CLASS",$U292,$V292)))</f>
        <v>3473.6699979999999</v>
      </c>
      <c r="AI292">
        <f t="shared" si="88"/>
        <v>18380.891217802815</v>
      </c>
      <c r="AJ292">
        <f t="shared" si="89"/>
        <v>42848.268206197179</v>
      </c>
      <c r="AK292">
        <f t="shared" si="90"/>
        <v>13687.870279134575</v>
      </c>
      <c r="AL292">
        <f t="shared" si="91"/>
        <v>108760.7995064</v>
      </c>
      <c r="AM292">
        <f t="shared" si="92"/>
        <v>42413.04893045756</v>
      </c>
      <c r="AN292">
        <f t="shared" si="93"/>
        <v>110063.0707256356</v>
      </c>
      <c r="AO292">
        <f>IF($A292="","",Allocation!CJ292)</f>
        <v>777795.6</v>
      </c>
      <c r="AP292">
        <f>IF($A292="","",IF(Allocation!$N$2="VOL_EFF",$Q292,IF(Allocation!$N$2="VOL_CLASS",$R292,$S292)))</f>
        <v>3143826.2793970006</v>
      </c>
      <c r="AQ292">
        <f>IF($A292="","",IF(Allocation!$N$2="VOL_EFF",$T292,IF(Allocation!$N$2="VOL_CLASS",$U292,$V292)))</f>
        <v>26814168.474038001</v>
      </c>
      <c r="AR292">
        <f t="shared" si="94"/>
        <v>10245.928384372286</v>
      </c>
      <c r="AS292" t="str">
        <f>IF($A292="","",$A292&amp;"|"&amp;Allocation!BG292)</f>
        <v>2027|V02</v>
      </c>
    </row>
    <row r="293" spans="1:45" x14ac:dyDescent="0.45">
      <c r="A293" t="str">
        <f>IF(Allocation!BI293="","",Allocation!BI293)</f>
        <v>2027</v>
      </c>
      <c r="B293" t="str">
        <f>IF(Allocation!BJ293="","",Allocation!BJ293)</f>
        <v>PIGIER_LYO</v>
      </c>
      <c r="C293" t="str">
        <f>IF(Allocation!BK293="","",Allocation!BK293)</f>
        <v>PIGIER</v>
      </c>
      <c r="D293" t="str">
        <f>IF(Allocation!BL293="","",Allocation!BL293)</f>
        <v>BTS_GES</v>
      </c>
      <c r="E293" t="str">
        <f>IF(Allocation!BM293="","",Allocation!BM293)</f>
        <v>BTS1</v>
      </c>
      <c r="F293" t="str">
        <f>IF(Allocation!BN293="","",Allocation!BN293)</f>
        <v>ALT</v>
      </c>
      <c r="G293">
        <f>IF(Allocation!BO293="","",Allocation!BO293)</f>
        <v>59.243082999999999</v>
      </c>
      <c r="H293">
        <f>IF(Allocation!BP293="","",Allocation!BP293)</f>
        <v>2</v>
      </c>
      <c r="I293">
        <f>IF(Allocation!BQ293="","",Allocation!BQ293)</f>
        <v>390320.09019100002</v>
      </c>
      <c r="J293">
        <f>IF(Allocation!CC293="","",Allocation!CC293)</f>
        <v>59.243082999999999</v>
      </c>
      <c r="K293">
        <f t="shared" si="76"/>
        <v>1400</v>
      </c>
      <c r="L293">
        <f t="shared" si="77"/>
        <v>254.54116599999998</v>
      </c>
      <c r="M293">
        <f t="shared" si="78"/>
        <v>10</v>
      </c>
      <c r="N293">
        <f t="shared" si="79"/>
        <v>1826823.569628</v>
      </c>
      <c r="O293">
        <f t="shared" si="80"/>
        <v>5680</v>
      </c>
      <c r="P293">
        <f t="shared" si="81"/>
        <v>118.486166</v>
      </c>
      <c r="Q293">
        <f t="shared" si="82"/>
        <v>453.10243600000001</v>
      </c>
      <c r="R293">
        <f t="shared" si="83"/>
        <v>20</v>
      </c>
      <c r="S293">
        <f t="shared" si="84"/>
        <v>3143826.2793970006</v>
      </c>
      <c r="T293">
        <f t="shared" si="85"/>
        <v>3473.6699979999999</v>
      </c>
      <c r="U293">
        <f t="shared" si="86"/>
        <v>135</v>
      </c>
      <c r="V293">
        <f t="shared" si="87"/>
        <v>26814168.474038001</v>
      </c>
      <c r="W293">
        <f>IF($A293="","",Allocation!CD293)</f>
        <v>108753.60637199999</v>
      </c>
      <c r="X293">
        <f>IF($A293="","",Allocation!CE293)</f>
        <v>253518.92022</v>
      </c>
      <c r="Y293">
        <f>IF($A293="","",Allocation!CF293)</f>
        <v>76255.777214000002</v>
      </c>
      <c r="Z293">
        <f>IF($A293="","",Allocation!CG293)</f>
        <v>42103.8</v>
      </c>
      <c r="AA293">
        <f>IF($A293="","",Allocation!CH293)</f>
        <v>543803.99753199995</v>
      </c>
      <c r="AB293">
        <f>IF($A293="","",Allocation!CI293)</f>
        <v>2894009.9927380001</v>
      </c>
      <c r="AC293">
        <f>IF($A293="","",IF(Allocation!$N$4="VOL_EFF",$G293,IF(Allocation!$N$4="VOL_CLASS",$H293,$I293)))</f>
        <v>2</v>
      </c>
      <c r="AD293">
        <f>IF($A293="","",IF(Allocation!$N$4="VOL_EFF",$L293,IF(Allocation!$N$4="VOL_CLASS",$M293,$N293)))</f>
        <v>10</v>
      </c>
      <c r="AE293">
        <f>IF($A293="","",IF(Allocation!$N$3="VOL_EFF",$L293,IF(Allocation!$N$3="VOL_CLASS",$M293,$N293)))</f>
        <v>254.54116599999998</v>
      </c>
      <c r="AF293">
        <f>IF($A293="","",IF(Allocation!$N$3="VOL_EFF",$Q293,IF(Allocation!$N$3="VOL_CLASS",$R293,$S293)))</f>
        <v>453.10243600000001</v>
      </c>
      <c r="AG293">
        <f>IF($A293="","",IF(Allocation!$N$1="VOL_EFF",$Q293,IF(Allocation!$N$1="VOL_CLASS",$R293,$S293)))</f>
        <v>453.10243600000001</v>
      </c>
      <c r="AH293">
        <f>IF($A293="","",IF(Allocation!$N$1="VOL_EFF",$T293,IF(Allocation!$N$1="VOL_CLASS",$U293,$V293)))</f>
        <v>3473.6699979999999</v>
      </c>
      <c r="AI293">
        <f t="shared" si="88"/>
        <v>26805.466359295773</v>
      </c>
      <c r="AJ293">
        <f t="shared" si="89"/>
        <v>62487.057800704228</v>
      </c>
      <c r="AK293">
        <f t="shared" si="90"/>
        <v>38800.020705624927</v>
      </c>
      <c r="AL293">
        <f t="shared" si="91"/>
        <v>108760.7995064</v>
      </c>
      <c r="AM293">
        <f t="shared" si="92"/>
        <v>42413.04893045756</v>
      </c>
      <c r="AN293">
        <f t="shared" si="93"/>
        <v>100807.76850414526</v>
      </c>
      <c r="AO293">
        <f>IF($A293="","",Allocation!CJ293)</f>
        <v>777795.6</v>
      </c>
      <c r="AP293">
        <f>IF($A293="","",IF(Allocation!$N$2="VOL_EFF",$Q293,IF(Allocation!$N$2="VOL_CLASS",$R293,$S293)))</f>
        <v>3143826.2793970006</v>
      </c>
      <c r="AQ293">
        <f>IF($A293="","",IF(Allocation!$N$2="VOL_EFF",$T293,IF(Allocation!$N$2="VOL_CLASS",$U293,$V293)))</f>
        <v>26814168.474038001</v>
      </c>
      <c r="AR293">
        <f t="shared" si="94"/>
        <v>10245.928384372286</v>
      </c>
      <c r="AS293" t="str">
        <f>IF($A293="","",$A293&amp;"|"&amp;Allocation!BG293)</f>
        <v>2027|V02</v>
      </c>
    </row>
    <row r="294" spans="1:45" x14ac:dyDescent="0.45">
      <c r="A294" t="str">
        <f>IF(Allocation!BI294="","",Allocation!BI294)</f>
        <v>2027</v>
      </c>
      <c r="B294" t="str">
        <f>IF(Allocation!BJ294="","",Allocation!BJ294)</f>
        <v>PIGIER_LYO</v>
      </c>
      <c r="C294" t="str">
        <f>IF(Allocation!BK294="","",Allocation!BK294)</f>
        <v>PIGIER</v>
      </c>
      <c r="D294" t="str">
        <f>IF(Allocation!BL294="","",Allocation!BL294)</f>
        <v>BTS_GES</v>
      </c>
      <c r="E294" t="str">
        <f>IF(Allocation!BM294="","",Allocation!BM294)</f>
        <v>BTS2</v>
      </c>
      <c r="F294" t="str">
        <f>IF(Allocation!BN294="","",Allocation!BN294)</f>
        <v>ALT</v>
      </c>
      <c r="G294">
        <f>IF(Allocation!BO294="","",Allocation!BO294)</f>
        <v>45.69</v>
      </c>
      <c r="H294">
        <f>IF(Allocation!BP294="","",Allocation!BP294)</f>
        <v>2</v>
      </c>
      <c r="I294">
        <f>IF(Allocation!BQ294="","",Allocation!BQ294)</f>
        <v>296914.18050000002</v>
      </c>
      <c r="J294">
        <f>IF(Allocation!CC294="","",Allocation!CC294)</f>
        <v>0</v>
      </c>
      <c r="K294">
        <f t="shared" si="76"/>
        <v>1400</v>
      </c>
      <c r="L294">
        <f t="shared" si="77"/>
        <v>254.54116599999998</v>
      </c>
      <c r="M294">
        <f t="shared" si="78"/>
        <v>10</v>
      </c>
      <c r="N294">
        <f t="shared" si="79"/>
        <v>1826823.569628</v>
      </c>
      <c r="O294">
        <f t="shared" si="80"/>
        <v>5680</v>
      </c>
      <c r="P294">
        <f t="shared" si="81"/>
        <v>118.486166</v>
      </c>
      <c r="Q294">
        <f t="shared" si="82"/>
        <v>453.10243600000001</v>
      </c>
      <c r="R294">
        <f t="shared" si="83"/>
        <v>20</v>
      </c>
      <c r="S294">
        <f t="shared" si="84"/>
        <v>3143826.2793970006</v>
      </c>
      <c r="T294">
        <f t="shared" si="85"/>
        <v>3473.6699979999999</v>
      </c>
      <c r="U294">
        <f t="shared" si="86"/>
        <v>135</v>
      </c>
      <c r="V294">
        <f t="shared" si="87"/>
        <v>26814168.474038001</v>
      </c>
      <c r="W294">
        <f>IF($A294="","",Allocation!CD294)</f>
        <v>108753.60637199999</v>
      </c>
      <c r="X294">
        <f>IF($A294="","",Allocation!CE294)</f>
        <v>253518.92022</v>
      </c>
      <c r="Y294">
        <f>IF($A294="","",Allocation!CF294)</f>
        <v>76255.777214000002</v>
      </c>
      <c r="Z294">
        <f>IF($A294="","",Allocation!CG294)</f>
        <v>42103.8</v>
      </c>
      <c r="AA294">
        <f>IF($A294="","",Allocation!CH294)</f>
        <v>543803.99753199995</v>
      </c>
      <c r="AB294">
        <f>IF($A294="","",Allocation!CI294)</f>
        <v>2894009.9927380001</v>
      </c>
      <c r="AC294">
        <f>IF($A294="","",IF(Allocation!$N$4="VOL_EFF",$G294,IF(Allocation!$N$4="VOL_CLASS",$H294,$I294)))</f>
        <v>2</v>
      </c>
      <c r="AD294">
        <f>IF($A294="","",IF(Allocation!$N$4="VOL_EFF",$L294,IF(Allocation!$N$4="VOL_CLASS",$M294,$N294)))</f>
        <v>10</v>
      </c>
      <c r="AE294">
        <f>IF($A294="","",IF(Allocation!$N$3="VOL_EFF",$L294,IF(Allocation!$N$3="VOL_CLASS",$M294,$N294)))</f>
        <v>254.54116599999998</v>
      </c>
      <c r="AF294">
        <f>IF($A294="","",IF(Allocation!$N$3="VOL_EFF",$Q294,IF(Allocation!$N$3="VOL_CLASS",$R294,$S294)))</f>
        <v>453.10243600000001</v>
      </c>
      <c r="AG294">
        <f>IF($A294="","",IF(Allocation!$N$1="VOL_EFF",$Q294,IF(Allocation!$N$1="VOL_CLASS",$R294,$S294)))</f>
        <v>453.10243600000001</v>
      </c>
      <c r="AH294">
        <f>IF($A294="","",IF(Allocation!$N$1="VOL_EFF",$T294,IF(Allocation!$N$1="VOL_CLASS",$U294,$V294)))</f>
        <v>3473.6699979999999</v>
      </c>
      <c r="AI294">
        <f t="shared" si="88"/>
        <v>26805.466359295773</v>
      </c>
      <c r="AJ294">
        <f t="shared" si="89"/>
        <v>62487.057800704228</v>
      </c>
      <c r="AK294">
        <f t="shared" si="90"/>
        <v>13687.870279134575</v>
      </c>
      <c r="AL294">
        <f t="shared" si="91"/>
        <v>108760.7995064</v>
      </c>
      <c r="AM294">
        <f t="shared" si="92"/>
        <v>42413.04893045756</v>
      </c>
      <c r="AN294">
        <f t="shared" si="93"/>
        <v>32514.009239635605</v>
      </c>
      <c r="AO294">
        <f>IF($A294="","",Allocation!CJ294)</f>
        <v>777795.6</v>
      </c>
      <c r="AP294">
        <f>IF($A294="","",IF(Allocation!$N$2="VOL_EFF",$Q294,IF(Allocation!$N$2="VOL_CLASS",$R294,$S294)))</f>
        <v>3143826.2793970006</v>
      </c>
      <c r="AQ294">
        <f>IF($A294="","",IF(Allocation!$N$2="VOL_EFF",$T294,IF(Allocation!$N$2="VOL_CLASS",$U294,$V294)))</f>
        <v>26814168.474038001</v>
      </c>
      <c r="AR294">
        <f t="shared" si="94"/>
        <v>10245.928384372286</v>
      </c>
      <c r="AS294" t="str">
        <f>IF($A294="","",$A294&amp;"|"&amp;Allocation!BG294)</f>
        <v>2027|V02</v>
      </c>
    </row>
    <row r="295" spans="1:45" x14ac:dyDescent="0.45">
      <c r="A295" t="str">
        <f>IF(Allocation!BI295="","",Allocation!BI295)</f>
        <v>2027</v>
      </c>
      <c r="B295" t="str">
        <f>IF(Allocation!BJ295="","",Allocation!BJ295)</f>
        <v>PIGIER_LYO</v>
      </c>
      <c r="C295" t="str">
        <f>IF(Allocation!BK295="","",Allocation!BK295)</f>
        <v>PIGIER</v>
      </c>
      <c r="D295" t="str">
        <f>IF(Allocation!BL295="","",Allocation!BL295)</f>
        <v>BAC_RH</v>
      </c>
      <c r="E295" t="str">
        <f>IF(Allocation!BM295="","",Allocation!BM295)</f>
        <v>B1</v>
      </c>
      <c r="F295" t="str">
        <f>IF(Allocation!BN295="","",Allocation!BN295)</f>
        <v>ALT</v>
      </c>
      <c r="G295">
        <f>IF(Allocation!BO295="","",Allocation!BO295)</f>
        <v>59.243082999999999</v>
      </c>
      <c r="H295">
        <f>IF(Allocation!BP295="","",Allocation!BP295)</f>
        <v>2</v>
      </c>
      <c r="I295">
        <f>IF(Allocation!BQ295="","",Allocation!BQ295)</f>
        <v>454484.79231200001</v>
      </c>
      <c r="J295">
        <f>IF(Allocation!CC295="","",Allocation!CC295)</f>
        <v>59.243082999999999</v>
      </c>
      <c r="K295">
        <f t="shared" si="76"/>
        <v>960</v>
      </c>
      <c r="L295">
        <f t="shared" si="77"/>
        <v>254.54116599999998</v>
      </c>
      <c r="M295">
        <f t="shared" si="78"/>
        <v>10</v>
      </c>
      <c r="N295">
        <f t="shared" si="79"/>
        <v>1826823.569628</v>
      </c>
      <c r="O295">
        <f t="shared" si="80"/>
        <v>5680</v>
      </c>
      <c r="P295">
        <f t="shared" si="81"/>
        <v>118.486166</v>
      </c>
      <c r="Q295">
        <f t="shared" si="82"/>
        <v>453.10243600000001</v>
      </c>
      <c r="R295">
        <f t="shared" si="83"/>
        <v>20</v>
      </c>
      <c r="S295">
        <f t="shared" si="84"/>
        <v>3143826.2793970006</v>
      </c>
      <c r="T295">
        <f t="shared" si="85"/>
        <v>3473.6699979999999</v>
      </c>
      <c r="U295">
        <f t="shared" si="86"/>
        <v>135</v>
      </c>
      <c r="V295">
        <f t="shared" si="87"/>
        <v>26814168.474038001</v>
      </c>
      <c r="W295">
        <f>IF($A295="","",Allocation!CD295)</f>
        <v>108753.60637199999</v>
      </c>
      <c r="X295">
        <f>IF($A295="","",Allocation!CE295)</f>
        <v>253518.92022</v>
      </c>
      <c r="Y295">
        <f>IF($A295="","",Allocation!CF295)</f>
        <v>76255.777214000002</v>
      </c>
      <c r="Z295">
        <f>IF($A295="","",Allocation!CG295)</f>
        <v>42103.8</v>
      </c>
      <c r="AA295">
        <f>IF($A295="","",Allocation!CH295)</f>
        <v>543803.99753199995</v>
      </c>
      <c r="AB295">
        <f>IF($A295="","",Allocation!CI295)</f>
        <v>2894009.9927380001</v>
      </c>
      <c r="AC295">
        <f>IF($A295="","",IF(Allocation!$N$4="VOL_EFF",$G295,IF(Allocation!$N$4="VOL_CLASS",$H295,$I295)))</f>
        <v>2</v>
      </c>
      <c r="AD295">
        <f>IF($A295="","",IF(Allocation!$N$4="VOL_EFF",$L295,IF(Allocation!$N$4="VOL_CLASS",$M295,$N295)))</f>
        <v>10</v>
      </c>
      <c r="AE295">
        <f>IF($A295="","",IF(Allocation!$N$3="VOL_EFF",$L295,IF(Allocation!$N$3="VOL_CLASS",$M295,$N295)))</f>
        <v>254.54116599999998</v>
      </c>
      <c r="AF295">
        <f>IF($A295="","",IF(Allocation!$N$3="VOL_EFF",$Q295,IF(Allocation!$N$3="VOL_CLASS",$R295,$S295)))</f>
        <v>453.10243600000001</v>
      </c>
      <c r="AG295">
        <f>IF($A295="","",IF(Allocation!$N$1="VOL_EFF",$Q295,IF(Allocation!$N$1="VOL_CLASS",$R295,$S295)))</f>
        <v>453.10243600000001</v>
      </c>
      <c r="AH295">
        <f>IF($A295="","",IF(Allocation!$N$1="VOL_EFF",$T295,IF(Allocation!$N$1="VOL_CLASS",$U295,$V295)))</f>
        <v>3473.6699979999999</v>
      </c>
      <c r="AI295">
        <f t="shared" si="88"/>
        <v>18380.891217802815</v>
      </c>
      <c r="AJ295">
        <f t="shared" si="89"/>
        <v>42848.268206197179</v>
      </c>
      <c r="AK295">
        <f t="shared" si="90"/>
        <v>38800.020705624927</v>
      </c>
      <c r="AL295">
        <f t="shared" si="91"/>
        <v>108760.7995064</v>
      </c>
      <c r="AM295">
        <f t="shared" si="92"/>
        <v>42413.04893045756</v>
      </c>
      <c r="AN295">
        <f t="shared" si="93"/>
        <v>193035.83536114523</v>
      </c>
      <c r="AO295">
        <f>IF($A295="","",Allocation!CJ295)</f>
        <v>777795.6</v>
      </c>
      <c r="AP295">
        <f>IF($A295="","",IF(Allocation!$N$2="VOL_EFF",$Q295,IF(Allocation!$N$2="VOL_CLASS",$R295,$S295)))</f>
        <v>3143826.2793970006</v>
      </c>
      <c r="AQ295">
        <f>IF($A295="","",IF(Allocation!$N$2="VOL_EFF",$T295,IF(Allocation!$N$2="VOL_CLASS",$U295,$V295)))</f>
        <v>26814168.474038001</v>
      </c>
      <c r="AR295">
        <f t="shared" si="94"/>
        <v>10245.928384372286</v>
      </c>
      <c r="AS295" t="str">
        <f>IF($A295="","",$A295&amp;"|"&amp;Allocation!BG295)</f>
        <v>2027|V02</v>
      </c>
    </row>
    <row r="296" spans="1:45" x14ac:dyDescent="0.45">
      <c r="A296" t="str">
        <f>IF(Allocation!BI296="","",Allocation!BI296)</f>
        <v>2027</v>
      </c>
      <c r="B296" t="str">
        <f>IF(Allocation!BJ296="","",Allocation!BJ296)</f>
        <v>TUNON_LYO</v>
      </c>
      <c r="C296" t="str">
        <f>IF(Allocation!BK296="","",Allocation!BK296)</f>
        <v>TUNON</v>
      </c>
      <c r="D296" t="str">
        <f>IF(Allocation!BL296="","",Allocation!BL296)</f>
        <v>BAC_TOU</v>
      </c>
      <c r="E296" t="str">
        <f>IF(Allocation!BM296="","",Allocation!BM296)</f>
        <v>B1</v>
      </c>
      <c r="F296" t="str">
        <f>IF(Allocation!BN296="","",Allocation!BN296)</f>
        <v>ALT</v>
      </c>
      <c r="G296">
        <f>IF(Allocation!BO296="","",Allocation!BO296)</f>
        <v>51.592495</v>
      </c>
      <c r="H296">
        <f>IF(Allocation!BP296="","",Allocation!BP296)</f>
        <v>2</v>
      </c>
      <c r="I296">
        <f>IF(Allocation!BQ296="","",Allocation!BQ296)</f>
        <v>397783.94060600002</v>
      </c>
      <c r="J296">
        <f>IF(Allocation!CC296="","",Allocation!CC296)</f>
        <v>51.592495</v>
      </c>
      <c r="K296">
        <f t="shared" si="76"/>
        <v>960</v>
      </c>
      <c r="L296">
        <f t="shared" si="77"/>
        <v>129.77749500000002</v>
      </c>
      <c r="M296">
        <f t="shared" si="78"/>
        <v>6</v>
      </c>
      <c r="N296">
        <f t="shared" si="79"/>
        <v>993562.43641899992</v>
      </c>
      <c r="O296">
        <f t="shared" si="80"/>
        <v>2880</v>
      </c>
      <c r="P296">
        <f t="shared" si="81"/>
        <v>51.592495</v>
      </c>
      <c r="Q296">
        <f t="shared" si="82"/>
        <v>282.54650500000002</v>
      </c>
      <c r="R296">
        <f t="shared" si="83"/>
        <v>12</v>
      </c>
      <c r="S296">
        <f t="shared" si="84"/>
        <v>2240720.94288</v>
      </c>
      <c r="T296">
        <f t="shared" si="85"/>
        <v>3473.6699979999999</v>
      </c>
      <c r="U296">
        <f t="shared" si="86"/>
        <v>135</v>
      </c>
      <c r="V296">
        <f t="shared" si="87"/>
        <v>26814168.474038001</v>
      </c>
      <c r="W296">
        <f>IF($A296="","",Allocation!CD296)</f>
        <v>81566.049287999995</v>
      </c>
      <c r="X296">
        <f>IF($A296="","",Allocation!CE296)</f>
        <v>195356.67463200001</v>
      </c>
      <c r="Y296">
        <f>IF($A296="","",Allocation!CF296)</f>
        <v>49020.927630999999</v>
      </c>
      <c r="Z296">
        <f>IF($A296="","",Allocation!CG296)</f>
        <v>21677.5</v>
      </c>
      <c r="AA296">
        <f>IF($A296="","",Allocation!CH296)</f>
        <v>378627.06832899997</v>
      </c>
      <c r="AB296">
        <f>IF($A296="","",Allocation!CI296)</f>
        <v>2894009.9927380001</v>
      </c>
      <c r="AC296">
        <f>IF($A296="","",IF(Allocation!$N$4="VOL_EFF",$G296,IF(Allocation!$N$4="VOL_CLASS",$H296,$I296)))</f>
        <v>2</v>
      </c>
      <c r="AD296">
        <f>IF($A296="","",IF(Allocation!$N$4="VOL_EFF",$L296,IF(Allocation!$N$4="VOL_CLASS",$M296,$N296)))</f>
        <v>6</v>
      </c>
      <c r="AE296">
        <f>IF($A296="","",IF(Allocation!$N$3="VOL_EFF",$L296,IF(Allocation!$N$3="VOL_CLASS",$M296,$N296)))</f>
        <v>129.77749500000002</v>
      </c>
      <c r="AF296">
        <f>IF($A296="","",IF(Allocation!$N$3="VOL_EFF",$Q296,IF(Allocation!$N$3="VOL_CLASS",$R296,$S296)))</f>
        <v>282.54650500000002</v>
      </c>
      <c r="AG296">
        <f>IF($A296="","",IF(Allocation!$N$1="VOL_EFF",$Q296,IF(Allocation!$N$1="VOL_CLASS",$R296,$S296)))</f>
        <v>282.54650500000002</v>
      </c>
      <c r="AH296">
        <f>IF($A296="","",IF(Allocation!$N$1="VOL_EFF",$T296,IF(Allocation!$N$1="VOL_CLASS",$U296,$V296)))</f>
        <v>3473.6699979999999</v>
      </c>
      <c r="AI296">
        <f t="shared" si="88"/>
        <v>27188.683095999997</v>
      </c>
      <c r="AJ296">
        <f t="shared" si="89"/>
        <v>65118.891543999998</v>
      </c>
      <c r="AK296">
        <f t="shared" si="90"/>
        <v>41165.562731506172</v>
      </c>
      <c r="AL296">
        <f t="shared" si="91"/>
        <v>126209.02277633332</v>
      </c>
      <c r="AM296">
        <f t="shared" si="92"/>
        <v>36040.399882424863</v>
      </c>
      <c r="AN296">
        <f t="shared" si="93"/>
        <v>92110.142551042489</v>
      </c>
      <c r="AO296">
        <f>IF($A296="","",Allocation!CJ296)</f>
        <v>777795.6</v>
      </c>
      <c r="AP296">
        <f>IF($A296="","",IF(Allocation!$N$2="VOL_EFF",$Q296,IF(Allocation!$N$2="VOL_CLASS",$R296,$S296)))</f>
        <v>2240720.94288</v>
      </c>
      <c r="AQ296">
        <f>IF($A296="","",IF(Allocation!$N$2="VOL_EFF",$T296,IF(Allocation!$N$2="VOL_CLASS",$U296,$V296)))</f>
        <v>26814168.474038001</v>
      </c>
      <c r="AR296">
        <f t="shared" si="94"/>
        <v>9951.2380246931352</v>
      </c>
      <c r="AS296" t="str">
        <f>IF($A296="","",$A296&amp;"|"&amp;Allocation!BG296)</f>
        <v>2027|V02</v>
      </c>
    </row>
    <row r="297" spans="1:45" x14ac:dyDescent="0.45">
      <c r="A297" t="str">
        <f>IF(Allocation!BI297="","",Allocation!BI297)</f>
        <v>2027</v>
      </c>
      <c r="B297" t="str">
        <f>IF(Allocation!BJ297="","",Allocation!BJ297)</f>
        <v>TUNON_LYO</v>
      </c>
      <c r="C297" t="str">
        <f>IF(Allocation!BK297="","",Allocation!BK297)</f>
        <v>TUNON</v>
      </c>
      <c r="D297" t="str">
        <f>IF(Allocation!BL297="","",Allocation!BL297)</f>
        <v>BAC_TOU</v>
      </c>
      <c r="E297" t="str">
        <f>IF(Allocation!BM297="","",Allocation!BM297)</f>
        <v>B2</v>
      </c>
      <c r="F297" t="str">
        <f>IF(Allocation!BN297="","",Allocation!BN297)</f>
        <v>ALT</v>
      </c>
      <c r="G297">
        <f>IF(Allocation!BO297="","",Allocation!BO297)</f>
        <v>39.6</v>
      </c>
      <c r="H297">
        <f>IF(Allocation!BP297="","",Allocation!BP297)</f>
        <v>2</v>
      </c>
      <c r="I297">
        <f>IF(Allocation!BQ297="","",Allocation!BQ297)</f>
        <v>301756.45500000002</v>
      </c>
      <c r="J297">
        <f>IF(Allocation!CC297="","",Allocation!CC297)</f>
        <v>0</v>
      </c>
      <c r="K297">
        <f t="shared" si="76"/>
        <v>960</v>
      </c>
      <c r="L297">
        <f t="shared" si="77"/>
        <v>129.77749500000002</v>
      </c>
      <c r="M297">
        <f t="shared" si="78"/>
        <v>6</v>
      </c>
      <c r="N297">
        <f t="shared" si="79"/>
        <v>993562.43641899992</v>
      </c>
      <c r="O297">
        <f t="shared" si="80"/>
        <v>2880</v>
      </c>
      <c r="P297">
        <f t="shared" si="81"/>
        <v>51.592495</v>
      </c>
      <c r="Q297">
        <f t="shared" si="82"/>
        <v>282.54650500000002</v>
      </c>
      <c r="R297">
        <f t="shared" si="83"/>
        <v>12</v>
      </c>
      <c r="S297">
        <f t="shared" si="84"/>
        <v>2240720.94288</v>
      </c>
      <c r="T297">
        <f t="shared" si="85"/>
        <v>3473.6699979999999</v>
      </c>
      <c r="U297">
        <f t="shared" si="86"/>
        <v>135</v>
      </c>
      <c r="V297">
        <f t="shared" si="87"/>
        <v>26814168.474038001</v>
      </c>
      <c r="W297">
        <f>IF($A297="","",Allocation!CD297)</f>
        <v>81566.049287999995</v>
      </c>
      <c r="X297">
        <f>IF($A297="","",Allocation!CE297)</f>
        <v>195356.67463200001</v>
      </c>
      <c r="Y297">
        <f>IF($A297="","",Allocation!CF297)</f>
        <v>49020.927630999999</v>
      </c>
      <c r="Z297">
        <f>IF($A297="","",Allocation!CG297)</f>
        <v>21677.5</v>
      </c>
      <c r="AA297">
        <f>IF($A297="","",Allocation!CH297)</f>
        <v>378627.06832899997</v>
      </c>
      <c r="AB297">
        <f>IF($A297="","",Allocation!CI297)</f>
        <v>2894009.9927380001</v>
      </c>
      <c r="AC297">
        <f>IF($A297="","",IF(Allocation!$N$4="VOL_EFF",$G297,IF(Allocation!$N$4="VOL_CLASS",$H297,$I297)))</f>
        <v>2</v>
      </c>
      <c r="AD297">
        <f>IF($A297="","",IF(Allocation!$N$4="VOL_EFF",$L297,IF(Allocation!$N$4="VOL_CLASS",$M297,$N297)))</f>
        <v>6</v>
      </c>
      <c r="AE297">
        <f>IF($A297="","",IF(Allocation!$N$3="VOL_EFF",$L297,IF(Allocation!$N$3="VOL_CLASS",$M297,$N297)))</f>
        <v>129.77749500000002</v>
      </c>
      <c r="AF297">
        <f>IF($A297="","",IF(Allocation!$N$3="VOL_EFF",$Q297,IF(Allocation!$N$3="VOL_CLASS",$R297,$S297)))</f>
        <v>282.54650500000002</v>
      </c>
      <c r="AG297">
        <f>IF($A297="","",IF(Allocation!$N$1="VOL_EFF",$Q297,IF(Allocation!$N$1="VOL_CLASS",$R297,$S297)))</f>
        <v>282.54650500000002</v>
      </c>
      <c r="AH297">
        <f>IF($A297="","",IF(Allocation!$N$1="VOL_EFF",$T297,IF(Allocation!$N$1="VOL_CLASS",$U297,$V297)))</f>
        <v>3473.6699979999999</v>
      </c>
      <c r="AI297">
        <f t="shared" si="88"/>
        <v>27188.683095999997</v>
      </c>
      <c r="AJ297">
        <f t="shared" si="89"/>
        <v>65118.891543999998</v>
      </c>
      <c r="AK297">
        <f t="shared" si="90"/>
        <v>14958.130715865644</v>
      </c>
      <c r="AL297">
        <f t="shared" si="91"/>
        <v>126209.02277633332</v>
      </c>
      <c r="AM297">
        <f t="shared" si="92"/>
        <v>36040.399882424863</v>
      </c>
      <c r="AN297">
        <f t="shared" si="93"/>
        <v>22290.088960683031</v>
      </c>
      <c r="AO297">
        <f>IF($A297="","",Allocation!CJ297)</f>
        <v>777795.6</v>
      </c>
      <c r="AP297">
        <f>IF($A297="","",IF(Allocation!$N$2="VOL_EFF",$Q297,IF(Allocation!$N$2="VOL_CLASS",$R297,$S297)))</f>
        <v>2240720.94288</v>
      </c>
      <c r="AQ297">
        <f>IF($A297="","",IF(Allocation!$N$2="VOL_EFF",$T297,IF(Allocation!$N$2="VOL_CLASS",$U297,$V297)))</f>
        <v>26814168.474038001</v>
      </c>
      <c r="AR297">
        <f t="shared" si="94"/>
        <v>9951.2380246931352</v>
      </c>
      <c r="AS297" t="str">
        <f>IF($A297="","",$A297&amp;"|"&amp;Allocation!BG297)</f>
        <v>2027|V02</v>
      </c>
    </row>
    <row r="298" spans="1:45" x14ac:dyDescent="0.45">
      <c r="A298" t="str">
        <f>IF(Allocation!BI298="","",Allocation!BI298)</f>
        <v>2027</v>
      </c>
      <c r="B298" t="str">
        <f>IF(Allocation!BJ298="","",Allocation!BJ298)</f>
        <v>TUNON_LYO</v>
      </c>
      <c r="C298" t="str">
        <f>IF(Allocation!BK298="","",Allocation!BK298)</f>
        <v>TUNON</v>
      </c>
      <c r="D298" t="str">
        <f>IF(Allocation!BL298="","",Allocation!BL298)</f>
        <v>BAC_TOU</v>
      </c>
      <c r="E298" t="str">
        <f>IF(Allocation!BM298="","",Allocation!BM298)</f>
        <v>B3</v>
      </c>
      <c r="F298" t="str">
        <f>IF(Allocation!BN298="","",Allocation!BN298)</f>
        <v>ALT</v>
      </c>
      <c r="G298">
        <f>IF(Allocation!BO298="","",Allocation!BO298)</f>
        <v>38.585000000000001</v>
      </c>
      <c r="H298">
        <f>IF(Allocation!BP298="","",Allocation!BP298)</f>
        <v>2</v>
      </c>
      <c r="I298">
        <f>IF(Allocation!BQ298="","",Allocation!BQ298)</f>
        <v>294022.040813</v>
      </c>
      <c r="J298">
        <f>IF(Allocation!CC298="","",Allocation!CC298)</f>
        <v>0</v>
      </c>
      <c r="K298">
        <f t="shared" si="76"/>
        <v>960</v>
      </c>
      <c r="L298">
        <f t="shared" si="77"/>
        <v>129.77749500000002</v>
      </c>
      <c r="M298">
        <f t="shared" si="78"/>
        <v>6</v>
      </c>
      <c r="N298">
        <f t="shared" si="79"/>
        <v>993562.43641899992</v>
      </c>
      <c r="O298">
        <f t="shared" si="80"/>
        <v>2880</v>
      </c>
      <c r="P298">
        <f t="shared" si="81"/>
        <v>51.592495</v>
      </c>
      <c r="Q298">
        <f t="shared" si="82"/>
        <v>282.54650500000002</v>
      </c>
      <c r="R298">
        <f t="shared" si="83"/>
        <v>12</v>
      </c>
      <c r="S298">
        <f t="shared" si="84"/>
        <v>2240720.94288</v>
      </c>
      <c r="T298">
        <f t="shared" si="85"/>
        <v>3473.6699979999999</v>
      </c>
      <c r="U298">
        <f t="shared" si="86"/>
        <v>135</v>
      </c>
      <c r="V298">
        <f t="shared" si="87"/>
        <v>26814168.474038001</v>
      </c>
      <c r="W298">
        <f>IF($A298="","",Allocation!CD298)</f>
        <v>81566.049287999995</v>
      </c>
      <c r="X298">
        <f>IF($A298="","",Allocation!CE298)</f>
        <v>195356.67463200001</v>
      </c>
      <c r="Y298">
        <f>IF($A298="","",Allocation!CF298)</f>
        <v>49020.927630999999</v>
      </c>
      <c r="Z298">
        <f>IF($A298="","",Allocation!CG298)</f>
        <v>21677.5</v>
      </c>
      <c r="AA298">
        <f>IF($A298="","",Allocation!CH298)</f>
        <v>378627.06832899997</v>
      </c>
      <c r="AB298">
        <f>IF($A298="","",Allocation!CI298)</f>
        <v>2894009.9927380001</v>
      </c>
      <c r="AC298">
        <f>IF($A298="","",IF(Allocation!$N$4="VOL_EFF",$G298,IF(Allocation!$N$4="VOL_CLASS",$H298,$I298)))</f>
        <v>2</v>
      </c>
      <c r="AD298">
        <f>IF($A298="","",IF(Allocation!$N$4="VOL_EFF",$L298,IF(Allocation!$N$4="VOL_CLASS",$M298,$N298)))</f>
        <v>6</v>
      </c>
      <c r="AE298">
        <f>IF($A298="","",IF(Allocation!$N$3="VOL_EFF",$L298,IF(Allocation!$N$3="VOL_CLASS",$M298,$N298)))</f>
        <v>129.77749500000002</v>
      </c>
      <c r="AF298">
        <f>IF($A298="","",IF(Allocation!$N$3="VOL_EFF",$Q298,IF(Allocation!$N$3="VOL_CLASS",$R298,$S298)))</f>
        <v>282.54650500000002</v>
      </c>
      <c r="AG298">
        <f>IF($A298="","",IF(Allocation!$N$1="VOL_EFF",$Q298,IF(Allocation!$N$1="VOL_CLASS",$R298,$S298)))</f>
        <v>282.54650500000002</v>
      </c>
      <c r="AH298">
        <f>IF($A298="","",IF(Allocation!$N$1="VOL_EFF",$T298,IF(Allocation!$N$1="VOL_CLASS",$U298,$V298)))</f>
        <v>3473.6699979999999</v>
      </c>
      <c r="AI298">
        <f t="shared" si="88"/>
        <v>27188.683095999997</v>
      </c>
      <c r="AJ298">
        <f t="shared" si="89"/>
        <v>65118.891543999998</v>
      </c>
      <c r="AK298">
        <f t="shared" si="90"/>
        <v>14574.734183628176</v>
      </c>
      <c r="AL298">
        <f t="shared" si="91"/>
        <v>126209.02277633332</v>
      </c>
      <c r="AM298">
        <f t="shared" si="92"/>
        <v>36040.399882424863</v>
      </c>
      <c r="AN298">
        <f t="shared" si="93"/>
        <v>14939.071305920486</v>
      </c>
      <c r="AO298">
        <f>IF($A298="","",Allocation!CJ298)</f>
        <v>777795.6</v>
      </c>
      <c r="AP298">
        <f>IF($A298="","",IF(Allocation!$N$2="VOL_EFF",$Q298,IF(Allocation!$N$2="VOL_CLASS",$R298,$S298)))</f>
        <v>2240720.94288</v>
      </c>
      <c r="AQ298">
        <f>IF($A298="","",IF(Allocation!$N$2="VOL_EFF",$T298,IF(Allocation!$N$2="VOL_CLASS",$U298,$V298)))</f>
        <v>26814168.474038001</v>
      </c>
      <c r="AR298">
        <f t="shared" si="94"/>
        <v>9951.2380246931352</v>
      </c>
      <c r="AS298" t="str">
        <f>IF($A298="","",$A298&amp;"|"&amp;Allocation!BG298)</f>
        <v>2027|V02</v>
      </c>
    </row>
    <row r="299" spans="1:45" x14ac:dyDescent="0.45">
      <c r="A299" t="str">
        <f>IF(Allocation!BI299="","",Allocation!BI299)</f>
        <v>2027</v>
      </c>
      <c r="B299" t="str">
        <f>IF(Allocation!BJ299="","",Allocation!BJ299)</f>
        <v>TUNON_PAR</v>
      </c>
      <c r="C299" t="str">
        <f>IF(Allocation!BK299="","",Allocation!BK299)</f>
        <v>TUNON</v>
      </c>
      <c r="D299" t="str">
        <f>IF(Allocation!BL299="","",Allocation!BL299)</f>
        <v>BAC_TOU</v>
      </c>
      <c r="E299" t="str">
        <f>IF(Allocation!BM299="","",Allocation!BM299)</f>
        <v>B1</v>
      </c>
      <c r="F299" t="str">
        <f>IF(Allocation!BN299="","",Allocation!BN299)</f>
        <v>ALT</v>
      </c>
      <c r="G299">
        <f>IF(Allocation!BO299="","",Allocation!BO299)</f>
        <v>60.374009999999998</v>
      </c>
      <c r="H299">
        <f>IF(Allocation!BP299="","",Allocation!BP299)</f>
        <v>2</v>
      </c>
      <c r="I299">
        <f>IF(Allocation!BQ299="","",Allocation!BQ299)</f>
        <v>496160.859061</v>
      </c>
      <c r="J299">
        <f>IF(Allocation!CC299="","",Allocation!CC299)</f>
        <v>60.374009999999998</v>
      </c>
      <c r="K299">
        <f t="shared" si="76"/>
        <v>960</v>
      </c>
      <c r="L299">
        <f t="shared" si="77"/>
        <v>152.76900999999998</v>
      </c>
      <c r="M299">
        <f t="shared" si="78"/>
        <v>6</v>
      </c>
      <c r="N299">
        <f t="shared" si="79"/>
        <v>1247158.5064610001</v>
      </c>
      <c r="O299">
        <f t="shared" si="80"/>
        <v>2880</v>
      </c>
      <c r="P299">
        <f t="shared" si="81"/>
        <v>60.374009999999998</v>
      </c>
      <c r="Q299">
        <f t="shared" si="82"/>
        <v>282.54650500000002</v>
      </c>
      <c r="R299">
        <f t="shared" si="83"/>
        <v>12</v>
      </c>
      <c r="S299">
        <f t="shared" si="84"/>
        <v>2240720.94288</v>
      </c>
      <c r="T299">
        <f t="shared" si="85"/>
        <v>3473.6699979999999</v>
      </c>
      <c r="U299">
        <f t="shared" si="86"/>
        <v>135</v>
      </c>
      <c r="V299">
        <f t="shared" si="87"/>
        <v>26814168.474038001</v>
      </c>
      <c r="W299">
        <f>IF($A299="","",Allocation!CD299)</f>
        <v>81566.049287999995</v>
      </c>
      <c r="X299">
        <f>IF($A299="","",Allocation!CE299)</f>
        <v>234672.00720600001</v>
      </c>
      <c r="Y299">
        <f>IF($A299="","",Allocation!CF299)</f>
        <v>57819.584540000003</v>
      </c>
      <c r="Z299">
        <f>IF($A299="","",Allocation!CG299)</f>
        <v>34776</v>
      </c>
      <c r="AA299">
        <f>IF($A299="","",Allocation!CH299)</f>
        <v>507111.21333100001</v>
      </c>
      <c r="AB299">
        <f>IF($A299="","",Allocation!CI299)</f>
        <v>2894009.9927380001</v>
      </c>
      <c r="AC299">
        <f>IF($A299="","",IF(Allocation!$N$4="VOL_EFF",$G299,IF(Allocation!$N$4="VOL_CLASS",$H299,$I299)))</f>
        <v>2</v>
      </c>
      <c r="AD299">
        <f>IF($A299="","",IF(Allocation!$N$4="VOL_EFF",$L299,IF(Allocation!$N$4="VOL_CLASS",$M299,$N299)))</f>
        <v>6</v>
      </c>
      <c r="AE299">
        <f>IF($A299="","",IF(Allocation!$N$3="VOL_EFF",$L299,IF(Allocation!$N$3="VOL_CLASS",$M299,$N299)))</f>
        <v>152.76900999999998</v>
      </c>
      <c r="AF299">
        <f>IF($A299="","",IF(Allocation!$N$3="VOL_EFF",$Q299,IF(Allocation!$N$3="VOL_CLASS",$R299,$S299)))</f>
        <v>282.54650500000002</v>
      </c>
      <c r="AG299">
        <f>IF($A299="","",IF(Allocation!$N$1="VOL_EFF",$Q299,IF(Allocation!$N$1="VOL_CLASS",$R299,$S299)))</f>
        <v>282.54650500000002</v>
      </c>
      <c r="AH299">
        <f>IF($A299="","",IF(Allocation!$N$1="VOL_EFF",$T299,IF(Allocation!$N$1="VOL_CLASS",$U299,$V299)))</f>
        <v>3473.6699979999999</v>
      </c>
      <c r="AI299">
        <f t="shared" si="88"/>
        <v>27188.683095999997</v>
      </c>
      <c r="AJ299">
        <f t="shared" si="89"/>
        <v>78224.002401999998</v>
      </c>
      <c r="AK299">
        <f t="shared" si="90"/>
        <v>57626.185225483925</v>
      </c>
      <c r="AL299">
        <f t="shared" si="91"/>
        <v>169037.07111033332</v>
      </c>
      <c r="AM299">
        <f t="shared" si="92"/>
        <v>42425.35433468</v>
      </c>
      <c r="AN299">
        <f t="shared" si="93"/>
        <v>109945.3532654274</v>
      </c>
      <c r="AO299">
        <f>IF($A299="","",Allocation!CJ299)</f>
        <v>777795.6</v>
      </c>
      <c r="AP299">
        <f>IF($A299="","",IF(Allocation!$N$2="VOL_EFF",$Q299,IF(Allocation!$N$2="VOL_CLASS",$R299,$S299)))</f>
        <v>2240720.94288</v>
      </c>
      <c r="AQ299">
        <f>IF($A299="","",IF(Allocation!$N$2="VOL_EFF",$T299,IF(Allocation!$N$2="VOL_CLASS",$U299,$V299)))</f>
        <v>26814168.474038001</v>
      </c>
      <c r="AR299">
        <f t="shared" si="94"/>
        <v>11714.209627075368</v>
      </c>
      <c r="AS299" t="str">
        <f>IF($A299="","",$A299&amp;"|"&amp;Allocation!BG299)</f>
        <v>2027|V02</v>
      </c>
    </row>
    <row r="300" spans="1:45" x14ac:dyDescent="0.45">
      <c r="A300" t="str">
        <f>IF(Allocation!BI300="","",Allocation!BI300)</f>
        <v>2027</v>
      </c>
      <c r="B300" t="str">
        <f>IF(Allocation!BJ300="","",Allocation!BJ300)</f>
        <v>TUNON_PAR</v>
      </c>
      <c r="C300" t="str">
        <f>IF(Allocation!BK300="","",Allocation!BK300)</f>
        <v>TUNON</v>
      </c>
      <c r="D300" t="str">
        <f>IF(Allocation!BL300="","",Allocation!BL300)</f>
        <v>BAC_TOU</v>
      </c>
      <c r="E300" t="str">
        <f>IF(Allocation!BM300="","",Allocation!BM300)</f>
        <v>B2</v>
      </c>
      <c r="F300" t="str">
        <f>IF(Allocation!BN300="","",Allocation!BN300)</f>
        <v>ALT</v>
      </c>
      <c r="G300">
        <f>IF(Allocation!BO300="","",Allocation!BO300)</f>
        <v>46.704999999999998</v>
      </c>
      <c r="H300">
        <f>IF(Allocation!BP300="","",Allocation!BP300)</f>
        <v>2</v>
      </c>
      <c r="I300">
        <f>IF(Allocation!BQ300="","",Allocation!BQ300)</f>
        <v>379623.84460000001</v>
      </c>
      <c r="J300">
        <f>IF(Allocation!CC300="","",Allocation!CC300)</f>
        <v>0</v>
      </c>
      <c r="K300">
        <f t="shared" si="76"/>
        <v>960</v>
      </c>
      <c r="L300">
        <f t="shared" si="77"/>
        <v>152.76900999999998</v>
      </c>
      <c r="M300">
        <f t="shared" si="78"/>
        <v>6</v>
      </c>
      <c r="N300">
        <f t="shared" si="79"/>
        <v>1247158.5064610001</v>
      </c>
      <c r="O300">
        <f t="shared" si="80"/>
        <v>2880</v>
      </c>
      <c r="P300">
        <f t="shared" si="81"/>
        <v>60.374009999999998</v>
      </c>
      <c r="Q300">
        <f t="shared" si="82"/>
        <v>282.54650500000002</v>
      </c>
      <c r="R300">
        <f t="shared" si="83"/>
        <v>12</v>
      </c>
      <c r="S300">
        <f t="shared" si="84"/>
        <v>2240720.94288</v>
      </c>
      <c r="T300">
        <f t="shared" si="85"/>
        <v>3473.6699979999999</v>
      </c>
      <c r="U300">
        <f t="shared" si="86"/>
        <v>135</v>
      </c>
      <c r="V300">
        <f t="shared" si="87"/>
        <v>26814168.474038001</v>
      </c>
      <c r="W300">
        <f>IF($A300="","",Allocation!CD300)</f>
        <v>81566.049287999995</v>
      </c>
      <c r="X300">
        <f>IF($A300="","",Allocation!CE300)</f>
        <v>234672.00720600001</v>
      </c>
      <c r="Y300">
        <f>IF($A300="","",Allocation!CF300)</f>
        <v>57819.584540000003</v>
      </c>
      <c r="Z300">
        <f>IF($A300="","",Allocation!CG300)</f>
        <v>34776</v>
      </c>
      <c r="AA300">
        <f>IF($A300="","",Allocation!CH300)</f>
        <v>507111.21333100001</v>
      </c>
      <c r="AB300">
        <f>IF($A300="","",Allocation!CI300)</f>
        <v>2894009.9927380001</v>
      </c>
      <c r="AC300">
        <f>IF($A300="","",IF(Allocation!$N$4="VOL_EFF",$G300,IF(Allocation!$N$4="VOL_CLASS",$H300,$I300)))</f>
        <v>2</v>
      </c>
      <c r="AD300">
        <f>IF($A300="","",IF(Allocation!$N$4="VOL_EFF",$L300,IF(Allocation!$N$4="VOL_CLASS",$M300,$N300)))</f>
        <v>6</v>
      </c>
      <c r="AE300">
        <f>IF($A300="","",IF(Allocation!$N$3="VOL_EFF",$L300,IF(Allocation!$N$3="VOL_CLASS",$M300,$N300)))</f>
        <v>152.76900999999998</v>
      </c>
      <c r="AF300">
        <f>IF($A300="","",IF(Allocation!$N$3="VOL_EFF",$Q300,IF(Allocation!$N$3="VOL_CLASS",$R300,$S300)))</f>
        <v>282.54650500000002</v>
      </c>
      <c r="AG300">
        <f>IF($A300="","",IF(Allocation!$N$1="VOL_EFF",$Q300,IF(Allocation!$N$1="VOL_CLASS",$R300,$S300)))</f>
        <v>282.54650500000002</v>
      </c>
      <c r="AH300">
        <f>IF($A300="","",IF(Allocation!$N$1="VOL_EFF",$T300,IF(Allocation!$N$1="VOL_CLASS",$U300,$V300)))</f>
        <v>3473.6699979999999</v>
      </c>
      <c r="AI300">
        <f t="shared" si="88"/>
        <v>27188.683095999997</v>
      </c>
      <c r="AJ300">
        <f t="shared" si="89"/>
        <v>78224.002401999998</v>
      </c>
      <c r="AK300">
        <f t="shared" si="90"/>
        <v>17676.776827582376</v>
      </c>
      <c r="AL300">
        <f t="shared" si="91"/>
        <v>169037.07111033332</v>
      </c>
      <c r="AM300">
        <f t="shared" si="92"/>
        <v>42425.35433468</v>
      </c>
      <c r="AN300">
        <f t="shared" si="93"/>
        <v>33357.74720232893</v>
      </c>
      <c r="AO300">
        <f>IF($A300="","",Allocation!CJ300)</f>
        <v>777795.6</v>
      </c>
      <c r="AP300">
        <f>IF($A300="","",IF(Allocation!$N$2="VOL_EFF",$Q300,IF(Allocation!$N$2="VOL_CLASS",$R300,$S300)))</f>
        <v>2240720.94288</v>
      </c>
      <c r="AQ300">
        <f>IF($A300="","",IF(Allocation!$N$2="VOL_EFF",$T300,IF(Allocation!$N$2="VOL_CLASS",$U300,$V300)))</f>
        <v>26814168.474038001</v>
      </c>
      <c r="AR300">
        <f t="shared" si="94"/>
        <v>11714.209627075368</v>
      </c>
      <c r="AS300" t="str">
        <f>IF($A300="","",$A300&amp;"|"&amp;Allocation!BG300)</f>
        <v>2027|V02</v>
      </c>
    </row>
    <row r="301" spans="1:45" x14ac:dyDescent="0.45">
      <c r="A301" t="str">
        <f>IF(Allocation!BI301="","",Allocation!BI301)</f>
        <v>2027</v>
      </c>
      <c r="B301" t="str">
        <f>IF(Allocation!BJ301="","",Allocation!BJ301)</f>
        <v>TUNON_PAR</v>
      </c>
      <c r="C301" t="str">
        <f>IF(Allocation!BK301="","",Allocation!BK301)</f>
        <v>TUNON</v>
      </c>
      <c r="D301" t="str">
        <f>IF(Allocation!BL301="","",Allocation!BL301)</f>
        <v>BAC_TOU</v>
      </c>
      <c r="E301" t="str">
        <f>IF(Allocation!BM301="","",Allocation!BM301)</f>
        <v>B3</v>
      </c>
      <c r="F301" t="str">
        <f>IF(Allocation!BN301="","",Allocation!BN301)</f>
        <v>ALT</v>
      </c>
      <c r="G301">
        <f>IF(Allocation!BO301="","",Allocation!BO301)</f>
        <v>45.69</v>
      </c>
      <c r="H301">
        <f>IF(Allocation!BP301="","",Allocation!BP301)</f>
        <v>2</v>
      </c>
      <c r="I301">
        <f>IF(Allocation!BQ301="","",Allocation!BQ301)</f>
        <v>371373.8028</v>
      </c>
      <c r="J301">
        <f>IF(Allocation!CC301="","",Allocation!CC301)</f>
        <v>0</v>
      </c>
      <c r="K301">
        <f t="shared" si="76"/>
        <v>960</v>
      </c>
      <c r="L301">
        <f t="shared" si="77"/>
        <v>152.76900999999998</v>
      </c>
      <c r="M301">
        <f t="shared" si="78"/>
        <v>6</v>
      </c>
      <c r="N301">
        <f t="shared" si="79"/>
        <v>1247158.5064610001</v>
      </c>
      <c r="O301">
        <f t="shared" si="80"/>
        <v>2880</v>
      </c>
      <c r="P301">
        <f t="shared" si="81"/>
        <v>60.374009999999998</v>
      </c>
      <c r="Q301">
        <f t="shared" si="82"/>
        <v>282.54650500000002</v>
      </c>
      <c r="R301">
        <f t="shared" si="83"/>
        <v>12</v>
      </c>
      <c r="S301">
        <f t="shared" si="84"/>
        <v>2240720.94288</v>
      </c>
      <c r="T301">
        <f t="shared" si="85"/>
        <v>3473.6699979999999</v>
      </c>
      <c r="U301">
        <f t="shared" si="86"/>
        <v>135</v>
      </c>
      <c r="V301">
        <f t="shared" si="87"/>
        <v>26814168.474038001</v>
      </c>
      <c r="W301">
        <f>IF($A301="","",Allocation!CD301)</f>
        <v>81566.049287999995</v>
      </c>
      <c r="X301">
        <f>IF($A301="","",Allocation!CE301)</f>
        <v>234672.00720600001</v>
      </c>
      <c r="Y301">
        <f>IF($A301="","",Allocation!CF301)</f>
        <v>57819.584540000003</v>
      </c>
      <c r="Z301">
        <f>IF($A301="","",Allocation!CG301)</f>
        <v>34776</v>
      </c>
      <c r="AA301">
        <f>IF($A301="","",Allocation!CH301)</f>
        <v>507111.21333100001</v>
      </c>
      <c r="AB301">
        <f>IF($A301="","",Allocation!CI301)</f>
        <v>2894009.9927380001</v>
      </c>
      <c r="AC301">
        <f>IF($A301="","",IF(Allocation!$N$4="VOL_EFF",$G301,IF(Allocation!$N$4="VOL_CLASS",$H301,$I301)))</f>
        <v>2</v>
      </c>
      <c r="AD301">
        <f>IF($A301="","",IF(Allocation!$N$4="VOL_EFF",$L301,IF(Allocation!$N$4="VOL_CLASS",$M301,$N301)))</f>
        <v>6</v>
      </c>
      <c r="AE301">
        <f>IF($A301="","",IF(Allocation!$N$3="VOL_EFF",$L301,IF(Allocation!$N$3="VOL_CLASS",$M301,$N301)))</f>
        <v>152.76900999999998</v>
      </c>
      <c r="AF301">
        <f>IF($A301="","",IF(Allocation!$N$3="VOL_EFF",$Q301,IF(Allocation!$N$3="VOL_CLASS",$R301,$S301)))</f>
        <v>282.54650500000002</v>
      </c>
      <c r="AG301">
        <f>IF($A301="","",IF(Allocation!$N$1="VOL_EFF",$Q301,IF(Allocation!$N$1="VOL_CLASS",$R301,$S301)))</f>
        <v>282.54650500000002</v>
      </c>
      <c r="AH301">
        <f>IF($A301="","",IF(Allocation!$N$1="VOL_EFF",$T301,IF(Allocation!$N$1="VOL_CLASS",$U301,$V301)))</f>
        <v>3473.6699979999999</v>
      </c>
      <c r="AI301">
        <f t="shared" si="88"/>
        <v>27188.683095999997</v>
      </c>
      <c r="AJ301">
        <f t="shared" si="89"/>
        <v>78224.002401999998</v>
      </c>
      <c r="AK301">
        <f t="shared" si="90"/>
        <v>17292.622486933706</v>
      </c>
      <c r="AL301">
        <f t="shared" si="91"/>
        <v>169037.07111033332</v>
      </c>
      <c r="AM301">
        <f t="shared" si="92"/>
        <v>42425.35433468</v>
      </c>
      <c r="AN301">
        <f t="shared" si="93"/>
        <v>25491.859742977598</v>
      </c>
      <c r="AO301">
        <f>IF($A301="","",Allocation!CJ301)</f>
        <v>777795.6</v>
      </c>
      <c r="AP301">
        <f>IF($A301="","",IF(Allocation!$N$2="VOL_EFF",$Q301,IF(Allocation!$N$2="VOL_CLASS",$R301,$S301)))</f>
        <v>2240720.94288</v>
      </c>
      <c r="AQ301">
        <f>IF($A301="","",IF(Allocation!$N$2="VOL_EFF",$T301,IF(Allocation!$N$2="VOL_CLASS",$U301,$V301)))</f>
        <v>26814168.474038001</v>
      </c>
      <c r="AR301">
        <f t="shared" si="94"/>
        <v>11714.209627075368</v>
      </c>
      <c r="AS301" t="str">
        <f>IF($A301="","",$A301&amp;"|"&amp;Allocation!BG301)</f>
        <v>2027|V02</v>
      </c>
    </row>
    <row r="302" spans="1:45" x14ac:dyDescent="0.45">
      <c r="A302" t="str">
        <f>IF(Allocation!BI302="","",Allocation!BI302)</f>
        <v>2027</v>
      </c>
      <c r="B302" t="str">
        <f>IF(Allocation!BJ302="","",Allocation!BJ302)</f>
        <v>IPAC_MTP</v>
      </c>
      <c r="C302" t="str">
        <f>IF(Allocation!BK302="","",Allocation!BK302)</f>
        <v>IPAC</v>
      </c>
      <c r="D302" t="str">
        <f>IF(Allocation!BL302="","",Allocation!BL302)</f>
        <v>BAC_CCE</v>
      </c>
      <c r="E302" t="str">
        <f>IF(Allocation!BM302="","",Allocation!BM302)</f>
        <v>B1</v>
      </c>
      <c r="F302" t="str">
        <f>IF(Allocation!BN302="","",Allocation!BN302)</f>
        <v>ALT</v>
      </c>
      <c r="G302">
        <f>IF(Allocation!BO302="","",Allocation!BO302)</f>
        <v>36.183875999999998</v>
      </c>
      <c r="H302">
        <f>IF(Allocation!BP302="","",Allocation!BP302)</f>
        <v>2</v>
      </c>
      <c r="I302">
        <f>IF(Allocation!BQ302="","",Allocation!BQ302)</f>
        <v>248451.156973</v>
      </c>
      <c r="J302">
        <f>IF(Allocation!CC302="","",Allocation!CC302)</f>
        <v>36.183875999999998</v>
      </c>
      <c r="K302">
        <f t="shared" si="76"/>
        <v>960</v>
      </c>
      <c r="L302">
        <f t="shared" si="77"/>
        <v>112.39387599999999</v>
      </c>
      <c r="M302">
        <f t="shared" si="78"/>
        <v>6</v>
      </c>
      <c r="N302">
        <f t="shared" si="79"/>
        <v>764876.79047300003</v>
      </c>
      <c r="O302">
        <f t="shared" si="80"/>
        <v>2880</v>
      </c>
      <c r="P302">
        <f t="shared" si="81"/>
        <v>36.183875999999998</v>
      </c>
      <c r="Q302">
        <f t="shared" si="82"/>
        <v>364.08693500000004</v>
      </c>
      <c r="R302">
        <f t="shared" si="83"/>
        <v>18</v>
      </c>
      <c r="S302">
        <f t="shared" si="84"/>
        <v>2527447.039256</v>
      </c>
      <c r="T302">
        <f t="shared" si="85"/>
        <v>2494.3343489999993</v>
      </c>
      <c r="U302">
        <f t="shared" si="86"/>
        <v>111</v>
      </c>
      <c r="V302">
        <f t="shared" si="87"/>
        <v>18970805.476785999</v>
      </c>
      <c r="W302">
        <f>IF($A302="","",Allocation!CD302)</f>
        <v>71034.296436000004</v>
      </c>
      <c r="X302">
        <f>IF($A302="","",Allocation!CE302)</f>
        <v>147178.55554500001</v>
      </c>
      <c r="Y302">
        <f>IF($A302="","",Allocation!CF302)</f>
        <v>42691.378770000003</v>
      </c>
      <c r="Z302">
        <f>IF($A302="","",Allocation!CG302)</f>
        <v>14419.1</v>
      </c>
      <c r="AA302">
        <f>IF($A302="","",Allocation!CH302)</f>
        <v>295317.21765900002</v>
      </c>
      <c r="AB302">
        <f>IF($A302="","",Allocation!CI302)</f>
        <v>3092074.3478999999</v>
      </c>
      <c r="AC302">
        <f>IF($A302="","",IF(Allocation!$N$4="VOL_EFF",$G302,IF(Allocation!$N$4="VOL_CLASS",$H302,$I302)))</f>
        <v>2</v>
      </c>
      <c r="AD302">
        <f>IF($A302="","",IF(Allocation!$N$4="VOL_EFF",$L302,IF(Allocation!$N$4="VOL_CLASS",$M302,$N302)))</f>
        <v>6</v>
      </c>
      <c r="AE302">
        <f>IF($A302="","",IF(Allocation!$N$3="VOL_EFF",$L302,IF(Allocation!$N$3="VOL_CLASS",$M302,$N302)))</f>
        <v>112.39387599999999</v>
      </c>
      <c r="AF302">
        <f>IF($A302="","",IF(Allocation!$N$3="VOL_EFF",$Q302,IF(Allocation!$N$3="VOL_CLASS",$R302,$S302)))</f>
        <v>364.08693500000004</v>
      </c>
      <c r="AG302">
        <f>IF($A302="","",IF(Allocation!$N$1="VOL_EFF",$Q302,IF(Allocation!$N$1="VOL_CLASS",$R302,$S302)))</f>
        <v>364.08693500000004</v>
      </c>
      <c r="AH302">
        <f>IF($A302="","",IF(Allocation!$N$1="VOL_EFF",$T302,IF(Allocation!$N$1="VOL_CLASS",$U302,$V302)))</f>
        <v>2494.3343489999993</v>
      </c>
      <c r="AI302">
        <f t="shared" si="88"/>
        <v>23678.098812</v>
      </c>
      <c r="AJ302">
        <f t="shared" si="89"/>
        <v>49059.518515000003</v>
      </c>
      <c r="AK302">
        <f t="shared" si="90"/>
        <v>28163.083308153844</v>
      </c>
      <c r="AL302">
        <f t="shared" si="91"/>
        <v>98439.072553000005</v>
      </c>
      <c r="AM302">
        <f t="shared" si="92"/>
        <v>46442.613835361379</v>
      </c>
      <c r="AN302">
        <f t="shared" si="93"/>
        <v>-6139.7681882611359</v>
      </c>
      <c r="AO302">
        <f>IF($A302="","",Allocation!CJ302)</f>
        <v>642526.80000000005</v>
      </c>
      <c r="AP302">
        <f>IF($A302="","",IF(Allocation!$N$2="VOL_EFF",$Q302,IF(Allocation!$N$2="VOL_CLASS",$R302,$S302)))</f>
        <v>2527447.039256</v>
      </c>
      <c r="AQ302">
        <f>IF($A302="","",IF(Allocation!$N$2="VOL_EFF",$T302,IF(Allocation!$N$2="VOL_CLASS",$U302,$V302)))</f>
        <v>18970805.476785999</v>
      </c>
      <c r="AR302">
        <f t="shared" si="94"/>
        <v>8808.5381377459089</v>
      </c>
      <c r="AS302" t="str">
        <f>IF($A302="","",$A302&amp;"|"&amp;Allocation!BG302)</f>
        <v>2027|V03</v>
      </c>
    </row>
    <row r="303" spans="1:45" x14ac:dyDescent="0.45">
      <c r="A303" t="str">
        <f>IF(Allocation!BI303="","",Allocation!BI303)</f>
        <v>2027</v>
      </c>
      <c r="B303" t="str">
        <f>IF(Allocation!BJ303="","",Allocation!BJ303)</f>
        <v>IPAC_MTP</v>
      </c>
      <c r="C303" t="str">
        <f>IF(Allocation!BK303="","",Allocation!BK303)</f>
        <v>IPAC</v>
      </c>
      <c r="D303" t="str">
        <f>IF(Allocation!BL303="","",Allocation!BL303)</f>
        <v>BAC_CCE</v>
      </c>
      <c r="E303" t="str">
        <f>IF(Allocation!BM303="","",Allocation!BM303)</f>
        <v>B2</v>
      </c>
      <c r="F303" t="str">
        <f>IF(Allocation!BN303="","",Allocation!BN303)</f>
        <v>ALT</v>
      </c>
      <c r="G303">
        <f>IF(Allocation!BO303="","",Allocation!BO303)</f>
        <v>38.6</v>
      </c>
      <c r="H303">
        <f>IF(Allocation!BP303="","",Allocation!BP303)</f>
        <v>2</v>
      </c>
      <c r="I303">
        <f>IF(Allocation!BQ303="","",Allocation!BQ303)</f>
        <v>261567.11</v>
      </c>
      <c r="J303">
        <f>IF(Allocation!CC303="","",Allocation!CC303)</f>
        <v>0</v>
      </c>
      <c r="K303">
        <f t="shared" si="76"/>
        <v>960</v>
      </c>
      <c r="L303">
        <f t="shared" si="77"/>
        <v>112.39387599999999</v>
      </c>
      <c r="M303">
        <f t="shared" si="78"/>
        <v>6</v>
      </c>
      <c r="N303">
        <f t="shared" si="79"/>
        <v>764876.79047300003</v>
      </c>
      <c r="O303">
        <f t="shared" si="80"/>
        <v>2880</v>
      </c>
      <c r="P303">
        <f t="shared" si="81"/>
        <v>36.183875999999998</v>
      </c>
      <c r="Q303">
        <f t="shared" si="82"/>
        <v>364.08693500000004</v>
      </c>
      <c r="R303">
        <f t="shared" si="83"/>
        <v>18</v>
      </c>
      <c r="S303">
        <f t="shared" si="84"/>
        <v>2527447.039256</v>
      </c>
      <c r="T303">
        <f t="shared" si="85"/>
        <v>2494.3343489999993</v>
      </c>
      <c r="U303">
        <f t="shared" si="86"/>
        <v>111</v>
      </c>
      <c r="V303">
        <f t="shared" si="87"/>
        <v>18970805.476785999</v>
      </c>
      <c r="W303">
        <f>IF($A303="","",Allocation!CD303)</f>
        <v>71034.296436000004</v>
      </c>
      <c r="X303">
        <f>IF($A303="","",Allocation!CE303)</f>
        <v>147178.55554500001</v>
      </c>
      <c r="Y303">
        <f>IF($A303="","",Allocation!CF303)</f>
        <v>42691.378770000003</v>
      </c>
      <c r="Z303">
        <f>IF($A303="","",Allocation!CG303)</f>
        <v>14419.1</v>
      </c>
      <c r="AA303">
        <f>IF($A303="","",Allocation!CH303)</f>
        <v>295317.21765900002</v>
      </c>
      <c r="AB303">
        <f>IF($A303="","",Allocation!CI303)</f>
        <v>3092074.3478999999</v>
      </c>
      <c r="AC303">
        <f>IF($A303="","",IF(Allocation!$N$4="VOL_EFF",$G303,IF(Allocation!$N$4="VOL_CLASS",$H303,$I303)))</f>
        <v>2</v>
      </c>
      <c r="AD303">
        <f>IF($A303="","",IF(Allocation!$N$4="VOL_EFF",$L303,IF(Allocation!$N$4="VOL_CLASS",$M303,$N303)))</f>
        <v>6</v>
      </c>
      <c r="AE303">
        <f>IF($A303="","",IF(Allocation!$N$3="VOL_EFF",$L303,IF(Allocation!$N$3="VOL_CLASS",$M303,$N303)))</f>
        <v>112.39387599999999</v>
      </c>
      <c r="AF303">
        <f>IF($A303="","",IF(Allocation!$N$3="VOL_EFF",$Q303,IF(Allocation!$N$3="VOL_CLASS",$R303,$S303)))</f>
        <v>364.08693500000004</v>
      </c>
      <c r="AG303">
        <f>IF($A303="","",IF(Allocation!$N$1="VOL_EFF",$Q303,IF(Allocation!$N$1="VOL_CLASS",$R303,$S303)))</f>
        <v>364.08693500000004</v>
      </c>
      <c r="AH303">
        <f>IF($A303="","",IF(Allocation!$N$1="VOL_EFF",$T303,IF(Allocation!$N$1="VOL_CLASS",$U303,$V303)))</f>
        <v>2494.3343489999993</v>
      </c>
      <c r="AI303">
        <f t="shared" si="88"/>
        <v>23678.098812</v>
      </c>
      <c r="AJ303">
        <f t="shared" si="89"/>
        <v>49059.518515000003</v>
      </c>
      <c r="AK303">
        <f t="shared" si="90"/>
        <v>14661.717160835349</v>
      </c>
      <c r="AL303">
        <f t="shared" si="91"/>
        <v>98439.072553000005</v>
      </c>
      <c r="AM303">
        <f t="shared" si="92"/>
        <v>46442.613835361379</v>
      </c>
      <c r="AN303">
        <f t="shared" si="93"/>
        <v>20477.550986057351</v>
      </c>
      <c r="AO303">
        <f>IF($A303="","",Allocation!CJ303)</f>
        <v>642526.80000000005</v>
      </c>
      <c r="AP303">
        <f>IF($A303="","",IF(Allocation!$N$2="VOL_EFF",$Q303,IF(Allocation!$N$2="VOL_CLASS",$R303,$S303)))</f>
        <v>2527447.039256</v>
      </c>
      <c r="AQ303">
        <f>IF($A303="","",IF(Allocation!$N$2="VOL_EFF",$T303,IF(Allocation!$N$2="VOL_CLASS",$U303,$V303)))</f>
        <v>18970805.476785999</v>
      </c>
      <c r="AR303">
        <f t="shared" si="94"/>
        <v>8808.5381377459089</v>
      </c>
      <c r="AS303" t="str">
        <f>IF($A303="","",$A303&amp;"|"&amp;Allocation!BG303)</f>
        <v>2027|V03</v>
      </c>
    </row>
    <row r="304" spans="1:45" x14ac:dyDescent="0.45">
      <c r="A304" t="str">
        <f>IF(Allocation!BI304="","",Allocation!BI304)</f>
        <v>2027</v>
      </c>
      <c r="B304" t="str">
        <f>IF(Allocation!BJ304="","",Allocation!BJ304)</f>
        <v>IPAC_MTP</v>
      </c>
      <c r="C304" t="str">
        <f>IF(Allocation!BK304="","",Allocation!BK304)</f>
        <v>IPAC</v>
      </c>
      <c r="D304" t="str">
        <f>IF(Allocation!BL304="","",Allocation!BL304)</f>
        <v>BAC_CCE</v>
      </c>
      <c r="E304" t="str">
        <f>IF(Allocation!BM304="","",Allocation!BM304)</f>
        <v>B3</v>
      </c>
      <c r="F304" t="str">
        <f>IF(Allocation!BN304="","",Allocation!BN304)</f>
        <v>ALT</v>
      </c>
      <c r="G304">
        <f>IF(Allocation!BO304="","",Allocation!BO304)</f>
        <v>37.61</v>
      </c>
      <c r="H304">
        <f>IF(Allocation!BP304="","",Allocation!BP304)</f>
        <v>2</v>
      </c>
      <c r="I304">
        <f>IF(Allocation!BQ304="","",Allocation!BQ304)</f>
        <v>254858.52350000001</v>
      </c>
      <c r="J304">
        <f>IF(Allocation!CC304="","",Allocation!CC304)</f>
        <v>0</v>
      </c>
      <c r="K304">
        <f t="shared" si="76"/>
        <v>960</v>
      </c>
      <c r="L304">
        <f t="shared" si="77"/>
        <v>112.39387599999999</v>
      </c>
      <c r="M304">
        <f t="shared" si="78"/>
        <v>6</v>
      </c>
      <c r="N304">
        <f t="shared" si="79"/>
        <v>764876.79047300003</v>
      </c>
      <c r="O304">
        <f t="shared" si="80"/>
        <v>2880</v>
      </c>
      <c r="P304">
        <f t="shared" si="81"/>
        <v>36.183875999999998</v>
      </c>
      <c r="Q304">
        <f t="shared" si="82"/>
        <v>364.08693500000004</v>
      </c>
      <c r="R304">
        <f t="shared" si="83"/>
        <v>18</v>
      </c>
      <c r="S304">
        <f t="shared" si="84"/>
        <v>2527447.039256</v>
      </c>
      <c r="T304">
        <f t="shared" si="85"/>
        <v>2494.3343489999993</v>
      </c>
      <c r="U304">
        <f t="shared" si="86"/>
        <v>111</v>
      </c>
      <c r="V304">
        <f t="shared" si="87"/>
        <v>18970805.476785999</v>
      </c>
      <c r="W304">
        <f>IF($A304="","",Allocation!CD304)</f>
        <v>71034.296436000004</v>
      </c>
      <c r="X304">
        <f>IF($A304="","",Allocation!CE304)</f>
        <v>147178.55554500001</v>
      </c>
      <c r="Y304">
        <f>IF($A304="","",Allocation!CF304)</f>
        <v>42691.378770000003</v>
      </c>
      <c r="Z304">
        <f>IF($A304="","",Allocation!CG304)</f>
        <v>14419.1</v>
      </c>
      <c r="AA304">
        <f>IF($A304="","",Allocation!CH304)</f>
        <v>295317.21765900002</v>
      </c>
      <c r="AB304">
        <f>IF($A304="","",Allocation!CI304)</f>
        <v>3092074.3478999999</v>
      </c>
      <c r="AC304">
        <f>IF($A304="","",IF(Allocation!$N$4="VOL_EFF",$G304,IF(Allocation!$N$4="VOL_CLASS",$H304,$I304)))</f>
        <v>2</v>
      </c>
      <c r="AD304">
        <f>IF($A304="","",IF(Allocation!$N$4="VOL_EFF",$L304,IF(Allocation!$N$4="VOL_CLASS",$M304,$N304)))</f>
        <v>6</v>
      </c>
      <c r="AE304">
        <f>IF($A304="","",IF(Allocation!$N$3="VOL_EFF",$L304,IF(Allocation!$N$3="VOL_CLASS",$M304,$N304)))</f>
        <v>112.39387599999999</v>
      </c>
      <c r="AF304">
        <f>IF($A304="","",IF(Allocation!$N$3="VOL_EFF",$Q304,IF(Allocation!$N$3="VOL_CLASS",$R304,$S304)))</f>
        <v>364.08693500000004</v>
      </c>
      <c r="AG304">
        <f>IF($A304="","",IF(Allocation!$N$1="VOL_EFF",$Q304,IF(Allocation!$N$1="VOL_CLASS",$R304,$S304)))</f>
        <v>364.08693500000004</v>
      </c>
      <c r="AH304">
        <f>IF($A304="","",IF(Allocation!$N$1="VOL_EFF",$T304,IF(Allocation!$N$1="VOL_CLASS",$U304,$V304)))</f>
        <v>2494.3343489999993</v>
      </c>
      <c r="AI304">
        <f t="shared" si="88"/>
        <v>23678.098812</v>
      </c>
      <c r="AJ304">
        <f t="shared" si="89"/>
        <v>49059.518515000003</v>
      </c>
      <c r="AK304">
        <f t="shared" si="90"/>
        <v>14285.678301010814</v>
      </c>
      <c r="AL304">
        <f t="shared" si="91"/>
        <v>98439.072553000005</v>
      </c>
      <c r="AM304">
        <f t="shared" si="92"/>
        <v>46442.613835361379</v>
      </c>
      <c r="AN304">
        <f t="shared" si="93"/>
        <v>14145.003345881909</v>
      </c>
      <c r="AO304">
        <f>IF($A304="","",Allocation!CJ304)</f>
        <v>642526.80000000005</v>
      </c>
      <c r="AP304">
        <f>IF($A304="","",IF(Allocation!$N$2="VOL_EFF",$Q304,IF(Allocation!$N$2="VOL_CLASS",$R304,$S304)))</f>
        <v>2527447.039256</v>
      </c>
      <c r="AQ304">
        <f>IF($A304="","",IF(Allocation!$N$2="VOL_EFF",$T304,IF(Allocation!$N$2="VOL_CLASS",$U304,$V304)))</f>
        <v>18970805.476785999</v>
      </c>
      <c r="AR304">
        <f t="shared" si="94"/>
        <v>8808.5381377459089</v>
      </c>
      <c r="AS304" t="str">
        <f>IF($A304="","",$A304&amp;"|"&amp;Allocation!BG304)</f>
        <v>2027|V03</v>
      </c>
    </row>
    <row r="305" spans="1:45" x14ac:dyDescent="0.45">
      <c r="A305" t="str">
        <f>IF(Allocation!BI305="","",Allocation!BI305)</f>
        <v>2027</v>
      </c>
      <c r="B305" t="str">
        <f>IF(Allocation!BJ305="","",Allocation!BJ305)</f>
        <v>IPAC_NAN</v>
      </c>
      <c r="C305" t="str">
        <f>IF(Allocation!BK305="","",Allocation!BK305)</f>
        <v>IPAC</v>
      </c>
      <c r="D305" t="str">
        <f>IF(Allocation!BL305="","",Allocation!BL305)</f>
        <v>BAC_CCE</v>
      </c>
      <c r="E305" t="str">
        <f>IF(Allocation!BM305="","",Allocation!BM305)</f>
        <v>B1</v>
      </c>
      <c r="F305" t="str">
        <f>IF(Allocation!BN305="","",Allocation!BN305)</f>
        <v>ALT</v>
      </c>
      <c r="G305">
        <f>IF(Allocation!BO305="","",Allocation!BO305)</f>
        <v>45.271498999999999</v>
      </c>
      <c r="H305">
        <f>IF(Allocation!BP305="","",Allocation!BP305)</f>
        <v>2</v>
      </c>
      <c r="I305">
        <f>IF(Allocation!BQ305="","",Allocation!BQ305)</f>
        <v>326996.03727700002</v>
      </c>
      <c r="J305">
        <f>IF(Allocation!CC305="","",Allocation!CC305)</f>
        <v>45.271498999999999</v>
      </c>
      <c r="K305">
        <f t="shared" si="76"/>
        <v>960</v>
      </c>
      <c r="L305">
        <f t="shared" si="77"/>
        <v>139.29149900000002</v>
      </c>
      <c r="M305">
        <f t="shared" si="78"/>
        <v>6</v>
      </c>
      <c r="N305">
        <f t="shared" si="79"/>
        <v>997640.69727699994</v>
      </c>
      <c r="O305">
        <f t="shared" si="80"/>
        <v>2880</v>
      </c>
      <c r="P305">
        <f t="shared" si="81"/>
        <v>45.271498999999999</v>
      </c>
      <c r="Q305">
        <f t="shared" si="82"/>
        <v>364.08693500000004</v>
      </c>
      <c r="R305">
        <f t="shared" si="83"/>
        <v>18</v>
      </c>
      <c r="S305">
        <f t="shared" si="84"/>
        <v>2527447.039256</v>
      </c>
      <c r="T305">
        <f t="shared" si="85"/>
        <v>2494.3343489999993</v>
      </c>
      <c r="U305">
        <f t="shared" si="86"/>
        <v>111</v>
      </c>
      <c r="V305">
        <f t="shared" si="87"/>
        <v>18970805.476785999</v>
      </c>
      <c r="W305">
        <f>IF($A305="","",Allocation!CD305)</f>
        <v>71034.296436000004</v>
      </c>
      <c r="X305">
        <f>IF($A305="","",Allocation!CE305)</f>
        <v>181889.62249499999</v>
      </c>
      <c r="Y305">
        <f>IF($A305="","",Allocation!CF305)</f>
        <v>52908.479388</v>
      </c>
      <c r="Z305">
        <f>IF($A305="","",Allocation!CG305)</f>
        <v>20672</v>
      </c>
      <c r="AA305">
        <f>IF($A305="","",Allocation!CH305)</f>
        <v>419435.96531399997</v>
      </c>
      <c r="AB305">
        <f>IF($A305="","",Allocation!CI305)</f>
        <v>3092074.3478999999</v>
      </c>
      <c r="AC305">
        <f>IF($A305="","",IF(Allocation!$N$4="VOL_EFF",$G305,IF(Allocation!$N$4="VOL_CLASS",$H305,$I305)))</f>
        <v>2</v>
      </c>
      <c r="AD305">
        <f>IF($A305="","",IF(Allocation!$N$4="VOL_EFF",$L305,IF(Allocation!$N$4="VOL_CLASS",$M305,$N305)))</f>
        <v>6</v>
      </c>
      <c r="AE305">
        <f>IF($A305="","",IF(Allocation!$N$3="VOL_EFF",$L305,IF(Allocation!$N$3="VOL_CLASS",$M305,$N305)))</f>
        <v>139.29149900000002</v>
      </c>
      <c r="AF305">
        <f>IF($A305="","",IF(Allocation!$N$3="VOL_EFF",$Q305,IF(Allocation!$N$3="VOL_CLASS",$R305,$S305)))</f>
        <v>364.08693500000004</v>
      </c>
      <c r="AG305">
        <f>IF($A305="","",IF(Allocation!$N$1="VOL_EFF",$Q305,IF(Allocation!$N$1="VOL_CLASS",$R305,$S305)))</f>
        <v>364.08693500000004</v>
      </c>
      <c r="AH305">
        <f>IF($A305="","",IF(Allocation!$N$1="VOL_EFF",$T305,IF(Allocation!$N$1="VOL_CLASS",$U305,$V305)))</f>
        <v>2494.3343489999993</v>
      </c>
      <c r="AI305">
        <f t="shared" si="88"/>
        <v>23678.098812</v>
      </c>
      <c r="AJ305">
        <f t="shared" si="89"/>
        <v>60629.874164999994</v>
      </c>
      <c r="AK305">
        <f t="shared" si="90"/>
        <v>37867.925012662563</v>
      </c>
      <c r="AL305">
        <f t="shared" si="91"/>
        <v>139811.98843799997</v>
      </c>
      <c r="AM305">
        <f t="shared" si="92"/>
        <v>57557.062082329336</v>
      </c>
      <c r="AN305">
        <f t="shared" si="93"/>
        <v>-3465.4711459651589</v>
      </c>
      <c r="AO305">
        <f>IF($A305="","",Allocation!CJ305)</f>
        <v>642526.80000000005</v>
      </c>
      <c r="AP305">
        <f>IF($A305="","",IF(Allocation!$N$2="VOL_EFF",$Q305,IF(Allocation!$N$2="VOL_CLASS",$R305,$S305)))</f>
        <v>2527447.039256</v>
      </c>
      <c r="AQ305">
        <f>IF($A305="","",IF(Allocation!$N$2="VOL_EFF",$T305,IF(Allocation!$N$2="VOL_CLASS",$U305,$V305)))</f>
        <v>18970805.476785999</v>
      </c>
      <c r="AR305">
        <f t="shared" si="94"/>
        <v>10916.559912973338</v>
      </c>
      <c r="AS305" t="str">
        <f>IF($A305="","",$A305&amp;"|"&amp;Allocation!BG305)</f>
        <v>2027|V03</v>
      </c>
    </row>
    <row r="306" spans="1:45" x14ac:dyDescent="0.45">
      <c r="A306" t="str">
        <f>IF(Allocation!BI306="","",Allocation!BI306)</f>
        <v>2027</v>
      </c>
      <c r="B306" t="str">
        <f>IF(Allocation!BJ306="","",Allocation!BJ306)</f>
        <v>IPAC_NAN</v>
      </c>
      <c r="C306" t="str">
        <f>IF(Allocation!BK306="","",Allocation!BK306)</f>
        <v>IPAC</v>
      </c>
      <c r="D306" t="str">
        <f>IF(Allocation!BL306="","",Allocation!BL306)</f>
        <v>BAC_CCE</v>
      </c>
      <c r="E306" t="str">
        <f>IF(Allocation!BM306="","",Allocation!BM306)</f>
        <v>B2</v>
      </c>
      <c r="F306" t="str">
        <f>IF(Allocation!BN306="","",Allocation!BN306)</f>
        <v>ALT</v>
      </c>
      <c r="G306">
        <f>IF(Allocation!BO306="","",Allocation!BO306)</f>
        <v>47.5</v>
      </c>
      <c r="H306">
        <f>IF(Allocation!BP306="","",Allocation!BP306)</f>
        <v>2</v>
      </c>
      <c r="I306">
        <f>IF(Allocation!BQ306="","",Allocation!BQ306)</f>
        <v>338817.5</v>
      </c>
      <c r="J306">
        <f>IF(Allocation!CC306="","",Allocation!CC306)</f>
        <v>0</v>
      </c>
      <c r="K306">
        <f t="shared" si="76"/>
        <v>960</v>
      </c>
      <c r="L306">
        <f t="shared" si="77"/>
        <v>139.29149900000002</v>
      </c>
      <c r="M306">
        <f t="shared" si="78"/>
        <v>6</v>
      </c>
      <c r="N306">
        <f t="shared" si="79"/>
        <v>997640.69727699994</v>
      </c>
      <c r="O306">
        <f t="shared" si="80"/>
        <v>2880</v>
      </c>
      <c r="P306">
        <f t="shared" si="81"/>
        <v>45.271498999999999</v>
      </c>
      <c r="Q306">
        <f t="shared" si="82"/>
        <v>364.08693500000004</v>
      </c>
      <c r="R306">
        <f t="shared" si="83"/>
        <v>18</v>
      </c>
      <c r="S306">
        <f t="shared" si="84"/>
        <v>2527447.039256</v>
      </c>
      <c r="T306">
        <f t="shared" si="85"/>
        <v>2494.3343489999993</v>
      </c>
      <c r="U306">
        <f t="shared" si="86"/>
        <v>111</v>
      </c>
      <c r="V306">
        <f t="shared" si="87"/>
        <v>18970805.476785999</v>
      </c>
      <c r="W306">
        <f>IF($A306="","",Allocation!CD306)</f>
        <v>71034.296436000004</v>
      </c>
      <c r="X306">
        <f>IF($A306="","",Allocation!CE306)</f>
        <v>181889.62249499999</v>
      </c>
      <c r="Y306">
        <f>IF($A306="","",Allocation!CF306)</f>
        <v>52908.479388</v>
      </c>
      <c r="Z306">
        <f>IF($A306="","",Allocation!CG306)</f>
        <v>20672</v>
      </c>
      <c r="AA306">
        <f>IF($A306="","",Allocation!CH306)</f>
        <v>419435.96531399997</v>
      </c>
      <c r="AB306">
        <f>IF($A306="","",Allocation!CI306)</f>
        <v>3092074.3478999999</v>
      </c>
      <c r="AC306">
        <f>IF($A306="","",IF(Allocation!$N$4="VOL_EFF",$G306,IF(Allocation!$N$4="VOL_CLASS",$H306,$I306)))</f>
        <v>2</v>
      </c>
      <c r="AD306">
        <f>IF($A306="","",IF(Allocation!$N$4="VOL_EFF",$L306,IF(Allocation!$N$4="VOL_CLASS",$M306,$N306)))</f>
        <v>6</v>
      </c>
      <c r="AE306">
        <f>IF($A306="","",IF(Allocation!$N$3="VOL_EFF",$L306,IF(Allocation!$N$3="VOL_CLASS",$M306,$N306)))</f>
        <v>139.29149900000002</v>
      </c>
      <c r="AF306">
        <f>IF($A306="","",IF(Allocation!$N$3="VOL_EFF",$Q306,IF(Allocation!$N$3="VOL_CLASS",$R306,$S306)))</f>
        <v>364.08693500000004</v>
      </c>
      <c r="AG306">
        <f>IF($A306="","",IF(Allocation!$N$1="VOL_EFF",$Q306,IF(Allocation!$N$1="VOL_CLASS",$R306,$S306)))</f>
        <v>364.08693500000004</v>
      </c>
      <c r="AH306">
        <f>IF($A306="","",IF(Allocation!$N$1="VOL_EFF",$T306,IF(Allocation!$N$1="VOL_CLASS",$U306,$V306)))</f>
        <v>2494.3343489999993</v>
      </c>
      <c r="AI306">
        <f t="shared" si="88"/>
        <v>23678.098812</v>
      </c>
      <c r="AJ306">
        <f t="shared" si="89"/>
        <v>60629.874164999994</v>
      </c>
      <c r="AK306">
        <f t="shared" si="90"/>
        <v>18042.398775032209</v>
      </c>
      <c r="AL306">
        <f t="shared" si="91"/>
        <v>139811.98843799997</v>
      </c>
      <c r="AM306">
        <f t="shared" si="92"/>
        <v>57557.062082329336</v>
      </c>
      <c r="AN306">
        <f t="shared" si="93"/>
        <v>28181.51781466516</v>
      </c>
      <c r="AO306">
        <f>IF($A306="","",Allocation!CJ306)</f>
        <v>642526.80000000005</v>
      </c>
      <c r="AP306">
        <f>IF($A306="","",IF(Allocation!$N$2="VOL_EFF",$Q306,IF(Allocation!$N$2="VOL_CLASS",$R306,$S306)))</f>
        <v>2527447.039256</v>
      </c>
      <c r="AQ306">
        <f>IF($A306="","",IF(Allocation!$N$2="VOL_EFF",$T306,IF(Allocation!$N$2="VOL_CLASS",$U306,$V306)))</f>
        <v>18970805.476785999</v>
      </c>
      <c r="AR306">
        <f t="shared" si="94"/>
        <v>10916.559912973338</v>
      </c>
      <c r="AS306" t="str">
        <f>IF($A306="","",$A306&amp;"|"&amp;Allocation!BG306)</f>
        <v>2027|V03</v>
      </c>
    </row>
    <row r="307" spans="1:45" x14ac:dyDescent="0.45">
      <c r="A307" t="str">
        <f>IF(Allocation!BI307="","",Allocation!BI307)</f>
        <v>2027</v>
      </c>
      <c r="B307" t="str">
        <f>IF(Allocation!BJ307="","",Allocation!BJ307)</f>
        <v>IPAC_NAN</v>
      </c>
      <c r="C307" t="str">
        <f>IF(Allocation!BK307="","",Allocation!BK307)</f>
        <v>IPAC</v>
      </c>
      <c r="D307" t="str">
        <f>IF(Allocation!BL307="","",Allocation!BL307)</f>
        <v>BAC_CCE</v>
      </c>
      <c r="E307" t="str">
        <f>IF(Allocation!BM307="","",Allocation!BM307)</f>
        <v>B3</v>
      </c>
      <c r="F307" t="str">
        <f>IF(Allocation!BN307="","",Allocation!BN307)</f>
        <v>ALT</v>
      </c>
      <c r="G307">
        <f>IF(Allocation!BO307="","",Allocation!BO307)</f>
        <v>46.52</v>
      </c>
      <c r="H307">
        <f>IF(Allocation!BP307="","",Allocation!BP307)</f>
        <v>2</v>
      </c>
      <c r="I307">
        <f>IF(Allocation!BQ307="","",Allocation!BQ307)</f>
        <v>331827.15999999997</v>
      </c>
      <c r="J307">
        <f>IF(Allocation!CC307="","",Allocation!CC307)</f>
        <v>0</v>
      </c>
      <c r="K307">
        <f t="shared" si="76"/>
        <v>960</v>
      </c>
      <c r="L307">
        <f t="shared" si="77"/>
        <v>139.29149900000002</v>
      </c>
      <c r="M307">
        <f t="shared" si="78"/>
        <v>6</v>
      </c>
      <c r="N307">
        <f t="shared" si="79"/>
        <v>997640.69727699994</v>
      </c>
      <c r="O307">
        <f t="shared" si="80"/>
        <v>2880</v>
      </c>
      <c r="P307">
        <f t="shared" si="81"/>
        <v>45.271498999999999</v>
      </c>
      <c r="Q307">
        <f t="shared" si="82"/>
        <v>364.08693500000004</v>
      </c>
      <c r="R307">
        <f t="shared" si="83"/>
        <v>18</v>
      </c>
      <c r="S307">
        <f t="shared" si="84"/>
        <v>2527447.039256</v>
      </c>
      <c r="T307">
        <f t="shared" si="85"/>
        <v>2494.3343489999993</v>
      </c>
      <c r="U307">
        <f t="shared" si="86"/>
        <v>111</v>
      </c>
      <c r="V307">
        <f t="shared" si="87"/>
        <v>18970805.476785999</v>
      </c>
      <c r="W307">
        <f>IF($A307="","",Allocation!CD307)</f>
        <v>71034.296436000004</v>
      </c>
      <c r="X307">
        <f>IF($A307="","",Allocation!CE307)</f>
        <v>181889.62249499999</v>
      </c>
      <c r="Y307">
        <f>IF($A307="","",Allocation!CF307)</f>
        <v>52908.479388</v>
      </c>
      <c r="Z307">
        <f>IF($A307="","",Allocation!CG307)</f>
        <v>20672</v>
      </c>
      <c r="AA307">
        <f>IF($A307="","",Allocation!CH307)</f>
        <v>419435.96531399997</v>
      </c>
      <c r="AB307">
        <f>IF($A307="","",Allocation!CI307)</f>
        <v>3092074.3478999999</v>
      </c>
      <c r="AC307">
        <f>IF($A307="","",IF(Allocation!$N$4="VOL_EFF",$G307,IF(Allocation!$N$4="VOL_CLASS",$H307,$I307)))</f>
        <v>2</v>
      </c>
      <c r="AD307">
        <f>IF($A307="","",IF(Allocation!$N$4="VOL_EFF",$L307,IF(Allocation!$N$4="VOL_CLASS",$M307,$N307)))</f>
        <v>6</v>
      </c>
      <c r="AE307">
        <f>IF($A307="","",IF(Allocation!$N$3="VOL_EFF",$L307,IF(Allocation!$N$3="VOL_CLASS",$M307,$N307)))</f>
        <v>139.29149900000002</v>
      </c>
      <c r="AF307">
        <f>IF($A307="","",IF(Allocation!$N$3="VOL_EFF",$Q307,IF(Allocation!$N$3="VOL_CLASS",$R307,$S307)))</f>
        <v>364.08693500000004</v>
      </c>
      <c r="AG307">
        <f>IF($A307="","",IF(Allocation!$N$1="VOL_EFF",$Q307,IF(Allocation!$N$1="VOL_CLASS",$R307,$S307)))</f>
        <v>364.08693500000004</v>
      </c>
      <c r="AH307">
        <f>IF($A307="","",IF(Allocation!$N$1="VOL_EFF",$T307,IF(Allocation!$N$1="VOL_CLASS",$U307,$V307)))</f>
        <v>2494.3343489999993</v>
      </c>
      <c r="AI307">
        <f t="shared" si="88"/>
        <v>23678.098812</v>
      </c>
      <c r="AJ307">
        <f t="shared" si="89"/>
        <v>60629.874164999994</v>
      </c>
      <c r="AK307">
        <f t="shared" si="90"/>
        <v>17670.155600305225</v>
      </c>
      <c r="AL307">
        <f t="shared" si="91"/>
        <v>139811.98843799997</v>
      </c>
      <c r="AM307">
        <f t="shared" si="92"/>
        <v>57557.062082329336</v>
      </c>
      <c r="AN307">
        <f t="shared" si="93"/>
        <v>21563.420989392092</v>
      </c>
      <c r="AO307">
        <f>IF($A307="","",Allocation!CJ307)</f>
        <v>642526.80000000005</v>
      </c>
      <c r="AP307">
        <f>IF($A307="","",IF(Allocation!$N$2="VOL_EFF",$Q307,IF(Allocation!$N$2="VOL_CLASS",$R307,$S307)))</f>
        <v>2527447.039256</v>
      </c>
      <c r="AQ307">
        <f>IF($A307="","",IF(Allocation!$N$2="VOL_EFF",$T307,IF(Allocation!$N$2="VOL_CLASS",$U307,$V307)))</f>
        <v>18970805.476785999</v>
      </c>
      <c r="AR307">
        <f t="shared" si="94"/>
        <v>10916.559912973338</v>
      </c>
      <c r="AS307" t="str">
        <f>IF($A307="","",$A307&amp;"|"&amp;Allocation!BG307)</f>
        <v>2027|V03</v>
      </c>
    </row>
    <row r="308" spans="1:45" x14ac:dyDescent="0.45">
      <c r="A308" t="str">
        <f>IF(Allocation!BI308="","",Allocation!BI308)</f>
        <v>2027</v>
      </c>
      <c r="B308" t="str">
        <f>IF(Allocation!BJ308="","",Allocation!BJ308)</f>
        <v>IPAC_REN</v>
      </c>
      <c r="C308" t="str">
        <f>IF(Allocation!BK308="","",Allocation!BK308)</f>
        <v>IPAC</v>
      </c>
      <c r="D308" t="str">
        <f>IF(Allocation!BL308="","",Allocation!BL308)</f>
        <v>BAC_CCE</v>
      </c>
      <c r="E308" t="str">
        <f>IF(Allocation!BM308="","",Allocation!BM308)</f>
        <v>B1</v>
      </c>
      <c r="F308" t="str">
        <f>IF(Allocation!BN308="","",Allocation!BN308)</f>
        <v>ALT</v>
      </c>
      <c r="G308">
        <f>IF(Allocation!BO308="","",Allocation!BO308)</f>
        <v>36.191560000000003</v>
      </c>
      <c r="H308">
        <f>IF(Allocation!BP308="","",Allocation!BP308)</f>
        <v>2</v>
      </c>
      <c r="I308">
        <f>IF(Allocation!BQ308="","",Allocation!BQ308)</f>
        <v>248503.91800599999</v>
      </c>
      <c r="J308">
        <f>IF(Allocation!CC308="","",Allocation!CC308)</f>
        <v>36.191560000000003</v>
      </c>
      <c r="K308">
        <f t="shared" si="76"/>
        <v>960</v>
      </c>
      <c r="L308">
        <f t="shared" si="77"/>
        <v>112.40156</v>
      </c>
      <c r="M308">
        <f t="shared" si="78"/>
        <v>6</v>
      </c>
      <c r="N308">
        <f t="shared" si="79"/>
        <v>764929.55150599999</v>
      </c>
      <c r="O308">
        <f t="shared" si="80"/>
        <v>2880</v>
      </c>
      <c r="P308">
        <f t="shared" si="81"/>
        <v>36.191560000000003</v>
      </c>
      <c r="Q308">
        <f t="shared" si="82"/>
        <v>364.08693500000004</v>
      </c>
      <c r="R308">
        <f t="shared" si="83"/>
        <v>18</v>
      </c>
      <c r="S308">
        <f t="shared" si="84"/>
        <v>2527447.039256</v>
      </c>
      <c r="T308">
        <f t="shared" si="85"/>
        <v>2494.3343489999993</v>
      </c>
      <c r="U308">
        <f t="shared" si="86"/>
        <v>111</v>
      </c>
      <c r="V308">
        <f t="shared" si="87"/>
        <v>18970805.476785999</v>
      </c>
      <c r="W308">
        <f>IF($A308="","",Allocation!CD308)</f>
        <v>71034.296436000004</v>
      </c>
      <c r="X308">
        <f>IF($A308="","",Allocation!CE308)</f>
        <v>147266.373345</v>
      </c>
      <c r="Y308">
        <f>IF($A308="","",Allocation!CF308)</f>
        <v>42691.378770000003</v>
      </c>
      <c r="Z308">
        <f>IF($A308="","",Allocation!CG308)</f>
        <v>14186.35</v>
      </c>
      <c r="AA308">
        <f>IF($A308="","",Allocation!CH308)</f>
        <v>295493.428617</v>
      </c>
      <c r="AB308">
        <f>IF($A308="","",Allocation!CI308)</f>
        <v>3092074.3478999999</v>
      </c>
      <c r="AC308">
        <f>IF($A308="","",IF(Allocation!$N$4="VOL_EFF",$G308,IF(Allocation!$N$4="VOL_CLASS",$H308,$I308)))</f>
        <v>2</v>
      </c>
      <c r="AD308">
        <f>IF($A308="","",IF(Allocation!$N$4="VOL_EFF",$L308,IF(Allocation!$N$4="VOL_CLASS",$M308,$N308)))</f>
        <v>6</v>
      </c>
      <c r="AE308">
        <f>IF($A308="","",IF(Allocation!$N$3="VOL_EFF",$L308,IF(Allocation!$N$3="VOL_CLASS",$M308,$N308)))</f>
        <v>112.40156</v>
      </c>
      <c r="AF308">
        <f>IF($A308="","",IF(Allocation!$N$3="VOL_EFF",$Q308,IF(Allocation!$N$3="VOL_CLASS",$R308,$S308)))</f>
        <v>364.08693500000004</v>
      </c>
      <c r="AG308">
        <f>IF($A308="","",IF(Allocation!$N$1="VOL_EFF",$Q308,IF(Allocation!$N$1="VOL_CLASS",$R308,$S308)))</f>
        <v>364.08693500000004</v>
      </c>
      <c r="AH308">
        <f>IF($A308="","",IF(Allocation!$N$1="VOL_EFF",$T308,IF(Allocation!$N$1="VOL_CLASS",$U308,$V308)))</f>
        <v>2494.3343489999993</v>
      </c>
      <c r="AI308">
        <f t="shared" si="88"/>
        <v>23678.098812</v>
      </c>
      <c r="AJ308">
        <f t="shared" si="89"/>
        <v>49088.791115</v>
      </c>
      <c r="AK308">
        <f t="shared" si="90"/>
        <v>27932.312211175551</v>
      </c>
      <c r="AL308">
        <f t="shared" si="91"/>
        <v>98497.809538999994</v>
      </c>
      <c r="AM308">
        <f t="shared" si="92"/>
        <v>46445.788964268853</v>
      </c>
      <c r="AN308">
        <f t="shared" si="93"/>
        <v>-5948.0229839998356</v>
      </c>
      <c r="AO308">
        <f>IF($A308="","",Allocation!CJ308)</f>
        <v>642526.80000000005</v>
      </c>
      <c r="AP308">
        <f>IF($A308="","",IF(Allocation!$N$2="VOL_EFF",$Q308,IF(Allocation!$N$2="VOL_CLASS",$R308,$S308)))</f>
        <v>2527447.039256</v>
      </c>
      <c r="AQ308">
        <f>IF($A308="","",IF(Allocation!$N$2="VOL_EFF",$T308,IF(Allocation!$N$2="VOL_CLASS",$U308,$V308)))</f>
        <v>18970805.476785999</v>
      </c>
      <c r="AR308">
        <f t="shared" si="94"/>
        <v>8809.1403485554256</v>
      </c>
      <c r="AS308" t="str">
        <f>IF($A308="","",$A308&amp;"|"&amp;Allocation!BG308)</f>
        <v>2027|V03</v>
      </c>
    </row>
    <row r="309" spans="1:45" x14ac:dyDescent="0.45">
      <c r="A309" t="str">
        <f>IF(Allocation!BI309="","",Allocation!BI309)</f>
        <v>2027</v>
      </c>
      <c r="B309" t="str">
        <f>IF(Allocation!BJ309="","",Allocation!BJ309)</f>
        <v>IPAC_REN</v>
      </c>
      <c r="C309" t="str">
        <f>IF(Allocation!BK309="","",Allocation!BK309)</f>
        <v>IPAC</v>
      </c>
      <c r="D309" t="str">
        <f>IF(Allocation!BL309="","",Allocation!BL309)</f>
        <v>BAC_CCE</v>
      </c>
      <c r="E309" t="str">
        <f>IF(Allocation!BM309="","",Allocation!BM309)</f>
        <v>B2</v>
      </c>
      <c r="F309" t="str">
        <f>IF(Allocation!BN309="","",Allocation!BN309)</f>
        <v>ALT</v>
      </c>
      <c r="G309">
        <f>IF(Allocation!BO309="","",Allocation!BO309)</f>
        <v>38.6</v>
      </c>
      <c r="H309">
        <f>IF(Allocation!BP309="","",Allocation!BP309)</f>
        <v>2</v>
      </c>
      <c r="I309">
        <f>IF(Allocation!BQ309="","",Allocation!BQ309)</f>
        <v>261567.11</v>
      </c>
      <c r="J309">
        <f>IF(Allocation!CC309="","",Allocation!CC309)</f>
        <v>0</v>
      </c>
      <c r="K309">
        <f t="shared" si="76"/>
        <v>960</v>
      </c>
      <c r="L309">
        <f t="shared" si="77"/>
        <v>112.40156</v>
      </c>
      <c r="M309">
        <f t="shared" si="78"/>
        <v>6</v>
      </c>
      <c r="N309">
        <f t="shared" si="79"/>
        <v>764929.55150599999</v>
      </c>
      <c r="O309">
        <f t="shared" si="80"/>
        <v>2880</v>
      </c>
      <c r="P309">
        <f t="shared" si="81"/>
        <v>36.191560000000003</v>
      </c>
      <c r="Q309">
        <f t="shared" si="82"/>
        <v>364.08693500000004</v>
      </c>
      <c r="R309">
        <f t="shared" si="83"/>
        <v>18</v>
      </c>
      <c r="S309">
        <f t="shared" si="84"/>
        <v>2527447.039256</v>
      </c>
      <c r="T309">
        <f t="shared" si="85"/>
        <v>2494.3343489999993</v>
      </c>
      <c r="U309">
        <f t="shared" si="86"/>
        <v>111</v>
      </c>
      <c r="V309">
        <f t="shared" si="87"/>
        <v>18970805.476785999</v>
      </c>
      <c r="W309">
        <f>IF($A309="","",Allocation!CD309)</f>
        <v>71034.296436000004</v>
      </c>
      <c r="X309">
        <f>IF($A309="","",Allocation!CE309)</f>
        <v>147266.373345</v>
      </c>
      <c r="Y309">
        <f>IF($A309="","",Allocation!CF309)</f>
        <v>42691.378770000003</v>
      </c>
      <c r="Z309">
        <f>IF($A309="","",Allocation!CG309)</f>
        <v>14186.35</v>
      </c>
      <c r="AA309">
        <f>IF($A309="","",Allocation!CH309)</f>
        <v>295493.428617</v>
      </c>
      <c r="AB309">
        <f>IF($A309="","",Allocation!CI309)</f>
        <v>3092074.3478999999</v>
      </c>
      <c r="AC309">
        <f>IF($A309="","",IF(Allocation!$N$4="VOL_EFF",$G309,IF(Allocation!$N$4="VOL_CLASS",$H309,$I309)))</f>
        <v>2</v>
      </c>
      <c r="AD309">
        <f>IF($A309="","",IF(Allocation!$N$4="VOL_EFF",$L309,IF(Allocation!$N$4="VOL_CLASS",$M309,$N309)))</f>
        <v>6</v>
      </c>
      <c r="AE309">
        <f>IF($A309="","",IF(Allocation!$N$3="VOL_EFF",$L309,IF(Allocation!$N$3="VOL_CLASS",$M309,$N309)))</f>
        <v>112.40156</v>
      </c>
      <c r="AF309">
        <f>IF($A309="","",IF(Allocation!$N$3="VOL_EFF",$Q309,IF(Allocation!$N$3="VOL_CLASS",$R309,$S309)))</f>
        <v>364.08693500000004</v>
      </c>
      <c r="AG309">
        <f>IF($A309="","",IF(Allocation!$N$1="VOL_EFF",$Q309,IF(Allocation!$N$1="VOL_CLASS",$R309,$S309)))</f>
        <v>364.08693500000004</v>
      </c>
      <c r="AH309">
        <f>IF($A309="","",IF(Allocation!$N$1="VOL_EFF",$T309,IF(Allocation!$N$1="VOL_CLASS",$U309,$V309)))</f>
        <v>2494.3343489999993</v>
      </c>
      <c r="AI309">
        <f t="shared" si="88"/>
        <v>23678.098812</v>
      </c>
      <c r="AJ309">
        <f t="shared" si="89"/>
        <v>49088.791115</v>
      </c>
      <c r="AK309">
        <f t="shared" si="90"/>
        <v>14660.714855932605</v>
      </c>
      <c r="AL309">
        <f t="shared" si="91"/>
        <v>98497.809538999994</v>
      </c>
      <c r="AM309">
        <f t="shared" si="92"/>
        <v>46445.788964268853</v>
      </c>
      <c r="AN309">
        <f t="shared" si="93"/>
        <v>20386.766365243093</v>
      </c>
      <c r="AO309">
        <f>IF($A309="","",Allocation!CJ309)</f>
        <v>642526.80000000005</v>
      </c>
      <c r="AP309">
        <f>IF($A309="","",IF(Allocation!$N$2="VOL_EFF",$Q309,IF(Allocation!$N$2="VOL_CLASS",$R309,$S309)))</f>
        <v>2527447.039256</v>
      </c>
      <c r="AQ309">
        <f>IF($A309="","",IF(Allocation!$N$2="VOL_EFF",$T309,IF(Allocation!$N$2="VOL_CLASS",$U309,$V309)))</f>
        <v>18970805.476785999</v>
      </c>
      <c r="AR309">
        <f t="shared" si="94"/>
        <v>8809.1403485554256</v>
      </c>
      <c r="AS309" t="str">
        <f>IF($A309="","",$A309&amp;"|"&amp;Allocation!BG309)</f>
        <v>2027|V03</v>
      </c>
    </row>
    <row r="310" spans="1:45" x14ac:dyDescent="0.45">
      <c r="A310" t="str">
        <f>IF(Allocation!BI310="","",Allocation!BI310)</f>
        <v>2027</v>
      </c>
      <c r="B310" t="str">
        <f>IF(Allocation!BJ310="","",Allocation!BJ310)</f>
        <v>IPAC_REN</v>
      </c>
      <c r="C310" t="str">
        <f>IF(Allocation!BK310="","",Allocation!BK310)</f>
        <v>IPAC</v>
      </c>
      <c r="D310" t="str">
        <f>IF(Allocation!BL310="","",Allocation!BL310)</f>
        <v>BAC_CCE</v>
      </c>
      <c r="E310" t="str">
        <f>IF(Allocation!BM310="","",Allocation!BM310)</f>
        <v>B3</v>
      </c>
      <c r="F310" t="str">
        <f>IF(Allocation!BN310="","",Allocation!BN310)</f>
        <v>ALT</v>
      </c>
      <c r="G310">
        <f>IF(Allocation!BO310="","",Allocation!BO310)</f>
        <v>37.61</v>
      </c>
      <c r="H310">
        <f>IF(Allocation!BP310="","",Allocation!BP310)</f>
        <v>2</v>
      </c>
      <c r="I310">
        <f>IF(Allocation!BQ310="","",Allocation!BQ310)</f>
        <v>254858.52350000001</v>
      </c>
      <c r="J310">
        <f>IF(Allocation!CC310="","",Allocation!CC310)</f>
        <v>0</v>
      </c>
      <c r="K310">
        <f t="shared" si="76"/>
        <v>960</v>
      </c>
      <c r="L310">
        <f t="shared" si="77"/>
        <v>112.40156</v>
      </c>
      <c r="M310">
        <f t="shared" si="78"/>
        <v>6</v>
      </c>
      <c r="N310">
        <f t="shared" si="79"/>
        <v>764929.55150599999</v>
      </c>
      <c r="O310">
        <f t="shared" si="80"/>
        <v>2880</v>
      </c>
      <c r="P310">
        <f t="shared" si="81"/>
        <v>36.191560000000003</v>
      </c>
      <c r="Q310">
        <f t="shared" si="82"/>
        <v>364.08693500000004</v>
      </c>
      <c r="R310">
        <f t="shared" si="83"/>
        <v>18</v>
      </c>
      <c r="S310">
        <f t="shared" si="84"/>
        <v>2527447.039256</v>
      </c>
      <c r="T310">
        <f t="shared" si="85"/>
        <v>2494.3343489999993</v>
      </c>
      <c r="U310">
        <f t="shared" si="86"/>
        <v>111</v>
      </c>
      <c r="V310">
        <f t="shared" si="87"/>
        <v>18970805.476785999</v>
      </c>
      <c r="W310">
        <f>IF($A310="","",Allocation!CD310)</f>
        <v>71034.296436000004</v>
      </c>
      <c r="X310">
        <f>IF($A310="","",Allocation!CE310)</f>
        <v>147266.373345</v>
      </c>
      <c r="Y310">
        <f>IF($A310="","",Allocation!CF310)</f>
        <v>42691.378770000003</v>
      </c>
      <c r="Z310">
        <f>IF($A310="","",Allocation!CG310)</f>
        <v>14186.35</v>
      </c>
      <c r="AA310">
        <f>IF($A310="","",Allocation!CH310)</f>
        <v>295493.428617</v>
      </c>
      <c r="AB310">
        <f>IF($A310="","",Allocation!CI310)</f>
        <v>3092074.3478999999</v>
      </c>
      <c r="AC310">
        <f>IF($A310="","",IF(Allocation!$N$4="VOL_EFF",$G310,IF(Allocation!$N$4="VOL_CLASS",$H310,$I310)))</f>
        <v>2</v>
      </c>
      <c r="AD310">
        <f>IF($A310="","",IF(Allocation!$N$4="VOL_EFF",$L310,IF(Allocation!$N$4="VOL_CLASS",$M310,$N310)))</f>
        <v>6</v>
      </c>
      <c r="AE310">
        <f>IF($A310="","",IF(Allocation!$N$3="VOL_EFF",$L310,IF(Allocation!$N$3="VOL_CLASS",$M310,$N310)))</f>
        <v>112.40156</v>
      </c>
      <c r="AF310">
        <f>IF($A310="","",IF(Allocation!$N$3="VOL_EFF",$Q310,IF(Allocation!$N$3="VOL_CLASS",$R310,$S310)))</f>
        <v>364.08693500000004</v>
      </c>
      <c r="AG310">
        <f>IF($A310="","",IF(Allocation!$N$1="VOL_EFF",$Q310,IF(Allocation!$N$1="VOL_CLASS",$R310,$S310)))</f>
        <v>364.08693500000004</v>
      </c>
      <c r="AH310">
        <f>IF($A310="","",IF(Allocation!$N$1="VOL_EFF",$T310,IF(Allocation!$N$1="VOL_CLASS",$U310,$V310)))</f>
        <v>2494.3343489999993</v>
      </c>
      <c r="AI310">
        <f t="shared" si="88"/>
        <v>23678.098812</v>
      </c>
      <c r="AJ310">
        <f t="shared" si="89"/>
        <v>49088.791115</v>
      </c>
      <c r="AK310">
        <f t="shared" si="90"/>
        <v>14284.701702891845</v>
      </c>
      <c r="AL310">
        <f t="shared" si="91"/>
        <v>98497.809538999994</v>
      </c>
      <c r="AM310">
        <f t="shared" si="92"/>
        <v>46445.788964268853</v>
      </c>
      <c r="AN310">
        <f t="shared" si="93"/>
        <v>14054.193018283899</v>
      </c>
      <c r="AO310">
        <f>IF($A310="","",Allocation!CJ310)</f>
        <v>642526.80000000005</v>
      </c>
      <c r="AP310">
        <f>IF($A310="","",IF(Allocation!$N$2="VOL_EFF",$Q310,IF(Allocation!$N$2="VOL_CLASS",$R310,$S310)))</f>
        <v>2527447.039256</v>
      </c>
      <c r="AQ310">
        <f>IF($A310="","",IF(Allocation!$N$2="VOL_EFF",$T310,IF(Allocation!$N$2="VOL_CLASS",$U310,$V310)))</f>
        <v>18970805.476785999</v>
      </c>
      <c r="AR310">
        <f t="shared" si="94"/>
        <v>8809.1403485554256</v>
      </c>
      <c r="AS310" t="str">
        <f>IF($A310="","",$A310&amp;"|"&amp;Allocation!BG310)</f>
        <v>2027|V03</v>
      </c>
    </row>
    <row r="311" spans="1:45" x14ac:dyDescent="0.45">
      <c r="A311" t="str">
        <f>IF(Allocation!BI311="","",Allocation!BI311)</f>
        <v>2027</v>
      </c>
      <c r="B311" t="str">
        <f>IF(Allocation!BJ311="","",Allocation!BJ311)</f>
        <v>ISCOM_LIL</v>
      </c>
      <c r="C311" t="str">
        <f>IF(Allocation!BK311="","",Allocation!BK311)</f>
        <v>ISCOM</v>
      </c>
      <c r="D311" t="str">
        <f>IF(Allocation!BL311="","",Allocation!BL311)</f>
        <v>BAC_COM</v>
      </c>
      <c r="E311" t="str">
        <f>IF(Allocation!BM311="","",Allocation!BM311)</f>
        <v>B1</v>
      </c>
      <c r="F311" t="str">
        <f>IF(Allocation!BN311="","",Allocation!BN311)</f>
        <v>INIT</v>
      </c>
      <c r="G311">
        <f>IF(Allocation!BO311="","",Allocation!BO311)</f>
        <v>46.373803000000002</v>
      </c>
      <c r="H311">
        <f>IF(Allocation!BP311="","",Allocation!BP311)</f>
        <v>2</v>
      </c>
      <c r="I311">
        <f>IF(Allocation!BQ311="","",Allocation!BQ311)</f>
        <v>352860.58571700001</v>
      </c>
      <c r="J311">
        <f>IF(Allocation!CC311="","",Allocation!CC311)</f>
        <v>46.373803000000002</v>
      </c>
      <c r="K311">
        <f t="shared" si="76"/>
        <v>1200</v>
      </c>
      <c r="L311">
        <f t="shared" si="77"/>
        <v>234.24725700000002</v>
      </c>
      <c r="M311">
        <f t="shared" si="78"/>
        <v>10</v>
      </c>
      <c r="N311">
        <f t="shared" si="79"/>
        <v>1722442.8854760001</v>
      </c>
      <c r="O311">
        <f t="shared" si="80"/>
        <v>4800</v>
      </c>
      <c r="P311">
        <f t="shared" si="81"/>
        <v>91.727257000000009</v>
      </c>
      <c r="Q311">
        <f t="shared" si="82"/>
        <v>796.25063899999998</v>
      </c>
      <c r="R311">
        <f t="shared" si="83"/>
        <v>35</v>
      </c>
      <c r="S311">
        <f t="shared" si="84"/>
        <v>6176192.547890001</v>
      </c>
      <c r="T311">
        <f t="shared" si="85"/>
        <v>2494.3343489999993</v>
      </c>
      <c r="U311">
        <f t="shared" si="86"/>
        <v>111</v>
      </c>
      <c r="V311">
        <f t="shared" si="87"/>
        <v>18970805.476785999</v>
      </c>
      <c r="W311">
        <f>IF($A311="","",Allocation!CD311)</f>
        <v>118389.51343799999</v>
      </c>
      <c r="X311">
        <f>IF($A311="","",Allocation!CE311)</f>
        <v>307869.70735500002</v>
      </c>
      <c r="Y311">
        <f>IF($A311="","",Allocation!CF311)</f>
        <v>89031.652002000003</v>
      </c>
      <c r="Z311">
        <f>IF($A311="","",Allocation!CG311)</f>
        <v>23959</v>
      </c>
      <c r="AA311">
        <f>IF($A311="","",Allocation!CH311)</f>
        <v>714557.24751500005</v>
      </c>
      <c r="AB311">
        <f>IF($A311="","",Allocation!CI311)</f>
        <v>3092074.3478999999</v>
      </c>
      <c r="AC311">
        <f>IF($A311="","",IF(Allocation!$N$4="VOL_EFF",$G311,IF(Allocation!$N$4="VOL_CLASS",$H311,$I311)))</f>
        <v>2</v>
      </c>
      <c r="AD311">
        <f>IF($A311="","",IF(Allocation!$N$4="VOL_EFF",$L311,IF(Allocation!$N$4="VOL_CLASS",$M311,$N311)))</f>
        <v>10</v>
      </c>
      <c r="AE311">
        <f>IF($A311="","",IF(Allocation!$N$3="VOL_EFF",$L311,IF(Allocation!$N$3="VOL_CLASS",$M311,$N311)))</f>
        <v>234.24725700000002</v>
      </c>
      <c r="AF311">
        <f>IF($A311="","",IF(Allocation!$N$3="VOL_EFF",$Q311,IF(Allocation!$N$3="VOL_CLASS",$R311,$S311)))</f>
        <v>796.25063899999998</v>
      </c>
      <c r="AG311">
        <f>IF($A311="","",IF(Allocation!$N$1="VOL_EFF",$Q311,IF(Allocation!$N$1="VOL_CLASS",$R311,$S311)))</f>
        <v>796.25063899999998</v>
      </c>
      <c r="AH311">
        <f>IF($A311="","",IF(Allocation!$N$1="VOL_EFF",$T311,IF(Allocation!$N$1="VOL_CLASS",$U311,$V311)))</f>
        <v>2494.3343489999993</v>
      </c>
      <c r="AI311">
        <f t="shared" si="88"/>
        <v>29597.378359499999</v>
      </c>
      <c r="AJ311">
        <f t="shared" si="89"/>
        <v>76967.426838750005</v>
      </c>
      <c r="AK311">
        <f t="shared" si="90"/>
        <v>29738.304771457486</v>
      </c>
      <c r="AL311">
        <f t="shared" si="91"/>
        <v>142911.44950300001</v>
      </c>
      <c r="AM311">
        <f t="shared" si="92"/>
        <v>58076.411025331952</v>
      </c>
      <c r="AN311">
        <f t="shared" si="93"/>
        <v>3261.7985398800811</v>
      </c>
      <c r="AO311">
        <f>IF($A311="","",Allocation!CJ311)</f>
        <v>642526.80000000005</v>
      </c>
      <c r="AP311">
        <f>IF($A311="","",IF(Allocation!$N$2="VOL_EFF",$Q311,IF(Allocation!$N$2="VOL_CLASS",$R311,$S311)))</f>
        <v>6176192.547890001</v>
      </c>
      <c r="AQ311">
        <f>IF($A311="","",IF(Allocation!$N$2="VOL_EFF",$T311,IF(Allocation!$N$2="VOL_CLASS",$U311,$V311)))</f>
        <v>18970805.476785999</v>
      </c>
      <c r="AR311">
        <f t="shared" si="94"/>
        <v>12307.816679080455</v>
      </c>
      <c r="AS311" t="str">
        <f>IF($A311="","",$A311&amp;"|"&amp;Allocation!BG311)</f>
        <v>2027|V03</v>
      </c>
    </row>
    <row r="312" spans="1:45" x14ac:dyDescent="0.45">
      <c r="A312" t="str">
        <f>IF(Allocation!BI312="","",Allocation!BI312)</f>
        <v>2027</v>
      </c>
      <c r="B312" t="str">
        <f>IF(Allocation!BJ312="","",Allocation!BJ312)</f>
        <v>ISCOM_LIL</v>
      </c>
      <c r="C312" t="str">
        <f>IF(Allocation!BK312="","",Allocation!BK312)</f>
        <v>ISCOM</v>
      </c>
      <c r="D312" t="str">
        <f>IF(Allocation!BL312="","",Allocation!BL312)</f>
        <v>BAC_COM</v>
      </c>
      <c r="E312" t="str">
        <f>IF(Allocation!BM312="","",Allocation!BM312)</f>
        <v>B2</v>
      </c>
      <c r="F312" t="str">
        <f>IF(Allocation!BN312="","",Allocation!BN312)</f>
        <v>ALT</v>
      </c>
      <c r="G312">
        <f>IF(Allocation!BO312="","",Allocation!BO312)</f>
        <v>47.5</v>
      </c>
      <c r="H312">
        <f>IF(Allocation!BP312="","",Allocation!BP312)</f>
        <v>2</v>
      </c>
      <c r="I312">
        <f>IF(Allocation!BQ312="","",Allocation!BQ312)</f>
        <v>333344.55</v>
      </c>
      <c r="J312">
        <f>IF(Allocation!CC312="","",Allocation!CC312)</f>
        <v>0</v>
      </c>
      <c r="K312">
        <f t="shared" si="76"/>
        <v>960</v>
      </c>
      <c r="L312">
        <f t="shared" si="77"/>
        <v>234.24725700000002</v>
      </c>
      <c r="M312">
        <f t="shared" si="78"/>
        <v>10</v>
      </c>
      <c r="N312">
        <f t="shared" si="79"/>
        <v>1722442.8854760001</v>
      </c>
      <c r="O312">
        <f t="shared" si="80"/>
        <v>4800</v>
      </c>
      <c r="P312">
        <f t="shared" si="81"/>
        <v>91.727257000000009</v>
      </c>
      <c r="Q312">
        <f t="shared" si="82"/>
        <v>796.25063899999998</v>
      </c>
      <c r="R312">
        <f t="shared" si="83"/>
        <v>35</v>
      </c>
      <c r="S312">
        <f t="shared" si="84"/>
        <v>6176192.547890001</v>
      </c>
      <c r="T312">
        <f t="shared" si="85"/>
        <v>2494.3343489999993</v>
      </c>
      <c r="U312">
        <f t="shared" si="86"/>
        <v>111</v>
      </c>
      <c r="V312">
        <f t="shared" si="87"/>
        <v>18970805.476785999</v>
      </c>
      <c r="W312">
        <f>IF($A312="","",Allocation!CD312)</f>
        <v>118389.51343799999</v>
      </c>
      <c r="X312">
        <f>IF($A312="","",Allocation!CE312)</f>
        <v>307869.70735500002</v>
      </c>
      <c r="Y312">
        <f>IF($A312="","",Allocation!CF312)</f>
        <v>89031.652002000003</v>
      </c>
      <c r="Z312">
        <f>IF($A312="","",Allocation!CG312)</f>
        <v>23959</v>
      </c>
      <c r="AA312">
        <f>IF($A312="","",Allocation!CH312)</f>
        <v>714557.24751500005</v>
      </c>
      <c r="AB312">
        <f>IF($A312="","",Allocation!CI312)</f>
        <v>3092074.3478999999</v>
      </c>
      <c r="AC312">
        <f>IF($A312="","",IF(Allocation!$N$4="VOL_EFF",$G312,IF(Allocation!$N$4="VOL_CLASS",$H312,$I312)))</f>
        <v>2</v>
      </c>
      <c r="AD312">
        <f>IF($A312="","",IF(Allocation!$N$4="VOL_EFF",$L312,IF(Allocation!$N$4="VOL_CLASS",$M312,$N312)))</f>
        <v>10</v>
      </c>
      <c r="AE312">
        <f>IF($A312="","",IF(Allocation!$N$3="VOL_EFF",$L312,IF(Allocation!$N$3="VOL_CLASS",$M312,$N312)))</f>
        <v>234.24725700000002</v>
      </c>
      <c r="AF312">
        <f>IF($A312="","",IF(Allocation!$N$3="VOL_EFF",$Q312,IF(Allocation!$N$3="VOL_CLASS",$R312,$S312)))</f>
        <v>796.25063899999998</v>
      </c>
      <c r="AG312">
        <f>IF($A312="","",IF(Allocation!$N$1="VOL_EFF",$Q312,IF(Allocation!$N$1="VOL_CLASS",$R312,$S312)))</f>
        <v>796.25063899999998</v>
      </c>
      <c r="AH312">
        <f>IF($A312="","",IF(Allocation!$N$1="VOL_EFF",$T312,IF(Allocation!$N$1="VOL_CLASS",$U312,$V312)))</f>
        <v>2494.3343489999993</v>
      </c>
      <c r="AI312">
        <f t="shared" si="88"/>
        <v>23677.902687599999</v>
      </c>
      <c r="AJ312">
        <f t="shared" si="89"/>
        <v>61573.941471000006</v>
      </c>
      <c r="AK312">
        <f t="shared" si="90"/>
        <v>18053.588008908893</v>
      </c>
      <c r="AL312">
        <f t="shared" si="91"/>
        <v>142911.44950300001</v>
      </c>
      <c r="AM312">
        <f t="shared" si="92"/>
        <v>58076.411025331952</v>
      </c>
      <c r="AN312">
        <f t="shared" si="93"/>
        <v>16743.440625078685</v>
      </c>
      <c r="AO312">
        <f>IF($A312="","",Allocation!CJ312)</f>
        <v>642526.80000000005</v>
      </c>
      <c r="AP312">
        <f>IF($A312="","",IF(Allocation!$N$2="VOL_EFF",$Q312,IF(Allocation!$N$2="VOL_CLASS",$R312,$S312)))</f>
        <v>6176192.547890001</v>
      </c>
      <c r="AQ312">
        <f>IF($A312="","",IF(Allocation!$N$2="VOL_EFF",$T312,IF(Allocation!$N$2="VOL_CLASS",$U312,$V312)))</f>
        <v>18970805.476785999</v>
      </c>
      <c r="AR312">
        <f t="shared" si="94"/>
        <v>12307.816679080455</v>
      </c>
      <c r="AS312" t="str">
        <f>IF($A312="","",$A312&amp;"|"&amp;Allocation!BG312)</f>
        <v>2027|V03</v>
      </c>
    </row>
    <row r="313" spans="1:45" x14ac:dyDescent="0.45">
      <c r="A313" t="str">
        <f>IF(Allocation!BI313="","",Allocation!BI313)</f>
        <v>2027</v>
      </c>
      <c r="B313" t="str">
        <f>IF(Allocation!BJ313="","",Allocation!BJ313)</f>
        <v>ISCOM_LIL</v>
      </c>
      <c r="C313" t="str">
        <f>IF(Allocation!BK313="","",Allocation!BK313)</f>
        <v>ISCOM</v>
      </c>
      <c r="D313" t="str">
        <f>IF(Allocation!BL313="","",Allocation!BL313)</f>
        <v>BAC_COM</v>
      </c>
      <c r="E313" t="str">
        <f>IF(Allocation!BM313="","",Allocation!BM313)</f>
        <v>B3</v>
      </c>
      <c r="F313" t="str">
        <f>IF(Allocation!BN313="","",Allocation!BN313)</f>
        <v>ALT</v>
      </c>
      <c r="G313">
        <f>IF(Allocation!BO313="","",Allocation!BO313)</f>
        <v>46.52</v>
      </c>
      <c r="H313">
        <f>IF(Allocation!BP313="","",Allocation!BP313)</f>
        <v>2</v>
      </c>
      <c r="I313">
        <f>IF(Allocation!BQ313="","",Allocation!BQ313)</f>
        <v>326467.12560000003</v>
      </c>
      <c r="J313">
        <f>IF(Allocation!CC313="","",Allocation!CC313)</f>
        <v>0</v>
      </c>
      <c r="K313">
        <f t="shared" si="76"/>
        <v>960</v>
      </c>
      <c r="L313">
        <f t="shared" si="77"/>
        <v>234.24725700000002</v>
      </c>
      <c r="M313">
        <f t="shared" si="78"/>
        <v>10</v>
      </c>
      <c r="N313">
        <f t="shared" si="79"/>
        <v>1722442.8854760001</v>
      </c>
      <c r="O313">
        <f t="shared" si="80"/>
        <v>4800</v>
      </c>
      <c r="P313">
        <f t="shared" si="81"/>
        <v>91.727257000000009</v>
      </c>
      <c r="Q313">
        <f t="shared" si="82"/>
        <v>796.25063899999998</v>
      </c>
      <c r="R313">
        <f t="shared" si="83"/>
        <v>35</v>
      </c>
      <c r="S313">
        <f t="shared" si="84"/>
        <v>6176192.547890001</v>
      </c>
      <c r="T313">
        <f t="shared" si="85"/>
        <v>2494.3343489999993</v>
      </c>
      <c r="U313">
        <f t="shared" si="86"/>
        <v>111</v>
      </c>
      <c r="V313">
        <f t="shared" si="87"/>
        <v>18970805.476785999</v>
      </c>
      <c r="W313">
        <f>IF($A313="","",Allocation!CD313)</f>
        <v>118389.51343799999</v>
      </c>
      <c r="X313">
        <f>IF($A313="","",Allocation!CE313)</f>
        <v>307869.70735500002</v>
      </c>
      <c r="Y313">
        <f>IF($A313="","",Allocation!CF313)</f>
        <v>89031.652002000003</v>
      </c>
      <c r="Z313">
        <f>IF($A313="","",Allocation!CG313)</f>
        <v>23959</v>
      </c>
      <c r="AA313">
        <f>IF($A313="","",Allocation!CH313)</f>
        <v>714557.24751500005</v>
      </c>
      <c r="AB313">
        <f>IF($A313="","",Allocation!CI313)</f>
        <v>3092074.3478999999</v>
      </c>
      <c r="AC313">
        <f>IF($A313="","",IF(Allocation!$N$4="VOL_EFF",$G313,IF(Allocation!$N$4="VOL_CLASS",$H313,$I313)))</f>
        <v>2</v>
      </c>
      <c r="AD313">
        <f>IF($A313="","",IF(Allocation!$N$4="VOL_EFF",$L313,IF(Allocation!$N$4="VOL_CLASS",$M313,$N313)))</f>
        <v>10</v>
      </c>
      <c r="AE313">
        <f>IF($A313="","",IF(Allocation!$N$3="VOL_EFF",$L313,IF(Allocation!$N$3="VOL_CLASS",$M313,$N313)))</f>
        <v>234.24725700000002</v>
      </c>
      <c r="AF313">
        <f>IF($A313="","",IF(Allocation!$N$3="VOL_EFF",$Q313,IF(Allocation!$N$3="VOL_CLASS",$R313,$S313)))</f>
        <v>796.25063899999998</v>
      </c>
      <c r="AG313">
        <f>IF($A313="","",IF(Allocation!$N$1="VOL_EFF",$Q313,IF(Allocation!$N$1="VOL_CLASS",$R313,$S313)))</f>
        <v>796.25063899999998</v>
      </c>
      <c r="AH313">
        <f>IF($A313="","",IF(Allocation!$N$1="VOL_EFF",$T313,IF(Allocation!$N$1="VOL_CLASS",$U313,$V313)))</f>
        <v>2494.3343489999993</v>
      </c>
      <c r="AI313">
        <f t="shared" si="88"/>
        <v>23677.902687599999</v>
      </c>
      <c r="AJ313">
        <f t="shared" si="89"/>
        <v>61573.941471000006</v>
      </c>
      <c r="AK313">
        <f t="shared" si="90"/>
        <v>17681.113982619827</v>
      </c>
      <c r="AL313">
        <f t="shared" si="91"/>
        <v>142911.44950300001</v>
      </c>
      <c r="AM313">
        <f t="shared" si="92"/>
        <v>58076.411025331952</v>
      </c>
      <c r="AN313">
        <f t="shared" si="93"/>
        <v>10238.490251367737</v>
      </c>
      <c r="AO313">
        <f>IF($A313="","",Allocation!CJ313)</f>
        <v>642526.80000000005</v>
      </c>
      <c r="AP313">
        <f>IF($A313="","",IF(Allocation!$N$2="VOL_EFF",$Q313,IF(Allocation!$N$2="VOL_CLASS",$R313,$S313)))</f>
        <v>6176192.547890001</v>
      </c>
      <c r="AQ313">
        <f>IF($A313="","",IF(Allocation!$N$2="VOL_EFF",$T313,IF(Allocation!$N$2="VOL_CLASS",$U313,$V313)))</f>
        <v>18970805.476785999</v>
      </c>
      <c r="AR313">
        <f t="shared" si="94"/>
        <v>12307.816679080455</v>
      </c>
      <c r="AS313" t="str">
        <f>IF($A313="","",$A313&amp;"|"&amp;Allocation!BG313)</f>
        <v>2027|V03</v>
      </c>
    </row>
    <row r="314" spans="1:45" x14ac:dyDescent="0.45">
      <c r="A314" t="str">
        <f>IF(Allocation!BI314="","",Allocation!BI314)</f>
        <v>2027</v>
      </c>
      <c r="B314" t="str">
        <f>IF(Allocation!BJ314="","",Allocation!BJ314)</f>
        <v>ISCOM_LIL</v>
      </c>
      <c r="C314" t="str">
        <f>IF(Allocation!BK314="","",Allocation!BK314)</f>
        <v>ISCOM</v>
      </c>
      <c r="D314" t="str">
        <f>IF(Allocation!BL314="","",Allocation!BL314)</f>
        <v>MAS_COM</v>
      </c>
      <c r="E314" t="str">
        <f>IF(Allocation!BM314="","",Allocation!BM314)</f>
        <v>M1</v>
      </c>
      <c r="F314" t="str">
        <f>IF(Allocation!BN314="","",Allocation!BN314)</f>
        <v>ALT</v>
      </c>
      <c r="G314">
        <f>IF(Allocation!BO314="","",Allocation!BO314)</f>
        <v>45.353453999999999</v>
      </c>
      <c r="H314">
        <f>IF(Allocation!BP314="","",Allocation!BP314)</f>
        <v>2</v>
      </c>
      <c r="I314">
        <f>IF(Allocation!BQ314="","",Allocation!BQ314)</f>
        <v>345096.69915900001</v>
      </c>
      <c r="J314">
        <f>IF(Allocation!CC314="","",Allocation!CC314)</f>
        <v>45.353453999999999</v>
      </c>
      <c r="K314">
        <f t="shared" si="76"/>
        <v>840</v>
      </c>
      <c r="L314">
        <f t="shared" si="77"/>
        <v>234.24725700000002</v>
      </c>
      <c r="M314">
        <f t="shared" si="78"/>
        <v>10</v>
      </c>
      <c r="N314">
        <f t="shared" si="79"/>
        <v>1722442.8854760001</v>
      </c>
      <c r="O314">
        <f t="shared" si="80"/>
        <v>4800</v>
      </c>
      <c r="P314">
        <f t="shared" si="81"/>
        <v>91.727257000000009</v>
      </c>
      <c r="Q314">
        <f t="shared" si="82"/>
        <v>796.25063899999998</v>
      </c>
      <c r="R314">
        <f t="shared" si="83"/>
        <v>35</v>
      </c>
      <c r="S314">
        <f t="shared" si="84"/>
        <v>6176192.547890001</v>
      </c>
      <c r="T314">
        <f t="shared" si="85"/>
        <v>2494.3343489999993</v>
      </c>
      <c r="U314">
        <f t="shared" si="86"/>
        <v>111</v>
      </c>
      <c r="V314">
        <f t="shared" si="87"/>
        <v>18970805.476785999</v>
      </c>
      <c r="W314">
        <f>IF($A314="","",Allocation!CD314)</f>
        <v>118389.51343799999</v>
      </c>
      <c r="X314">
        <f>IF($A314="","",Allocation!CE314)</f>
        <v>307869.70735500002</v>
      </c>
      <c r="Y314">
        <f>IF($A314="","",Allocation!CF314)</f>
        <v>89031.652002000003</v>
      </c>
      <c r="Z314">
        <f>IF($A314="","",Allocation!CG314)</f>
        <v>23959</v>
      </c>
      <c r="AA314">
        <f>IF($A314="","",Allocation!CH314)</f>
        <v>714557.24751500005</v>
      </c>
      <c r="AB314">
        <f>IF($A314="","",Allocation!CI314)</f>
        <v>3092074.3478999999</v>
      </c>
      <c r="AC314">
        <f>IF($A314="","",IF(Allocation!$N$4="VOL_EFF",$G314,IF(Allocation!$N$4="VOL_CLASS",$H314,$I314)))</f>
        <v>2</v>
      </c>
      <c r="AD314">
        <f>IF($A314="","",IF(Allocation!$N$4="VOL_EFF",$L314,IF(Allocation!$N$4="VOL_CLASS",$M314,$N314)))</f>
        <v>10</v>
      </c>
      <c r="AE314">
        <f>IF($A314="","",IF(Allocation!$N$3="VOL_EFF",$L314,IF(Allocation!$N$3="VOL_CLASS",$M314,$N314)))</f>
        <v>234.24725700000002</v>
      </c>
      <c r="AF314">
        <f>IF($A314="","",IF(Allocation!$N$3="VOL_EFF",$Q314,IF(Allocation!$N$3="VOL_CLASS",$R314,$S314)))</f>
        <v>796.25063899999998</v>
      </c>
      <c r="AG314">
        <f>IF($A314="","",IF(Allocation!$N$1="VOL_EFF",$Q314,IF(Allocation!$N$1="VOL_CLASS",$R314,$S314)))</f>
        <v>796.25063899999998</v>
      </c>
      <c r="AH314">
        <f>IF($A314="","",IF(Allocation!$N$1="VOL_EFF",$T314,IF(Allocation!$N$1="VOL_CLASS",$U314,$V314)))</f>
        <v>2494.3343489999993</v>
      </c>
      <c r="AI314">
        <f t="shared" si="88"/>
        <v>20718.164851649999</v>
      </c>
      <c r="AJ314">
        <f t="shared" si="89"/>
        <v>53877.198787125002</v>
      </c>
      <c r="AK314">
        <f t="shared" si="90"/>
        <v>29083.981693075239</v>
      </c>
      <c r="AL314">
        <f t="shared" si="91"/>
        <v>142911.44950300001</v>
      </c>
      <c r="AM314">
        <f t="shared" si="92"/>
        <v>58076.411025331952</v>
      </c>
      <c r="AN314">
        <f t="shared" si="93"/>
        <v>28121.676619737351</v>
      </c>
      <c r="AO314">
        <f>IF($A314="","",Allocation!CJ314)</f>
        <v>642526.80000000005</v>
      </c>
      <c r="AP314">
        <f>IF($A314="","",IF(Allocation!$N$2="VOL_EFF",$Q314,IF(Allocation!$N$2="VOL_CLASS",$R314,$S314)))</f>
        <v>6176192.547890001</v>
      </c>
      <c r="AQ314">
        <f>IF($A314="","",IF(Allocation!$N$2="VOL_EFF",$T314,IF(Allocation!$N$2="VOL_CLASS",$U314,$V314)))</f>
        <v>18970805.476785999</v>
      </c>
      <c r="AR314">
        <f t="shared" si="94"/>
        <v>12307.816679080455</v>
      </c>
      <c r="AS314" t="str">
        <f>IF($A314="","",$A314&amp;"|"&amp;Allocation!BG314)</f>
        <v>2027|V03</v>
      </c>
    </row>
    <row r="315" spans="1:45" x14ac:dyDescent="0.45">
      <c r="A315" t="str">
        <f>IF(Allocation!BI315="","",Allocation!BI315)</f>
        <v>2027</v>
      </c>
      <c r="B315" t="str">
        <f>IF(Allocation!BJ315="","",Allocation!BJ315)</f>
        <v>ISCOM_LIL</v>
      </c>
      <c r="C315" t="str">
        <f>IF(Allocation!BK315="","",Allocation!BK315)</f>
        <v>ISCOM</v>
      </c>
      <c r="D315" t="str">
        <f>IF(Allocation!BL315="","",Allocation!BL315)</f>
        <v>MAS_COM</v>
      </c>
      <c r="E315" t="str">
        <f>IF(Allocation!BM315="","",Allocation!BM315)</f>
        <v>M2</v>
      </c>
      <c r="F315" t="str">
        <f>IF(Allocation!BN315="","",Allocation!BN315)</f>
        <v>ALT</v>
      </c>
      <c r="G315">
        <f>IF(Allocation!BO315="","",Allocation!BO315)</f>
        <v>48.5</v>
      </c>
      <c r="H315">
        <f>IF(Allocation!BP315="","",Allocation!BP315)</f>
        <v>2</v>
      </c>
      <c r="I315">
        <f>IF(Allocation!BQ315="","",Allocation!BQ315)</f>
        <v>364673.92499999999</v>
      </c>
      <c r="J315">
        <f>IF(Allocation!CC315="","",Allocation!CC315)</f>
        <v>0</v>
      </c>
      <c r="K315">
        <f t="shared" si="76"/>
        <v>840</v>
      </c>
      <c r="L315">
        <f t="shared" si="77"/>
        <v>234.24725700000002</v>
      </c>
      <c r="M315">
        <f t="shared" si="78"/>
        <v>10</v>
      </c>
      <c r="N315">
        <f t="shared" si="79"/>
        <v>1722442.8854760001</v>
      </c>
      <c r="O315">
        <f t="shared" si="80"/>
        <v>4800</v>
      </c>
      <c r="P315">
        <f t="shared" si="81"/>
        <v>91.727257000000009</v>
      </c>
      <c r="Q315">
        <f t="shared" si="82"/>
        <v>796.25063899999998</v>
      </c>
      <c r="R315">
        <f t="shared" si="83"/>
        <v>35</v>
      </c>
      <c r="S315">
        <f t="shared" si="84"/>
        <v>6176192.547890001</v>
      </c>
      <c r="T315">
        <f t="shared" si="85"/>
        <v>2494.3343489999993</v>
      </c>
      <c r="U315">
        <f t="shared" si="86"/>
        <v>111</v>
      </c>
      <c r="V315">
        <f t="shared" si="87"/>
        <v>18970805.476785999</v>
      </c>
      <c r="W315">
        <f>IF($A315="","",Allocation!CD315)</f>
        <v>118389.51343799999</v>
      </c>
      <c r="X315">
        <f>IF($A315="","",Allocation!CE315)</f>
        <v>307869.70735500002</v>
      </c>
      <c r="Y315">
        <f>IF($A315="","",Allocation!CF315)</f>
        <v>89031.652002000003</v>
      </c>
      <c r="Z315">
        <f>IF($A315="","",Allocation!CG315)</f>
        <v>23959</v>
      </c>
      <c r="AA315">
        <f>IF($A315="","",Allocation!CH315)</f>
        <v>714557.24751500005</v>
      </c>
      <c r="AB315">
        <f>IF($A315="","",Allocation!CI315)</f>
        <v>3092074.3478999999</v>
      </c>
      <c r="AC315">
        <f>IF($A315="","",IF(Allocation!$N$4="VOL_EFF",$G315,IF(Allocation!$N$4="VOL_CLASS",$H315,$I315)))</f>
        <v>2</v>
      </c>
      <c r="AD315">
        <f>IF($A315="","",IF(Allocation!$N$4="VOL_EFF",$L315,IF(Allocation!$N$4="VOL_CLASS",$M315,$N315)))</f>
        <v>10</v>
      </c>
      <c r="AE315">
        <f>IF($A315="","",IF(Allocation!$N$3="VOL_EFF",$L315,IF(Allocation!$N$3="VOL_CLASS",$M315,$N315)))</f>
        <v>234.24725700000002</v>
      </c>
      <c r="AF315">
        <f>IF($A315="","",IF(Allocation!$N$3="VOL_EFF",$Q315,IF(Allocation!$N$3="VOL_CLASS",$R315,$S315)))</f>
        <v>796.25063899999998</v>
      </c>
      <c r="AG315">
        <f>IF($A315="","",IF(Allocation!$N$1="VOL_EFF",$Q315,IF(Allocation!$N$1="VOL_CLASS",$R315,$S315)))</f>
        <v>796.25063899999998</v>
      </c>
      <c r="AH315">
        <f>IF($A315="","",IF(Allocation!$N$1="VOL_EFF",$T315,IF(Allocation!$N$1="VOL_CLASS",$U315,$V315)))</f>
        <v>2494.3343489999993</v>
      </c>
      <c r="AI315">
        <f t="shared" si="88"/>
        <v>20718.164851649999</v>
      </c>
      <c r="AJ315">
        <f t="shared" si="89"/>
        <v>53877.198787125002</v>
      </c>
      <c r="AK315">
        <f t="shared" si="90"/>
        <v>18433.663545938554</v>
      </c>
      <c r="AL315">
        <f t="shared" si="91"/>
        <v>142911.44950300001</v>
      </c>
      <c r="AM315">
        <f t="shared" si="92"/>
        <v>58076.411025331952</v>
      </c>
      <c r="AN315">
        <f t="shared" si="93"/>
        <v>58349.220607873984</v>
      </c>
      <c r="AO315">
        <f>IF($A315="","",Allocation!CJ315)</f>
        <v>642526.80000000005</v>
      </c>
      <c r="AP315">
        <f>IF($A315="","",IF(Allocation!$N$2="VOL_EFF",$Q315,IF(Allocation!$N$2="VOL_CLASS",$R315,$S315)))</f>
        <v>6176192.547890001</v>
      </c>
      <c r="AQ315">
        <f>IF($A315="","",IF(Allocation!$N$2="VOL_EFF",$T315,IF(Allocation!$N$2="VOL_CLASS",$U315,$V315)))</f>
        <v>18970805.476785999</v>
      </c>
      <c r="AR315">
        <f t="shared" si="94"/>
        <v>12307.816679080455</v>
      </c>
      <c r="AS315" t="str">
        <f>IF($A315="","",$A315&amp;"|"&amp;Allocation!BG315)</f>
        <v>2027|V03</v>
      </c>
    </row>
    <row r="316" spans="1:45" x14ac:dyDescent="0.45">
      <c r="A316" t="str">
        <f>IF(Allocation!BI316="","",Allocation!BI316)</f>
        <v>2027</v>
      </c>
      <c r="B316" t="str">
        <f>IF(Allocation!BJ316="","",Allocation!BJ316)</f>
        <v>ISCOM_PAR</v>
      </c>
      <c r="C316" t="str">
        <f>IF(Allocation!BK316="","",Allocation!BK316)</f>
        <v>ISCOM</v>
      </c>
      <c r="D316" t="str">
        <f>IF(Allocation!BL316="","",Allocation!BL316)</f>
        <v>BAC_COM</v>
      </c>
      <c r="E316" t="str">
        <f>IF(Allocation!BM316="","",Allocation!BM316)</f>
        <v>B1</v>
      </c>
      <c r="F316" t="str">
        <f>IF(Allocation!BN316="","",Allocation!BN316)</f>
        <v>INIT</v>
      </c>
      <c r="G316">
        <f>IF(Allocation!BO316="","",Allocation!BO316)</f>
        <v>66.905471000000006</v>
      </c>
      <c r="H316">
        <f>IF(Allocation!BP316="","",Allocation!BP316)</f>
        <v>3</v>
      </c>
      <c r="I316">
        <f>IF(Allocation!BQ316="","",Allocation!BQ316)</f>
        <v>580953.58578700002</v>
      </c>
      <c r="J316">
        <f>IF(Allocation!CC316="","",Allocation!CC316)</f>
        <v>66.905471000000006</v>
      </c>
      <c r="K316">
        <f t="shared" si="76"/>
        <v>1800</v>
      </c>
      <c r="L316">
        <f t="shared" si="77"/>
        <v>340.20320200000003</v>
      </c>
      <c r="M316">
        <f t="shared" si="78"/>
        <v>15</v>
      </c>
      <c r="N316">
        <f t="shared" si="79"/>
        <v>2856528.2132059997</v>
      </c>
      <c r="O316">
        <f t="shared" si="80"/>
        <v>7200</v>
      </c>
      <c r="P316">
        <f t="shared" si="81"/>
        <v>132.34320200000002</v>
      </c>
      <c r="Q316">
        <f t="shared" si="82"/>
        <v>796.25063899999998</v>
      </c>
      <c r="R316">
        <f t="shared" si="83"/>
        <v>35</v>
      </c>
      <c r="S316">
        <f t="shared" si="84"/>
        <v>6176192.547890001</v>
      </c>
      <c r="T316">
        <f t="shared" si="85"/>
        <v>2494.3343489999993</v>
      </c>
      <c r="U316">
        <f t="shared" si="86"/>
        <v>111</v>
      </c>
      <c r="V316">
        <f t="shared" si="87"/>
        <v>18970805.476785999</v>
      </c>
      <c r="W316">
        <f>IF($A316="","",Allocation!CD316)</f>
        <v>177584.76046799999</v>
      </c>
      <c r="X316">
        <f>IF($A316="","",Allocation!CE316)</f>
        <v>527826.59412000002</v>
      </c>
      <c r="Y316">
        <f>IF($A316="","",Allocation!CF316)</f>
        <v>129169.49108399999</v>
      </c>
      <c r="Z316">
        <f>IF($A316="","",Allocation!CG316)</f>
        <v>57760</v>
      </c>
      <c r="AA316">
        <f>IF($A316="","",Allocation!CH316)</f>
        <v>1197973.690075</v>
      </c>
      <c r="AB316">
        <f>IF($A316="","",Allocation!CI316)</f>
        <v>3092074.3478999999</v>
      </c>
      <c r="AC316">
        <f>IF($A316="","",IF(Allocation!$N$4="VOL_EFF",$G316,IF(Allocation!$N$4="VOL_CLASS",$H316,$I316)))</f>
        <v>3</v>
      </c>
      <c r="AD316">
        <f>IF($A316="","",IF(Allocation!$N$4="VOL_EFF",$L316,IF(Allocation!$N$4="VOL_CLASS",$M316,$N316)))</f>
        <v>15</v>
      </c>
      <c r="AE316">
        <f>IF($A316="","",IF(Allocation!$N$3="VOL_EFF",$L316,IF(Allocation!$N$3="VOL_CLASS",$M316,$N316)))</f>
        <v>340.20320200000003</v>
      </c>
      <c r="AF316">
        <f>IF($A316="","",IF(Allocation!$N$3="VOL_EFF",$Q316,IF(Allocation!$N$3="VOL_CLASS",$R316,$S316)))</f>
        <v>796.25063899999998</v>
      </c>
      <c r="AG316">
        <f>IF($A316="","",IF(Allocation!$N$1="VOL_EFF",$Q316,IF(Allocation!$N$1="VOL_CLASS",$R316,$S316)))</f>
        <v>796.25063899999998</v>
      </c>
      <c r="AH316">
        <f>IF($A316="","",IF(Allocation!$N$1="VOL_EFF",$T316,IF(Allocation!$N$1="VOL_CLASS",$U316,$V316)))</f>
        <v>2494.3343489999993</v>
      </c>
      <c r="AI316">
        <f t="shared" si="88"/>
        <v>44396.190116999998</v>
      </c>
      <c r="AJ316">
        <f t="shared" si="89"/>
        <v>131956.64853000001</v>
      </c>
      <c r="AK316">
        <f t="shared" si="90"/>
        <v>54603.184257162182</v>
      </c>
      <c r="AL316">
        <f t="shared" si="91"/>
        <v>239594.73801500001</v>
      </c>
      <c r="AM316">
        <f t="shared" si="92"/>
        <v>84345.837148846666</v>
      </c>
      <c r="AN316">
        <f t="shared" si="93"/>
        <v>8182.0349981907057</v>
      </c>
      <c r="AO316">
        <f>IF($A316="","",Allocation!CJ316)</f>
        <v>642526.80000000005</v>
      </c>
      <c r="AP316">
        <f>IF($A316="","",IF(Allocation!$N$2="VOL_EFF",$Q316,IF(Allocation!$N$2="VOL_CLASS",$R316,$S316)))</f>
        <v>6176192.547890001</v>
      </c>
      <c r="AQ316">
        <f>IF($A316="","",IF(Allocation!$N$2="VOL_EFF",$T316,IF(Allocation!$N$2="VOL_CLASS",$U316,$V316)))</f>
        <v>18970805.476785999</v>
      </c>
      <c r="AR316">
        <f t="shared" si="94"/>
        <v>17874.952720800389</v>
      </c>
      <c r="AS316" t="str">
        <f>IF($A316="","",$A316&amp;"|"&amp;Allocation!BG316)</f>
        <v>2027|V03</v>
      </c>
    </row>
    <row r="317" spans="1:45" x14ac:dyDescent="0.45">
      <c r="A317" t="str">
        <f>IF(Allocation!BI317="","",Allocation!BI317)</f>
        <v>2027</v>
      </c>
      <c r="B317" t="str">
        <f>IF(Allocation!BJ317="","",Allocation!BJ317)</f>
        <v>ISCOM_PAR</v>
      </c>
      <c r="C317" t="str">
        <f>IF(Allocation!BK317="","",Allocation!BK317)</f>
        <v>ISCOM</v>
      </c>
      <c r="D317" t="str">
        <f>IF(Allocation!BL317="","",Allocation!BL317)</f>
        <v>BAC_COM</v>
      </c>
      <c r="E317" t="str">
        <f>IF(Allocation!BM317="","",Allocation!BM317)</f>
        <v>B2</v>
      </c>
      <c r="F317" t="str">
        <f>IF(Allocation!BN317="","",Allocation!BN317)</f>
        <v>ALT</v>
      </c>
      <c r="G317">
        <f>IF(Allocation!BO317="","",Allocation!BO317)</f>
        <v>69.28</v>
      </c>
      <c r="H317">
        <f>IF(Allocation!BP317="","",Allocation!BP317)</f>
        <v>3</v>
      </c>
      <c r="I317">
        <f>IF(Allocation!BQ317="","",Allocation!BQ317)</f>
        <v>555647.7696</v>
      </c>
      <c r="J317">
        <f>IF(Allocation!CC317="","",Allocation!CC317)</f>
        <v>0</v>
      </c>
      <c r="K317">
        <f t="shared" si="76"/>
        <v>1440</v>
      </c>
      <c r="L317">
        <f t="shared" si="77"/>
        <v>340.20320200000003</v>
      </c>
      <c r="M317">
        <f t="shared" si="78"/>
        <v>15</v>
      </c>
      <c r="N317">
        <f t="shared" si="79"/>
        <v>2856528.2132059997</v>
      </c>
      <c r="O317">
        <f t="shared" si="80"/>
        <v>7200</v>
      </c>
      <c r="P317">
        <f t="shared" si="81"/>
        <v>132.34320200000002</v>
      </c>
      <c r="Q317">
        <f t="shared" si="82"/>
        <v>796.25063899999998</v>
      </c>
      <c r="R317">
        <f t="shared" si="83"/>
        <v>35</v>
      </c>
      <c r="S317">
        <f t="shared" si="84"/>
        <v>6176192.547890001</v>
      </c>
      <c r="T317">
        <f t="shared" si="85"/>
        <v>2494.3343489999993</v>
      </c>
      <c r="U317">
        <f t="shared" si="86"/>
        <v>111</v>
      </c>
      <c r="V317">
        <f t="shared" si="87"/>
        <v>18970805.476785999</v>
      </c>
      <c r="W317">
        <f>IF($A317="","",Allocation!CD317)</f>
        <v>177584.76046799999</v>
      </c>
      <c r="X317">
        <f>IF($A317="","",Allocation!CE317)</f>
        <v>527826.59412000002</v>
      </c>
      <c r="Y317">
        <f>IF($A317="","",Allocation!CF317)</f>
        <v>129169.49108399999</v>
      </c>
      <c r="Z317">
        <f>IF($A317="","",Allocation!CG317)</f>
        <v>57760</v>
      </c>
      <c r="AA317">
        <f>IF($A317="","",Allocation!CH317)</f>
        <v>1197973.690075</v>
      </c>
      <c r="AB317">
        <f>IF($A317="","",Allocation!CI317)</f>
        <v>3092074.3478999999</v>
      </c>
      <c r="AC317">
        <f>IF($A317="","",IF(Allocation!$N$4="VOL_EFF",$G317,IF(Allocation!$N$4="VOL_CLASS",$H317,$I317)))</f>
        <v>3</v>
      </c>
      <c r="AD317">
        <f>IF($A317="","",IF(Allocation!$N$4="VOL_EFF",$L317,IF(Allocation!$N$4="VOL_CLASS",$M317,$N317)))</f>
        <v>15</v>
      </c>
      <c r="AE317">
        <f>IF($A317="","",IF(Allocation!$N$3="VOL_EFF",$L317,IF(Allocation!$N$3="VOL_CLASS",$M317,$N317)))</f>
        <v>340.20320200000003</v>
      </c>
      <c r="AF317">
        <f>IF($A317="","",IF(Allocation!$N$3="VOL_EFF",$Q317,IF(Allocation!$N$3="VOL_CLASS",$R317,$S317)))</f>
        <v>796.25063899999998</v>
      </c>
      <c r="AG317">
        <f>IF($A317="","",IF(Allocation!$N$1="VOL_EFF",$Q317,IF(Allocation!$N$1="VOL_CLASS",$R317,$S317)))</f>
        <v>796.25063899999998</v>
      </c>
      <c r="AH317">
        <f>IF($A317="","",IF(Allocation!$N$1="VOL_EFF",$T317,IF(Allocation!$N$1="VOL_CLASS",$U317,$V317)))</f>
        <v>2494.3343489999993</v>
      </c>
      <c r="AI317">
        <f t="shared" si="88"/>
        <v>35516.952093599997</v>
      </c>
      <c r="AJ317">
        <f t="shared" si="89"/>
        <v>105565.31882400002</v>
      </c>
      <c r="AK317">
        <f t="shared" si="90"/>
        <v>26304.462420372867</v>
      </c>
      <c r="AL317">
        <f t="shared" si="91"/>
        <v>239594.73801500001</v>
      </c>
      <c r="AM317">
        <f t="shared" si="92"/>
        <v>84345.837148846666</v>
      </c>
      <c r="AN317">
        <f t="shared" si="93"/>
        <v>46445.508377380029</v>
      </c>
      <c r="AO317">
        <f>IF($A317="","",Allocation!CJ317)</f>
        <v>642526.80000000005</v>
      </c>
      <c r="AP317">
        <f>IF($A317="","",IF(Allocation!$N$2="VOL_EFF",$Q317,IF(Allocation!$N$2="VOL_CLASS",$R317,$S317)))</f>
        <v>6176192.547890001</v>
      </c>
      <c r="AQ317">
        <f>IF($A317="","",IF(Allocation!$N$2="VOL_EFF",$T317,IF(Allocation!$N$2="VOL_CLASS",$U317,$V317)))</f>
        <v>18970805.476785999</v>
      </c>
      <c r="AR317">
        <f t="shared" si="94"/>
        <v>17874.952720800389</v>
      </c>
      <c r="AS317" t="str">
        <f>IF($A317="","",$A317&amp;"|"&amp;Allocation!BG317)</f>
        <v>2027|V03</v>
      </c>
    </row>
    <row r="318" spans="1:45" x14ac:dyDescent="0.45">
      <c r="A318" t="str">
        <f>IF(Allocation!BI318="","",Allocation!BI318)</f>
        <v>2027</v>
      </c>
      <c r="B318" t="str">
        <f>IF(Allocation!BJ318="","",Allocation!BJ318)</f>
        <v>ISCOM_PAR</v>
      </c>
      <c r="C318" t="str">
        <f>IF(Allocation!BK318="","",Allocation!BK318)</f>
        <v>ISCOM</v>
      </c>
      <c r="D318" t="str">
        <f>IF(Allocation!BL318="","",Allocation!BL318)</f>
        <v>BAC_COM</v>
      </c>
      <c r="E318" t="str">
        <f>IF(Allocation!BM318="","",Allocation!BM318)</f>
        <v>B3</v>
      </c>
      <c r="F318" t="str">
        <f>IF(Allocation!BN318="","",Allocation!BN318)</f>
        <v>ALT</v>
      </c>
      <c r="G318">
        <f>IF(Allocation!BO318="","",Allocation!BO318)</f>
        <v>68.3</v>
      </c>
      <c r="H318">
        <f>IF(Allocation!BP318="","",Allocation!BP318)</f>
        <v>3</v>
      </c>
      <c r="I318">
        <f>IF(Allocation!BQ318="","",Allocation!BQ318)</f>
        <v>547787.85600000003</v>
      </c>
      <c r="J318">
        <f>IF(Allocation!CC318="","",Allocation!CC318)</f>
        <v>0</v>
      </c>
      <c r="K318">
        <f t="shared" si="76"/>
        <v>1440</v>
      </c>
      <c r="L318">
        <f t="shared" si="77"/>
        <v>340.20320200000003</v>
      </c>
      <c r="M318">
        <f t="shared" si="78"/>
        <v>15</v>
      </c>
      <c r="N318">
        <f t="shared" si="79"/>
        <v>2856528.2132059997</v>
      </c>
      <c r="O318">
        <f t="shared" si="80"/>
        <v>7200</v>
      </c>
      <c r="P318">
        <f t="shared" si="81"/>
        <v>132.34320200000002</v>
      </c>
      <c r="Q318">
        <f t="shared" si="82"/>
        <v>796.25063899999998</v>
      </c>
      <c r="R318">
        <f t="shared" si="83"/>
        <v>35</v>
      </c>
      <c r="S318">
        <f t="shared" si="84"/>
        <v>6176192.547890001</v>
      </c>
      <c r="T318">
        <f t="shared" si="85"/>
        <v>2494.3343489999993</v>
      </c>
      <c r="U318">
        <f t="shared" si="86"/>
        <v>111</v>
      </c>
      <c r="V318">
        <f t="shared" si="87"/>
        <v>18970805.476785999</v>
      </c>
      <c r="W318">
        <f>IF($A318="","",Allocation!CD318)</f>
        <v>177584.76046799999</v>
      </c>
      <c r="X318">
        <f>IF($A318="","",Allocation!CE318)</f>
        <v>527826.59412000002</v>
      </c>
      <c r="Y318">
        <f>IF($A318="","",Allocation!CF318)</f>
        <v>129169.49108399999</v>
      </c>
      <c r="Z318">
        <f>IF($A318="","",Allocation!CG318)</f>
        <v>57760</v>
      </c>
      <c r="AA318">
        <f>IF($A318="","",Allocation!CH318)</f>
        <v>1197973.690075</v>
      </c>
      <c r="AB318">
        <f>IF($A318="","",Allocation!CI318)</f>
        <v>3092074.3478999999</v>
      </c>
      <c r="AC318">
        <f>IF($A318="","",IF(Allocation!$N$4="VOL_EFF",$G318,IF(Allocation!$N$4="VOL_CLASS",$H318,$I318)))</f>
        <v>3</v>
      </c>
      <c r="AD318">
        <f>IF($A318="","",IF(Allocation!$N$4="VOL_EFF",$L318,IF(Allocation!$N$4="VOL_CLASS",$M318,$N318)))</f>
        <v>15</v>
      </c>
      <c r="AE318">
        <f>IF($A318="","",IF(Allocation!$N$3="VOL_EFF",$L318,IF(Allocation!$N$3="VOL_CLASS",$M318,$N318)))</f>
        <v>340.20320200000003</v>
      </c>
      <c r="AF318">
        <f>IF($A318="","",IF(Allocation!$N$3="VOL_EFF",$Q318,IF(Allocation!$N$3="VOL_CLASS",$R318,$S318)))</f>
        <v>796.25063899999998</v>
      </c>
      <c r="AG318">
        <f>IF($A318="","",IF(Allocation!$N$1="VOL_EFF",$Q318,IF(Allocation!$N$1="VOL_CLASS",$R318,$S318)))</f>
        <v>796.25063899999998</v>
      </c>
      <c r="AH318">
        <f>IF($A318="","",IF(Allocation!$N$1="VOL_EFF",$T318,IF(Allocation!$N$1="VOL_CLASS",$U318,$V318)))</f>
        <v>2494.3343489999993</v>
      </c>
      <c r="AI318">
        <f t="shared" si="88"/>
        <v>35516.952093599997</v>
      </c>
      <c r="AJ318">
        <f t="shared" si="89"/>
        <v>105565.31882400002</v>
      </c>
      <c r="AK318">
        <f t="shared" si="90"/>
        <v>25932.372738329483</v>
      </c>
      <c r="AL318">
        <f t="shared" si="91"/>
        <v>239594.73801500001</v>
      </c>
      <c r="AM318">
        <f t="shared" si="92"/>
        <v>84345.837148846666</v>
      </c>
      <c r="AN318">
        <f t="shared" si="93"/>
        <v>38957.684459423472</v>
      </c>
      <c r="AO318">
        <f>IF($A318="","",Allocation!CJ318)</f>
        <v>642526.80000000005</v>
      </c>
      <c r="AP318">
        <f>IF($A318="","",IF(Allocation!$N$2="VOL_EFF",$Q318,IF(Allocation!$N$2="VOL_CLASS",$R318,$S318)))</f>
        <v>6176192.547890001</v>
      </c>
      <c r="AQ318">
        <f>IF($A318="","",IF(Allocation!$N$2="VOL_EFF",$T318,IF(Allocation!$N$2="VOL_CLASS",$U318,$V318)))</f>
        <v>18970805.476785999</v>
      </c>
      <c r="AR318">
        <f t="shared" si="94"/>
        <v>17874.952720800389</v>
      </c>
      <c r="AS318" t="str">
        <f>IF($A318="","",$A318&amp;"|"&amp;Allocation!BG318)</f>
        <v>2027|V03</v>
      </c>
    </row>
    <row r="319" spans="1:45" x14ac:dyDescent="0.45">
      <c r="A319" t="str">
        <f>IF(Allocation!BI319="","",Allocation!BI319)</f>
        <v>2027</v>
      </c>
      <c r="B319" t="str">
        <f>IF(Allocation!BJ319="","",Allocation!BJ319)</f>
        <v>ISCOM_PAR</v>
      </c>
      <c r="C319" t="str">
        <f>IF(Allocation!BK319="","",Allocation!BK319)</f>
        <v>ISCOM</v>
      </c>
      <c r="D319" t="str">
        <f>IF(Allocation!BL319="","",Allocation!BL319)</f>
        <v>MAS_COM</v>
      </c>
      <c r="E319" t="str">
        <f>IF(Allocation!BM319="","",Allocation!BM319)</f>
        <v>M1</v>
      </c>
      <c r="F319" t="str">
        <f>IF(Allocation!BN319="","",Allocation!BN319)</f>
        <v>ALT</v>
      </c>
      <c r="G319">
        <f>IF(Allocation!BO319="","",Allocation!BO319)</f>
        <v>65.437730999999999</v>
      </c>
      <c r="H319">
        <f>IF(Allocation!BP319="","",Allocation!BP319)</f>
        <v>3</v>
      </c>
      <c r="I319">
        <f>IF(Allocation!BQ319="","",Allocation!BQ319)</f>
        <v>568208.90581899998</v>
      </c>
      <c r="J319">
        <f>IF(Allocation!CC319="","",Allocation!CC319)</f>
        <v>65.437730999999999</v>
      </c>
      <c r="K319">
        <f t="shared" si="76"/>
        <v>1260</v>
      </c>
      <c r="L319">
        <f t="shared" si="77"/>
        <v>340.20320200000003</v>
      </c>
      <c r="M319">
        <f t="shared" si="78"/>
        <v>15</v>
      </c>
      <c r="N319">
        <f t="shared" si="79"/>
        <v>2856528.2132059997</v>
      </c>
      <c r="O319">
        <f t="shared" si="80"/>
        <v>7200</v>
      </c>
      <c r="P319">
        <f t="shared" si="81"/>
        <v>132.34320200000002</v>
      </c>
      <c r="Q319">
        <f t="shared" si="82"/>
        <v>796.25063899999998</v>
      </c>
      <c r="R319">
        <f t="shared" si="83"/>
        <v>35</v>
      </c>
      <c r="S319">
        <f t="shared" si="84"/>
        <v>6176192.547890001</v>
      </c>
      <c r="T319">
        <f t="shared" si="85"/>
        <v>2494.3343489999993</v>
      </c>
      <c r="U319">
        <f t="shared" si="86"/>
        <v>111</v>
      </c>
      <c r="V319">
        <f t="shared" si="87"/>
        <v>18970805.476785999</v>
      </c>
      <c r="W319">
        <f>IF($A319="","",Allocation!CD319)</f>
        <v>177584.76046799999</v>
      </c>
      <c r="X319">
        <f>IF($A319="","",Allocation!CE319)</f>
        <v>527826.59412000002</v>
      </c>
      <c r="Y319">
        <f>IF($A319="","",Allocation!CF319)</f>
        <v>129169.49108399999</v>
      </c>
      <c r="Z319">
        <f>IF($A319="","",Allocation!CG319)</f>
        <v>57760</v>
      </c>
      <c r="AA319">
        <f>IF($A319="","",Allocation!CH319)</f>
        <v>1197973.690075</v>
      </c>
      <c r="AB319">
        <f>IF($A319="","",Allocation!CI319)</f>
        <v>3092074.3478999999</v>
      </c>
      <c r="AC319">
        <f>IF($A319="","",IF(Allocation!$N$4="VOL_EFF",$G319,IF(Allocation!$N$4="VOL_CLASS",$H319,$I319)))</f>
        <v>3</v>
      </c>
      <c r="AD319">
        <f>IF($A319="","",IF(Allocation!$N$4="VOL_EFF",$L319,IF(Allocation!$N$4="VOL_CLASS",$M319,$N319)))</f>
        <v>15</v>
      </c>
      <c r="AE319">
        <f>IF($A319="","",IF(Allocation!$N$3="VOL_EFF",$L319,IF(Allocation!$N$3="VOL_CLASS",$M319,$N319)))</f>
        <v>340.20320200000003</v>
      </c>
      <c r="AF319">
        <f>IF($A319="","",IF(Allocation!$N$3="VOL_EFF",$Q319,IF(Allocation!$N$3="VOL_CLASS",$R319,$S319)))</f>
        <v>796.25063899999998</v>
      </c>
      <c r="AG319">
        <f>IF($A319="","",IF(Allocation!$N$1="VOL_EFF",$Q319,IF(Allocation!$N$1="VOL_CLASS",$R319,$S319)))</f>
        <v>796.25063899999998</v>
      </c>
      <c r="AH319">
        <f>IF($A319="","",IF(Allocation!$N$1="VOL_EFF",$T319,IF(Allocation!$N$1="VOL_CLASS",$U319,$V319)))</f>
        <v>2494.3343489999993</v>
      </c>
      <c r="AI319">
        <f t="shared" si="88"/>
        <v>31077.333081899997</v>
      </c>
      <c r="AJ319">
        <f t="shared" si="89"/>
        <v>92369.653970999992</v>
      </c>
      <c r="AK319">
        <f t="shared" si="90"/>
        <v>53405.325898738723</v>
      </c>
      <c r="AL319">
        <f t="shared" si="91"/>
        <v>239594.73801500001</v>
      </c>
      <c r="AM319">
        <f t="shared" si="92"/>
        <v>84345.837148846666</v>
      </c>
      <c r="AN319">
        <f t="shared" si="93"/>
        <v>49541.06498271419</v>
      </c>
      <c r="AO319">
        <f>IF($A319="","",Allocation!CJ319)</f>
        <v>642526.80000000005</v>
      </c>
      <c r="AP319">
        <f>IF($A319="","",IF(Allocation!$N$2="VOL_EFF",$Q319,IF(Allocation!$N$2="VOL_CLASS",$R319,$S319)))</f>
        <v>6176192.547890001</v>
      </c>
      <c r="AQ319">
        <f>IF($A319="","",IF(Allocation!$N$2="VOL_EFF",$T319,IF(Allocation!$N$2="VOL_CLASS",$U319,$V319)))</f>
        <v>18970805.476785999</v>
      </c>
      <c r="AR319">
        <f t="shared" si="94"/>
        <v>17874.952720800389</v>
      </c>
      <c r="AS319" t="str">
        <f>IF($A319="","",$A319&amp;"|"&amp;Allocation!BG319)</f>
        <v>2027|V03</v>
      </c>
    </row>
    <row r="320" spans="1:45" x14ac:dyDescent="0.45">
      <c r="A320" t="str">
        <f>IF(Allocation!BI320="","",Allocation!BI320)</f>
        <v>2027</v>
      </c>
      <c r="B320" t="str">
        <f>IF(Allocation!BJ320="","",Allocation!BJ320)</f>
        <v>ISCOM_PAR</v>
      </c>
      <c r="C320" t="str">
        <f>IF(Allocation!BK320="","",Allocation!BK320)</f>
        <v>ISCOM</v>
      </c>
      <c r="D320" t="str">
        <f>IF(Allocation!BL320="","",Allocation!BL320)</f>
        <v>MAS_COM</v>
      </c>
      <c r="E320" t="str">
        <f>IF(Allocation!BM320="","",Allocation!BM320)</f>
        <v>M2</v>
      </c>
      <c r="F320" t="str">
        <f>IF(Allocation!BN320="","",Allocation!BN320)</f>
        <v>ALT</v>
      </c>
      <c r="G320">
        <f>IF(Allocation!BO320="","",Allocation!BO320)</f>
        <v>70.28</v>
      </c>
      <c r="H320">
        <f>IF(Allocation!BP320="","",Allocation!BP320)</f>
        <v>3</v>
      </c>
      <c r="I320">
        <f>IF(Allocation!BQ320="","",Allocation!BQ320)</f>
        <v>603930.09600000002</v>
      </c>
      <c r="J320">
        <f>IF(Allocation!CC320="","",Allocation!CC320)</f>
        <v>0</v>
      </c>
      <c r="K320">
        <f t="shared" si="76"/>
        <v>1260</v>
      </c>
      <c r="L320">
        <f t="shared" si="77"/>
        <v>340.20320200000003</v>
      </c>
      <c r="M320">
        <f t="shared" si="78"/>
        <v>15</v>
      </c>
      <c r="N320">
        <f t="shared" si="79"/>
        <v>2856528.2132059997</v>
      </c>
      <c r="O320">
        <f t="shared" si="80"/>
        <v>7200</v>
      </c>
      <c r="P320">
        <f t="shared" si="81"/>
        <v>132.34320200000002</v>
      </c>
      <c r="Q320">
        <f t="shared" si="82"/>
        <v>796.25063899999998</v>
      </c>
      <c r="R320">
        <f t="shared" si="83"/>
        <v>35</v>
      </c>
      <c r="S320">
        <f t="shared" si="84"/>
        <v>6176192.547890001</v>
      </c>
      <c r="T320">
        <f t="shared" si="85"/>
        <v>2494.3343489999993</v>
      </c>
      <c r="U320">
        <f t="shared" si="86"/>
        <v>111</v>
      </c>
      <c r="V320">
        <f t="shared" si="87"/>
        <v>18970805.476785999</v>
      </c>
      <c r="W320">
        <f>IF($A320="","",Allocation!CD320)</f>
        <v>177584.76046799999</v>
      </c>
      <c r="X320">
        <f>IF($A320="","",Allocation!CE320)</f>
        <v>527826.59412000002</v>
      </c>
      <c r="Y320">
        <f>IF($A320="","",Allocation!CF320)</f>
        <v>129169.49108399999</v>
      </c>
      <c r="Z320">
        <f>IF($A320="","",Allocation!CG320)</f>
        <v>57760</v>
      </c>
      <c r="AA320">
        <f>IF($A320="","",Allocation!CH320)</f>
        <v>1197973.690075</v>
      </c>
      <c r="AB320">
        <f>IF($A320="","",Allocation!CI320)</f>
        <v>3092074.3478999999</v>
      </c>
      <c r="AC320">
        <f>IF($A320="","",IF(Allocation!$N$4="VOL_EFF",$G320,IF(Allocation!$N$4="VOL_CLASS",$H320,$I320)))</f>
        <v>3</v>
      </c>
      <c r="AD320">
        <f>IF($A320="","",IF(Allocation!$N$4="VOL_EFF",$L320,IF(Allocation!$N$4="VOL_CLASS",$M320,$N320)))</f>
        <v>15</v>
      </c>
      <c r="AE320">
        <f>IF($A320="","",IF(Allocation!$N$3="VOL_EFF",$L320,IF(Allocation!$N$3="VOL_CLASS",$M320,$N320)))</f>
        <v>340.20320200000003</v>
      </c>
      <c r="AF320">
        <f>IF($A320="","",IF(Allocation!$N$3="VOL_EFF",$Q320,IF(Allocation!$N$3="VOL_CLASS",$R320,$S320)))</f>
        <v>796.25063899999998</v>
      </c>
      <c r="AG320">
        <f>IF($A320="","",IF(Allocation!$N$1="VOL_EFF",$Q320,IF(Allocation!$N$1="VOL_CLASS",$R320,$S320)))</f>
        <v>796.25063899999998</v>
      </c>
      <c r="AH320">
        <f>IF($A320="","",IF(Allocation!$N$1="VOL_EFF",$T320,IF(Allocation!$N$1="VOL_CLASS",$U320,$V320)))</f>
        <v>2494.3343489999993</v>
      </c>
      <c r="AI320">
        <f t="shared" si="88"/>
        <v>31077.333081899997</v>
      </c>
      <c r="AJ320">
        <f t="shared" si="89"/>
        <v>92369.653970999992</v>
      </c>
      <c r="AK320">
        <f t="shared" si="90"/>
        <v>26684.14576939672</v>
      </c>
      <c r="AL320">
        <f t="shared" si="91"/>
        <v>239594.73801500001</v>
      </c>
      <c r="AM320">
        <f t="shared" si="92"/>
        <v>84345.837148846666</v>
      </c>
      <c r="AN320">
        <f t="shared" si="93"/>
        <v>111983.43529305625</v>
      </c>
      <c r="AO320">
        <f>IF($A320="","",Allocation!CJ320)</f>
        <v>642526.80000000005</v>
      </c>
      <c r="AP320">
        <f>IF($A320="","",IF(Allocation!$N$2="VOL_EFF",$Q320,IF(Allocation!$N$2="VOL_CLASS",$R320,$S320)))</f>
        <v>6176192.547890001</v>
      </c>
      <c r="AQ320">
        <f>IF($A320="","",IF(Allocation!$N$2="VOL_EFF",$T320,IF(Allocation!$N$2="VOL_CLASS",$U320,$V320)))</f>
        <v>18970805.476785999</v>
      </c>
      <c r="AR320">
        <f t="shared" si="94"/>
        <v>17874.952720800389</v>
      </c>
      <c r="AS320" t="str">
        <f>IF($A320="","",$A320&amp;"|"&amp;Allocation!BG320)</f>
        <v>2027|V03</v>
      </c>
    </row>
    <row r="321" spans="1:45" x14ac:dyDescent="0.45">
      <c r="A321" t="str">
        <f>IF(Allocation!BI321="","",Allocation!BI321)</f>
        <v>2027</v>
      </c>
      <c r="B321" t="str">
        <f>IF(Allocation!BJ321="","",Allocation!BJ321)</f>
        <v>ISCOM_TLS</v>
      </c>
      <c r="C321" t="str">
        <f>IF(Allocation!BK321="","",Allocation!BK321)</f>
        <v>ISCOM</v>
      </c>
      <c r="D321" t="str">
        <f>IF(Allocation!BL321="","",Allocation!BL321)</f>
        <v>BAC_COM</v>
      </c>
      <c r="E321" t="str">
        <f>IF(Allocation!BM321="","",Allocation!BM321)</f>
        <v>B1</v>
      </c>
      <c r="F321" t="str">
        <f>IF(Allocation!BN321="","",Allocation!BN321)</f>
        <v>INIT</v>
      </c>
      <c r="G321">
        <f>IF(Allocation!BO321="","",Allocation!BO321)</f>
        <v>43.580238000000001</v>
      </c>
      <c r="H321">
        <f>IF(Allocation!BP321="","",Allocation!BP321)</f>
        <v>2</v>
      </c>
      <c r="I321">
        <f>IF(Allocation!BQ321="","",Allocation!BQ321)</f>
        <v>324916.82243300002</v>
      </c>
      <c r="J321">
        <f>IF(Allocation!CC321="","",Allocation!CC321)</f>
        <v>43.580238000000001</v>
      </c>
      <c r="K321">
        <f t="shared" si="76"/>
        <v>1200</v>
      </c>
      <c r="L321">
        <f t="shared" si="77"/>
        <v>221.80018000000001</v>
      </c>
      <c r="M321">
        <f t="shared" si="78"/>
        <v>10</v>
      </c>
      <c r="N321">
        <f t="shared" si="79"/>
        <v>1597221.449208</v>
      </c>
      <c r="O321">
        <f t="shared" si="80"/>
        <v>4800</v>
      </c>
      <c r="P321">
        <f t="shared" si="81"/>
        <v>86.200180000000003</v>
      </c>
      <c r="Q321">
        <f t="shared" si="82"/>
        <v>796.25063899999998</v>
      </c>
      <c r="R321">
        <f t="shared" si="83"/>
        <v>35</v>
      </c>
      <c r="S321">
        <f t="shared" si="84"/>
        <v>6176192.547890001</v>
      </c>
      <c r="T321">
        <f t="shared" si="85"/>
        <v>2494.3343489999993</v>
      </c>
      <c r="U321">
        <f t="shared" si="86"/>
        <v>111</v>
      </c>
      <c r="V321">
        <f t="shared" si="87"/>
        <v>18970805.476785999</v>
      </c>
      <c r="W321">
        <f>IF($A321="","",Allocation!CD321)</f>
        <v>118389.51343799999</v>
      </c>
      <c r="X321">
        <f>IF($A321="","",Allocation!CE321)</f>
        <v>289500.10540499998</v>
      </c>
      <c r="Y321">
        <f>IF($A321="","",Allocation!CF321)</f>
        <v>84288.383388000002</v>
      </c>
      <c r="Z321">
        <f>IF($A321="","",Allocation!CG321)</f>
        <v>20978.85</v>
      </c>
      <c r="AA321">
        <f>IF($A321="","",Allocation!CH321)</f>
        <v>647771.13575899997</v>
      </c>
      <c r="AB321">
        <f>IF($A321="","",Allocation!CI321)</f>
        <v>3092074.3478999999</v>
      </c>
      <c r="AC321">
        <f>IF($A321="","",IF(Allocation!$N$4="VOL_EFF",$G321,IF(Allocation!$N$4="VOL_CLASS",$H321,$I321)))</f>
        <v>2</v>
      </c>
      <c r="AD321">
        <f>IF($A321="","",IF(Allocation!$N$4="VOL_EFF",$L321,IF(Allocation!$N$4="VOL_CLASS",$M321,$N321)))</f>
        <v>10</v>
      </c>
      <c r="AE321">
        <f>IF($A321="","",IF(Allocation!$N$3="VOL_EFF",$L321,IF(Allocation!$N$3="VOL_CLASS",$M321,$N321)))</f>
        <v>221.80018000000001</v>
      </c>
      <c r="AF321">
        <f>IF($A321="","",IF(Allocation!$N$3="VOL_EFF",$Q321,IF(Allocation!$N$3="VOL_CLASS",$R321,$S321)))</f>
        <v>796.25063899999998</v>
      </c>
      <c r="AG321">
        <f>IF($A321="","",IF(Allocation!$N$1="VOL_EFF",$Q321,IF(Allocation!$N$1="VOL_CLASS",$R321,$S321)))</f>
        <v>796.25063899999998</v>
      </c>
      <c r="AH321">
        <f>IF($A321="","",IF(Allocation!$N$1="VOL_EFF",$T321,IF(Allocation!$N$1="VOL_CLASS",$U321,$V321)))</f>
        <v>2494.3343489999993</v>
      </c>
      <c r="AI321">
        <f t="shared" si="88"/>
        <v>29597.378359499999</v>
      </c>
      <c r="AJ321">
        <f t="shared" si="89"/>
        <v>72375.026351249995</v>
      </c>
      <c r="AK321">
        <f t="shared" si="90"/>
        <v>27167.618624827101</v>
      </c>
      <c r="AL321">
        <f t="shared" si="91"/>
        <v>129554.22715180001</v>
      </c>
      <c r="AM321">
        <f t="shared" si="92"/>
        <v>54990.434398865182</v>
      </c>
      <c r="AN321">
        <f t="shared" si="93"/>
        <v>-421.68495596229332</v>
      </c>
      <c r="AO321">
        <f>IF($A321="","",Allocation!CJ321)</f>
        <v>642526.80000000005</v>
      </c>
      <c r="AP321">
        <f>IF($A321="","",IF(Allocation!$N$2="VOL_EFF",$Q321,IF(Allocation!$N$2="VOL_CLASS",$R321,$S321)))</f>
        <v>6176192.547890001</v>
      </c>
      <c r="AQ321">
        <f>IF($A321="","",IF(Allocation!$N$2="VOL_EFF",$T321,IF(Allocation!$N$2="VOL_CLASS",$U321,$V321)))</f>
        <v>18970805.476785999</v>
      </c>
      <c r="AR321">
        <f t="shared" si="94"/>
        <v>11653.822502720053</v>
      </c>
      <c r="AS321" t="str">
        <f>IF($A321="","",$A321&amp;"|"&amp;Allocation!BG321)</f>
        <v>2027|V03</v>
      </c>
    </row>
    <row r="322" spans="1:45" x14ac:dyDescent="0.45">
      <c r="A322" t="str">
        <f>IF(Allocation!BI322="","",Allocation!BI322)</f>
        <v>2027</v>
      </c>
      <c r="B322" t="str">
        <f>IF(Allocation!BJ322="","",Allocation!BJ322)</f>
        <v>ISCOM_TLS</v>
      </c>
      <c r="C322" t="str">
        <f>IF(Allocation!BK322="","",Allocation!BK322)</f>
        <v>ISCOM</v>
      </c>
      <c r="D322" t="str">
        <f>IF(Allocation!BL322="","",Allocation!BL322)</f>
        <v>BAC_COM</v>
      </c>
      <c r="E322" t="str">
        <f>IF(Allocation!BM322="","",Allocation!BM322)</f>
        <v>B2</v>
      </c>
      <c r="F322" t="str">
        <f>IF(Allocation!BN322="","",Allocation!BN322)</f>
        <v>ALT</v>
      </c>
      <c r="G322">
        <f>IF(Allocation!BO322="","",Allocation!BO322)</f>
        <v>45.53</v>
      </c>
      <c r="H322">
        <f>IF(Allocation!BP322="","",Allocation!BP322)</f>
        <v>2</v>
      </c>
      <c r="I322">
        <f>IF(Allocation!BQ322="","",Allocation!BQ322)</f>
        <v>312998.71679999999</v>
      </c>
      <c r="J322">
        <f>IF(Allocation!CC322="","",Allocation!CC322)</f>
        <v>0</v>
      </c>
      <c r="K322">
        <f t="shared" ref="K322:K349" si="95">IF($A322="","",$H322*IF(AND(LEFT($D322,3)="BAC",$F322="INIT"),600,IF(LEFT($D322,3)="BAC",480,IF(AND(LEFT($D322,3)="MAS",$F322="INIT"),520,IF(LEFT($D322,3)="MAS",420,IF($F322="INIT",1000,700))))))</f>
        <v>960</v>
      </c>
      <c r="L322">
        <f t="shared" ref="L322:L349" si="96">IF($A322="","",SUMIFS($G$1:$G$349,$AS$1:$AS$349,$AS322,$B$1:$B$349,$B322))</f>
        <v>221.80018000000001</v>
      </c>
      <c r="M322">
        <f t="shared" ref="M322:M349" si="97">IF($A322="","",SUMIFS($H$1:$H$349,$AS$1:$AS$349,$AS322,$B$1:$B$349,$B322))</f>
        <v>10</v>
      </c>
      <c r="N322">
        <f t="shared" ref="N322:N349" si="98">IF($A322="","",SUMIFS($I$1:$I$349,$AS$1:$AS$349,$AS322,$B$1:$B$349,$B322))</f>
        <v>1597221.449208</v>
      </c>
      <c r="O322">
        <f t="shared" ref="O322:O349" si="99">IF($A322="","",SUMIFS($K$1:$K$349,$AS$1:$AS$349,$AS322,$B$1:$B$349,$B322))</f>
        <v>4800</v>
      </c>
      <c r="P322">
        <f t="shared" ref="P322:P349" si="100">IF($A322="","",SUMIFS($J$1:$J$349,$AS$1:$AS$349,$AS322,$B$1:$B$349,$B322))</f>
        <v>86.200180000000003</v>
      </c>
      <c r="Q322">
        <f t="shared" ref="Q322:Q349" si="101">IF($A322="","",SUMIFS($G$1:$G$349,$AS$1:$AS$349,$AS322,$C$1:$C$349,$C322))</f>
        <v>796.25063899999998</v>
      </c>
      <c r="R322">
        <f t="shared" ref="R322:R349" si="102">IF($A322="","",SUMIFS($H$1:$H$349,$AS$1:$AS$349,$AS322,$C$1:$C$349,$C322))</f>
        <v>35</v>
      </c>
      <c r="S322">
        <f t="shared" ref="S322:S349" si="103">IF($A322="","",SUMIFS($I$1:$I$349,$AS$1:$AS$349,$AS322,$C$1:$C$349,$C322))</f>
        <v>6176192.547890001</v>
      </c>
      <c r="T322">
        <f t="shared" ref="T322:T349" si="104">IF($A322="","",SUMIFS($G$1:$G$349,$AS$1:$AS$349,$AS322))</f>
        <v>2494.3343489999993</v>
      </c>
      <c r="U322">
        <f t="shared" ref="U322:U349" si="105">IF($A322="","",SUMIFS($H$1:$H$349,$AS$1:$AS$349,$AS322))</f>
        <v>111</v>
      </c>
      <c r="V322">
        <f t="shared" ref="V322:V349" si="106">IF($A322="","",SUMIFS($I$1:$I$349,$AS$1:$AS$349,$AS322))</f>
        <v>18970805.476785999</v>
      </c>
      <c r="W322">
        <f>IF($A322="","",Allocation!CD322)</f>
        <v>118389.51343799999</v>
      </c>
      <c r="X322">
        <f>IF($A322="","",Allocation!CE322)</f>
        <v>289500.10540499998</v>
      </c>
      <c r="Y322">
        <f>IF($A322="","",Allocation!CF322)</f>
        <v>84288.383388000002</v>
      </c>
      <c r="Z322">
        <f>IF($A322="","",Allocation!CG322)</f>
        <v>20978.85</v>
      </c>
      <c r="AA322">
        <f>IF($A322="","",Allocation!CH322)</f>
        <v>647771.13575899997</v>
      </c>
      <c r="AB322">
        <f>IF($A322="","",Allocation!CI322)</f>
        <v>3092074.3478999999</v>
      </c>
      <c r="AC322">
        <f>IF($A322="","",IF(Allocation!$N$4="VOL_EFF",$G322,IF(Allocation!$N$4="VOL_CLASS",$H322,$I322)))</f>
        <v>2</v>
      </c>
      <c r="AD322">
        <f>IF($A322="","",IF(Allocation!$N$4="VOL_EFF",$L322,IF(Allocation!$N$4="VOL_CLASS",$M322,$N322)))</f>
        <v>10</v>
      </c>
      <c r="AE322">
        <f>IF($A322="","",IF(Allocation!$N$3="VOL_EFF",$L322,IF(Allocation!$N$3="VOL_CLASS",$M322,$N322)))</f>
        <v>221.80018000000001</v>
      </c>
      <c r="AF322">
        <f>IF($A322="","",IF(Allocation!$N$3="VOL_EFF",$Q322,IF(Allocation!$N$3="VOL_CLASS",$R322,$S322)))</f>
        <v>796.25063899999998</v>
      </c>
      <c r="AG322">
        <f>IF($A322="","",IF(Allocation!$N$1="VOL_EFF",$Q322,IF(Allocation!$N$1="VOL_CLASS",$R322,$S322)))</f>
        <v>796.25063899999998</v>
      </c>
      <c r="AH322">
        <f>IF($A322="","",IF(Allocation!$N$1="VOL_EFF",$T322,IF(Allocation!$N$1="VOL_CLASS",$U322,$V322)))</f>
        <v>2494.3343489999993</v>
      </c>
      <c r="AI322">
        <f t="shared" ref="AI322:AI349" si="107">IF($A322="","",$W322*IFERROR($K322/$O322,0))</f>
        <v>23677.902687599999</v>
      </c>
      <c r="AJ322">
        <f t="shared" ref="AJ322:AJ349" si="108">IF($A322="","",$X322*IFERROR($K322/$O322,0))</f>
        <v>57900.021080999999</v>
      </c>
      <c r="AK322">
        <f t="shared" ref="AK322:AK349" si="109">IF($A322="","",$Y322*IFERROR($G322/$L322,0)+$Z322*IFERROR($J322/$P322,0))</f>
        <v>17302.285758540143</v>
      </c>
      <c r="AL322">
        <f t="shared" ref="AL322:AL349" si="110">IF($A322="","",$AA322*IFERROR($AC322/$AD322,0))</f>
        <v>129554.22715180001</v>
      </c>
      <c r="AM322">
        <f t="shared" ref="AM322:AM349" si="111">IF($A322="","",$AB322*IFERROR($AG322/$AH322,0)*IFERROR($AE322/$AF322,0)*IFERROR($AC322/$AD322,0))</f>
        <v>54990.434398865182</v>
      </c>
      <c r="AN322">
        <f t="shared" ref="AN322:AN349" si="112">IF($A322="","",$I322-($AI322+$AJ322+$AK322+$AL322+$AM322+$AR322))</f>
        <v>17920.02321947465</v>
      </c>
      <c r="AO322">
        <f>IF($A322="","",Allocation!CJ322)</f>
        <v>642526.80000000005</v>
      </c>
      <c r="AP322">
        <f>IF($A322="","",IF(Allocation!$N$2="VOL_EFF",$Q322,IF(Allocation!$N$2="VOL_CLASS",$R322,$S322)))</f>
        <v>6176192.547890001</v>
      </c>
      <c r="AQ322">
        <f>IF($A322="","",IF(Allocation!$N$2="VOL_EFF",$T322,IF(Allocation!$N$2="VOL_CLASS",$U322,$V322)))</f>
        <v>18970805.476785999</v>
      </c>
      <c r="AR322">
        <f t="shared" ref="AR322:AR349" si="113">IF($A322="","",$AO322*IFERROR($AP322/$AQ322,0)*IFERROR($AE322/$AF322,0)*IFERROR($AC322/$AD322,0))</f>
        <v>11653.822502720053</v>
      </c>
      <c r="AS322" t="str">
        <f>IF($A322="","",$A322&amp;"|"&amp;Allocation!BG322)</f>
        <v>2027|V03</v>
      </c>
    </row>
    <row r="323" spans="1:45" x14ac:dyDescent="0.45">
      <c r="A323" t="str">
        <f>IF(Allocation!BI323="","",Allocation!BI323)</f>
        <v>2027</v>
      </c>
      <c r="B323" t="str">
        <f>IF(Allocation!BJ323="","",Allocation!BJ323)</f>
        <v>ISCOM_TLS</v>
      </c>
      <c r="C323" t="str">
        <f>IF(Allocation!BK323="","",Allocation!BK323)</f>
        <v>ISCOM</v>
      </c>
      <c r="D323" t="str">
        <f>IF(Allocation!BL323="","",Allocation!BL323)</f>
        <v>BAC_COM</v>
      </c>
      <c r="E323" t="str">
        <f>IF(Allocation!BM323="","",Allocation!BM323)</f>
        <v>B3</v>
      </c>
      <c r="F323" t="str">
        <f>IF(Allocation!BN323="","",Allocation!BN323)</f>
        <v>ALT</v>
      </c>
      <c r="G323">
        <f>IF(Allocation!BO323="","",Allocation!BO323)</f>
        <v>44.54</v>
      </c>
      <c r="H323">
        <f>IF(Allocation!BP323="","",Allocation!BP323)</f>
        <v>2</v>
      </c>
      <c r="I323">
        <f>IF(Allocation!BQ323="","",Allocation!BQ323)</f>
        <v>306192.90240000002</v>
      </c>
      <c r="J323">
        <f>IF(Allocation!CC323="","",Allocation!CC323)</f>
        <v>0</v>
      </c>
      <c r="K323">
        <f t="shared" si="95"/>
        <v>960</v>
      </c>
      <c r="L323">
        <f t="shared" si="96"/>
        <v>221.80018000000001</v>
      </c>
      <c r="M323">
        <f t="shared" si="97"/>
        <v>10</v>
      </c>
      <c r="N323">
        <f t="shared" si="98"/>
        <v>1597221.449208</v>
      </c>
      <c r="O323">
        <f t="shared" si="99"/>
        <v>4800</v>
      </c>
      <c r="P323">
        <f t="shared" si="100"/>
        <v>86.200180000000003</v>
      </c>
      <c r="Q323">
        <f t="shared" si="101"/>
        <v>796.25063899999998</v>
      </c>
      <c r="R323">
        <f t="shared" si="102"/>
        <v>35</v>
      </c>
      <c r="S323">
        <f t="shared" si="103"/>
        <v>6176192.547890001</v>
      </c>
      <c r="T323">
        <f t="shared" si="104"/>
        <v>2494.3343489999993</v>
      </c>
      <c r="U323">
        <f t="shared" si="105"/>
        <v>111</v>
      </c>
      <c r="V323">
        <f t="shared" si="106"/>
        <v>18970805.476785999</v>
      </c>
      <c r="W323">
        <f>IF($A323="","",Allocation!CD323)</f>
        <v>118389.51343799999</v>
      </c>
      <c r="X323">
        <f>IF($A323="","",Allocation!CE323)</f>
        <v>289500.10540499998</v>
      </c>
      <c r="Y323">
        <f>IF($A323="","",Allocation!CF323)</f>
        <v>84288.383388000002</v>
      </c>
      <c r="Z323">
        <f>IF($A323="","",Allocation!CG323)</f>
        <v>20978.85</v>
      </c>
      <c r="AA323">
        <f>IF($A323="","",Allocation!CH323)</f>
        <v>647771.13575899997</v>
      </c>
      <c r="AB323">
        <f>IF($A323="","",Allocation!CI323)</f>
        <v>3092074.3478999999</v>
      </c>
      <c r="AC323">
        <f>IF($A323="","",IF(Allocation!$N$4="VOL_EFF",$G323,IF(Allocation!$N$4="VOL_CLASS",$H323,$I323)))</f>
        <v>2</v>
      </c>
      <c r="AD323">
        <f>IF($A323="","",IF(Allocation!$N$4="VOL_EFF",$L323,IF(Allocation!$N$4="VOL_CLASS",$M323,$N323)))</f>
        <v>10</v>
      </c>
      <c r="AE323">
        <f>IF($A323="","",IF(Allocation!$N$3="VOL_EFF",$L323,IF(Allocation!$N$3="VOL_CLASS",$M323,$N323)))</f>
        <v>221.80018000000001</v>
      </c>
      <c r="AF323">
        <f>IF($A323="","",IF(Allocation!$N$3="VOL_EFF",$Q323,IF(Allocation!$N$3="VOL_CLASS",$R323,$S323)))</f>
        <v>796.25063899999998</v>
      </c>
      <c r="AG323">
        <f>IF($A323="","",IF(Allocation!$N$1="VOL_EFF",$Q323,IF(Allocation!$N$1="VOL_CLASS",$R323,$S323)))</f>
        <v>796.25063899999998</v>
      </c>
      <c r="AH323">
        <f>IF($A323="","",IF(Allocation!$N$1="VOL_EFF",$T323,IF(Allocation!$N$1="VOL_CLASS",$U323,$V323)))</f>
        <v>2494.3343489999993</v>
      </c>
      <c r="AI323">
        <f t="shared" si="107"/>
        <v>23677.902687599999</v>
      </c>
      <c r="AJ323">
        <f t="shared" si="108"/>
        <v>57900.021080999999</v>
      </c>
      <c r="AK323">
        <f t="shared" si="109"/>
        <v>16926.066498690489</v>
      </c>
      <c r="AL323">
        <f t="shared" si="110"/>
        <v>129554.22715180001</v>
      </c>
      <c r="AM323">
        <f t="shared" si="111"/>
        <v>54990.434398865182</v>
      </c>
      <c r="AN323">
        <f t="shared" si="112"/>
        <v>11490.428079324309</v>
      </c>
      <c r="AO323">
        <f>IF($A323="","",Allocation!CJ323)</f>
        <v>642526.80000000005</v>
      </c>
      <c r="AP323">
        <f>IF($A323="","",IF(Allocation!$N$2="VOL_EFF",$Q323,IF(Allocation!$N$2="VOL_CLASS",$R323,$S323)))</f>
        <v>6176192.547890001</v>
      </c>
      <c r="AQ323">
        <f>IF($A323="","",IF(Allocation!$N$2="VOL_EFF",$T323,IF(Allocation!$N$2="VOL_CLASS",$U323,$V323)))</f>
        <v>18970805.476785999</v>
      </c>
      <c r="AR323">
        <f t="shared" si="113"/>
        <v>11653.822502720053</v>
      </c>
      <c r="AS323" t="str">
        <f>IF($A323="","",$A323&amp;"|"&amp;Allocation!BG323)</f>
        <v>2027|V03</v>
      </c>
    </row>
    <row r="324" spans="1:45" x14ac:dyDescent="0.45">
      <c r="A324" t="str">
        <f>IF(Allocation!BI324="","",Allocation!BI324)</f>
        <v>2027</v>
      </c>
      <c r="B324" t="str">
        <f>IF(Allocation!BJ324="","",Allocation!BJ324)</f>
        <v>ISCOM_TLS</v>
      </c>
      <c r="C324" t="str">
        <f>IF(Allocation!BK324="","",Allocation!BK324)</f>
        <v>ISCOM</v>
      </c>
      <c r="D324" t="str">
        <f>IF(Allocation!BL324="","",Allocation!BL324)</f>
        <v>MAS_COM</v>
      </c>
      <c r="E324" t="str">
        <f>IF(Allocation!BM324="","",Allocation!BM324)</f>
        <v>M1</v>
      </c>
      <c r="F324" t="str">
        <f>IF(Allocation!BN324="","",Allocation!BN324)</f>
        <v>ALT</v>
      </c>
      <c r="G324">
        <f>IF(Allocation!BO324="","",Allocation!BO324)</f>
        <v>42.619942000000002</v>
      </c>
      <c r="H324">
        <f>IF(Allocation!BP324="","",Allocation!BP324)</f>
        <v>2</v>
      </c>
      <c r="I324">
        <f>IF(Allocation!BQ324="","",Allocation!BQ324)</f>
        <v>317757.23957500001</v>
      </c>
      <c r="J324">
        <f>IF(Allocation!CC324="","",Allocation!CC324)</f>
        <v>42.619942000000002</v>
      </c>
      <c r="K324">
        <f t="shared" si="95"/>
        <v>840</v>
      </c>
      <c r="L324">
        <f t="shared" si="96"/>
        <v>221.80018000000001</v>
      </c>
      <c r="M324">
        <f t="shared" si="97"/>
        <v>10</v>
      </c>
      <c r="N324">
        <f t="shared" si="98"/>
        <v>1597221.449208</v>
      </c>
      <c r="O324">
        <f t="shared" si="99"/>
        <v>4800</v>
      </c>
      <c r="P324">
        <f t="shared" si="100"/>
        <v>86.200180000000003</v>
      </c>
      <c r="Q324">
        <f t="shared" si="101"/>
        <v>796.25063899999998</v>
      </c>
      <c r="R324">
        <f t="shared" si="102"/>
        <v>35</v>
      </c>
      <c r="S324">
        <f t="shared" si="103"/>
        <v>6176192.547890001</v>
      </c>
      <c r="T324">
        <f t="shared" si="104"/>
        <v>2494.3343489999993</v>
      </c>
      <c r="U324">
        <f t="shared" si="105"/>
        <v>111</v>
      </c>
      <c r="V324">
        <f t="shared" si="106"/>
        <v>18970805.476785999</v>
      </c>
      <c r="W324">
        <f>IF($A324="","",Allocation!CD324)</f>
        <v>118389.51343799999</v>
      </c>
      <c r="X324">
        <f>IF($A324="","",Allocation!CE324)</f>
        <v>289500.10540499998</v>
      </c>
      <c r="Y324">
        <f>IF($A324="","",Allocation!CF324)</f>
        <v>84288.383388000002</v>
      </c>
      <c r="Z324">
        <f>IF($A324="","",Allocation!CG324)</f>
        <v>20978.85</v>
      </c>
      <c r="AA324">
        <f>IF($A324="","",Allocation!CH324)</f>
        <v>647771.13575899997</v>
      </c>
      <c r="AB324">
        <f>IF($A324="","",Allocation!CI324)</f>
        <v>3092074.3478999999</v>
      </c>
      <c r="AC324">
        <f>IF($A324="","",IF(Allocation!$N$4="VOL_EFF",$G324,IF(Allocation!$N$4="VOL_CLASS",$H324,$I324)))</f>
        <v>2</v>
      </c>
      <c r="AD324">
        <f>IF($A324="","",IF(Allocation!$N$4="VOL_EFF",$L324,IF(Allocation!$N$4="VOL_CLASS",$M324,$N324)))</f>
        <v>10</v>
      </c>
      <c r="AE324">
        <f>IF($A324="","",IF(Allocation!$N$3="VOL_EFF",$L324,IF(Allocation!$N$3="VOL_CLASS",$M324,$N324)))</f>
        <v>221.80018000000001</v>
      </c>
      <c r="AF324">
        <f>IF($A324="","",IF(Allocation!$N$3="VOL_EFF",$Q324,IF(Allocation!$N$3="VOL_CLASS",$R324,$S324)))</f>
        <v>796.25063899999998</v>
      </c>
      <c r="AG324">
        <f>IF($A324="","",IF(Allocation!$N$1="VOL_EFF",$Q324,IF(Allocation!$N$1="VOL_CLASS",$R324,$S324)))</f>
        <v>796.25063899999998</v>
      </c>
      <c r="AH324">
        <f>IF($A324="","",IF(Allocation!$N$1="VOL_EFF",$T324,IF(Allocation!$N$1="VOL_CLASS",$U324,$V324)))</f>
        <v>2494.3343489999993</v>
      </c>
      <c r="AI324">
        <f t="shared" si="107"/>
        <v>20718.164851649999</v>
      </c>
      <c r="AJ324">
        <f t="shared" si="108"/>
        <v>50662.518445874994</v>
      </c>
      <c r="AK324">
        <f t="shared" si="109"/>
        <v>26568.976747402128</v>
      </c>
      <c r="AL324">
        <f t="shared" si="110"/>
        <v>129554.22715180001</v>
      </c>
      <c r="AM324">
        <f t="shared" si="111"/>
        <v>54990.434398865182</v>
      </c>
      <c r="AN324">
        <f t="shared" si="112"/>
        <v>23609.095476687653</v>
      </c>
      <c r="AO324">
        <f>IF($A324="","",Allocation!CJ324)</f>
        <v>642526.80000000005</v>
      </c>
      <c r="AP324">
        <f>IF($A324="","",IF(Allocation!$N$2="VOL_EFF",$Q324,IF(Allocation!$N$2="VOL_CLASS",$R324,$S324)))</f>
        <v>6176192.547890001</v>
      </c>
      <c r="AQ324">
        <f>IF($A324="","",IF(Allocation!$N$2="VOL_EFF",$T324,IF(Allocation!$N$2="VOL_CLASS",$U324,$V324)))</f>
        <v>18970805.476785999</v>
      </c>
      <c r="AR324">
        <f t="shared" si="113"/>
        <v>11653.822502720053</v>
      </c>
      <c r="AS324" t="str">
        <f>IF($A324="","",$A324&amp;"|"&amp;Allocation!BG324)</f>
        <v>2027|V03</v>
      </c>
    </row>
    <row r="325" spans="1:45" x14ac:dyDescent="0.45">
      <c r="A325" t="str">
        <f>IF(Allocation!BI325="","",Allocation!BI325)</f>
        <v>2027</v>
      </c>
      <c r="B325" t="str">
        <f>IF(Allocation!BJ325="","",Allocation!BJ325)</f>
        <v>ISCOM_TLS</v>
      </c>
      <c r="C325" t="str">
        <f>IF(Allocation!BK325="","",Allocation!BK325)</f>
        <v>ISCOM</v>
      </c>
      <c r="D325" t="str">
        <f>IF(Allocation!BL325="","",Allocation!BL325)</f>
        <v>MAS_COM</v>
      </c>
      <c r="E325" t="str">
        <f>IF(Allocation!BM325="","",Allocation!BM325)</f>
        <v>M2</v>
      </c>
      <c r="F325" t="str">
        <f>IF(Allocation!BN325="","",Allocation!BN325)</f>
        <v>ALT</v>
      </c>
      <c r="G325">
        <f>IF(Allocation!BO325="","",Allocation!BO325)</f>
        <v>45.53</v>
      </c>
      <c r="H325">
        <f>IF(Allocation!BP325="","",Allocation!BP325)</f>
        <v>2</v>
      </c>
      <c r="I325">
        <f>IF(Allocation!BQ325="","",Allocation!BQ325)</f>
        <v>335355.76799999998</v>
      </c>
      <c r="J325">
        <f>IF(Allocation!CC325="","",Allocation!CC325)</f>
        <v>0</v>
      </c>
      <c r="K325">
        <f t="shared" si="95"/>
        <v>840</v>
      </c>
      <c r="L325">
        <f t="shared" si="96"/>
        <v>221.80018000000001</v>
      </c>
      <c r="M325">
        <f t="shared" si="97"/>
        <v>10</v>
      </c>
      <c r="N325">
        <f t="shared" si="98"/>
        <v>1597221.449208</v>
      </c>
      <c r="O325">
        <f t="shared" si="99"/>
        <v>4800</v>
      </c>
      <c r="P325">
        <f t="shared" si="100"/>
        <v>86.200180000000003</v>
      </c>
      <c r="Q325">
        <f t="shared" si="101"/>
        <v>796.25063899999998</v>
      </c>
      <c r="R325">
        <f t="shared" si="102"/>
        <v>35</v>
      </c>
      <c r="S325">
        <f t="shared" si="103"/>
        <v>6176192.547890001</v>
      </c>
      <c r="T325">
        <f t="shared" si="104"/>
        <v>2494.3343489999993</v>
      </c>
      <c r="U325">
        <f t="shared" si="105"/>
        <v>111</v>
      </c>
      <c r="V325">
        <f t="shared" si="106"/>
        <v>18970805.476785999</v>
      </c>
      <c r="W325">
        <f>IF($A325="","",Allocation!CD325)</f>
        <v>118389.51343799999</v>
      </c>
      <c r="X325">
        <f>IF($A325="","",Allocation!CE325)</f>
        <v>289500.10540499998</v>
      </c>
      <c r="Y325">
        <f>IF($A325="","",Allocation!CF325)</f>
        <v>84288.383388000002</v>
      </c>
      <c r="Z325">
        <f>IF($A325="","",Allocation!CG325)</f>
        <v>20978.85</v>
      </c>
      <c r="AA325">
        <f>IF($A325="","",Allocation!CH325)</f>
        <v>647771.13575899997</v>
      </c>
      <c r="AB325">
        <f>IF($A325="","",Allocation!CI325)</f>
        <v>3092074.3478999999</v>
      </c>
      <c r="AC325">
        <f>IF($A325="","",IF(Allocation!$N$4="VOL_EFF",$G325,IF(Allocation!$N$4="VOL_CLASS",$H325,$I325)))</f>
        <v>2</v>
      </c>
      <c r="AD325">
        <f>IF($A325="","",IF(Allocation!$N$4="VOL_EFF",$L325,IF(Allocation!$N$4="VOL_CLASS",$M325,$N325)))</f>
        <v>10</v>
      </c>
      <c r="AE325">
        <f>IF($A325="","",IF(Allocation!$N$3="VOL_EFF",$L325,IF(Allocation!$N$3="VOL_CLASS",$M325,$N325)))</f>
        <v>221.80018000000001</v>
      </c>
      <c r="AF325">
        <f>IF($A325="","",IF(Allocation!$N$3="VOL_EFF",$Q325,IF(Allocation!$N$3="VOL_CLASS",$R325,$S325)))</f>
        <v>796.25063899999998</v>
      </c>
      <c r="AG325">
        <f>IF($A325="","",IF(Allocation!$N$1="VOL_EFF",$Q325,IF(Allocation!$N$1="VOL_CLASS",$R325,$S325)))</f>
        <v>796.25063899999998</v>
      </c>
      <c r="AH325">
        <f>IF($A325="","",IF(Allocation!$N$1="VOL_EFF",$T325,IF(Allocation!$N$1="VOL_CLASS",$U325,$V325)))</f>
        <v>2494.3343489999993</v>
      </c>
      <c r="AI325">
        <f t="shared" si="107"/>
        <v>20718.164851649999</v>
      </c>
      <c r="AJ325">
        <f t="shared" si="108"/>
        <v>50662.518445874994</v>
      </c>
      <c r="AK325">
        <f t="shared" si="109"/>
        <v>17302.285758540143</v>
      </c>
      <c r="AL325">
        <f t="shared" si="110"/>
        <v>129554.22715180001</v>
      </c>
      <c r="AM325">
        <f t="shared" si="111"/>
        <v>54990.434398865182</v>
      </c>
      <c r="AN325">
        <f t="shared" si="112"/>
        <v>50474.314890549576</v>
      </c>
      <c r="AO325">
        <f>IF($A325="","",Allocation!CJ325)</f>
        <v>642526.80000000005</v>
      </c>
      <c r="AP325">
        <f>IF($A325="","",IF(Allocation!$N$2="VOL_EFF",$Q325,IF(Allocation!$N$2="VOL_CLASS",$R325,$S325)))</f>
        <v>6176192.547890001</v>
      </c>
      <c r="AQ325">
        <f>IF($A325="","",IF(Allocation!$N$2="VOL_EFF",$T325,IF(Allocation!$N$2="VOL_CLASS",$U325,$V325)))</f>
        <v>18970805.476785999</v>
      </c>
      <c r="AR325">
        <f t="shared" si="113"/>
        <v>11653.822502720053</v>
      </c>
      <c r="AS325" t="str">
        <f>IF($A325="","",$A325&amp;"|"&amp;Allocation!BG325)</f>
        <v>2027|V03</v>
      </c>
    </row>
    <row r="326" spans="1:45" x14ac:dyDescent="0.45">
      <c r="A326" t="str">
        <f>IF(Allocation!BI326="","",Allocation!BI326)</f>
        <v>2027</v>
      </c>
      <c r="B326" t="str">
        <f>IF(Allocation!BJ326="","",Allocation!BJ326)</f>
        <v>MBWAY_BOR</v>
      </c>
      <c r="C326" t="str">
        <f>IF(Allocation!BK326="","",Allocation!BK326)</f>
        <v>MBWAY</v>
      </c>
      <c r="D326" t="str">
        <f>IF(Allocation!BL326="","",Allocation!BL326)</f>
        <v>BAC_MGT</v>
      </c>
      <c r="E326" t="str">
        <f>IF(Allocation!BM326="","",Allocation!BM326)</f>
        <v>B1</v>
      </c>
      <c r="F326" t="str">
        <f>IF(Allocation!BN326="","",Allocation!BN326)</f>
        <v>INIT</v>
      </c>
      <c r="G326">
        <f>IF(Allocation!BO326="","",Allocation!BO326)</f>
        <v>47.269295</v>
      </c>
      <c r="H326">
        <f>IF(Allocation!BP326="","",Allocation!BP326)</f>
        <v>2</v>
      </c>
      <c r="I326">
        <f>IF(Allocation!BQ326="","",Allocation!BQ326)</f>
        <v>356391.57658200001</v>
      </c>
      <c r="J326">
        <f>IF(Allocation!CC326="","",Allocation!CC326)</f>
        <v>47.269295</v>
      </c>
      <c r="K326">
        <f t="shared" si="95"/>
        <v>1200</v>
      </c>
      <c r="L326">
        <f t="shared" si="96"/>
        <v>238.99226900000002</v>
      </c>
      <c r="M326">
        <f t="shared" si="97"/>
        <v>10</v>
      </c>
      <c r="N326">
        <f t="shared" si="98"/>
        <v>1741134.5713519999</v>
      </c>
      <c r="O326">
        <f t="shared" si="99"/>
        <v>4800</v>
      </c>
      <c r="P326">
        <f t="shared" si="100"/>
        <v>93.502268999999998</v>
      </c>
      <c r="Q326">
        <f t="shared" si="101"/>
        <v>1199.3485369999999</v>
      </c>
      <c r="R326">
        <f t="shared" si="102"/>
        <v>50</v>
      </c>
      <c r="S326">
        <f t="shared" si="103"/>
        <v>9397044.3791000005</v>
      </c>
      <c r="T326">
        <f t="shared" si="104"/>
        <v>2494.3343489999993</v>
      </c>
      <c r="U326">
        <f t="shared" si="105"/>
        <v>111</v>
      </c>
      <c r="V326">
        <f t="shared" si="106"/>
        <v>18970805.476785999</v>
      </c>
      <c r="W326">
        <f>IF($A326="","",Allocation!CD326)</f>
        <v>118389.51343799999</v>
      </c>
      <c r="X326">
        <f>IF($A326="","",Allocation!CE326)</f>
        <v>303184.56283499999</v>
      </c>
      <c r="Y326">
        <f>IF($A326="","",Allocation!CF326)</f>
        <v>90856.589544000002</v>
      </c>
      <c r="Z326">
        <f>IF($A326="","",Allocation!CG326)</f>
        <v>23676.85</v>
      </c>
      <c r="AA326">
        <f>IF($A326="","",Allocation!CH326)</f>
        <v>713411.78729600005</v>
      </c>
      <c r="AB326">
        <f>IF($A326="","",Allocation!CI326)</f>
        <v>3092074.3478999999</v>
      </c>
      <c r="AC326">
        <f>IF($A326="","",IF(Allocation!$N$4="VOL_EFF",$G326,IF(Allocation!$N$4="VOL_CLASS",$H326,$I326)))</f>
        <v>2</v>
      </c>
      <c r="AD326">
        <f>IF($A326="","",IF(Allocation!$N$4="VOL_EFF",$L326,IF(Allocation!$N$4="VOL_CLASS",$M326,$N326)))</f>
        <v>10</v>
      </c>
      <c r="AE326">
        <f>IF($A326="","",IF(Allocation!$N$3="VOL_EFF",$L326,IF(Allocation!$N$3="VOL_CLASS",$M326,$N326)))</f>
        <v>238.99226900000002</v>
      </c>
      <c r="AF326">
        <f>IF($A326="","",IF(Allocation!$N$3="VOL_EFF",$Q326,IF(Allocation!$N$3="VOL_CLASS",$R326,$S326)))</f>
        <v>1199.3485369999999</v>
      </c>
      <c r="AG326">
        <f>IF($A326="","",IF(Allocation!$N$1="VOL_EFF",$Q326,IF(Allocation!$N$1="VOL_CLASS",$R326,$S326)))</f>
        <v>1199.3485369999999</v>
      </c>
      <c r="AH326">
        <f>IF($A326="","",IF(Allocation!$N$1="VOL_EFF",$T326,IF(Allocation!$N$1="VOL_CLASS",$U326,$V326)))</f>
        <v>2494.3343489999993</v>
      </c>
      <c r="AI326">
        <f t="shared" si="107"/>
        <v>29597.378359499999</v>
      </c>
      <c r="AJ326">
        <f t="shared" si="108"/>
        <v>75796.140708749997</v>
      </c>
      <c r="AK326">
        <f t="shared" si="109"/>
        <v>29939.784786672499</v>
      </c>
      <c r="AL326">
        <f t="shared" si="110"/>
        <v>142682.35745920002</v>
      </c>
      <c r="AM326">
        <f t="shared" si="111"/>
        <v>59252.831491301942</v>
      </c>
      <c r="AN326">
        <f t="shared" si="112"/>
        <v>6438.822116567404</v>
      </c>
      <c r="AO326">
        <f>IF($A326="","",Allocation!CJ326)</f>
        <v>642526.80000000005</v>
      </c>
      <c r="AP326">
        <f>IF($A326="","",IF(Allocation!$N$2="VOL_EFF",$Q326,IF(Allocation!$N$2="VOL_CLASS",$R326,$S326)))</f>
        <v>9397044.3791000005</v>
      </c>
      <c r="AQ326">
        <f>IF($A326="","",IF(Allocation!$N$2="VOL_EFF",$T326,IF(Allocation!$N$2="VOL_CLASS",$U326,$V326)))</f>
        <v>18970805.476785999</v>
      </c>
      <c r="AR326">
        <f t="shared" si="113"/>
        <v>12684.26166000818</v>
      </c>
      <c r="AS326" t="str">
        <f>IF($A326="","",$A326&amp;"|"&amp;Allocation!BG326)</f>
        <v>2027|V03</v>
      </c>
    </row>
    <row r="327" spans="1:45" x14ac:dyDescent="0.45">
      <c r="A327" t="str">
        <f>IF(Allocation!BI327="","",Allocation!BI327)</f>
        <v>2027</v>
      </c>
      <c r="B327" t="str">
        <f>IF(Allocation!BJ327="","",Allocation!BJ327)</f>
        <v>MBWAY_BOR</v>
      </c>
      <c r="C327" t="str">
        <f>IF(Allocation!BK327="","",Allocation!BK327)</f>
        <v>MBWAY</v>
      </c>
      <c r="D327" t="str">
        <f>IF(Allocation!BL327="","",Allocation!BL327)</f>
        <v>BAC_MGT</v>
      </c>
      <c r="E327" t="str">
        <f>IF(Allocation!BM327="","",Allocation!BM327)</f>
        <v>B2</v>
      </c>
      <c r="F327" t="str">
        <f>IF(Allocation!BN327="","",Allocation!BN327)</f>
        <v>ALT</v>
      </c>
      <c r="G327">
        <f>IF(Allocation!BO327="","",Allocation!BO327)</f>
        <v>48.49</v>
      </c>
      <c r="H327">
        <f>IF(Allocation!BP327="","",Allocation!BP327)</f>
        <v>2</v>
      </c>
      <c r="I327">
        <f>IF(Allocation!BQ327="","",Allocation!BQ327)</f>
        <v>337149.03039999999</v>
      </c>
      <c r="J327">
        <f>IF(Allocation!CC327="","",Allocation!CC327)</f>
        <v>0</v>
      </c>
      <c r="K327">
        <f t="shared" si="95"/>
        <v>960</v>
      </c>
      <c r="L327">
        <f t="shared" si="96"/>
        <v>238.99226900000002</v>
      </c>
      <c r="M327">
        <f t="shared" si="97"/>
        <v>10</v>
      </c>
      <c r="N327">
        <f t="shared" si="98"/>
        <v>1741134.5713519999</v>
      </c>
      <c r="O327">
        <f t="shared" si="99"/>
        <v>4800</v>
      </c>
      <c r="P327">
        <f t="shared" si="100"/>
        <v>93.502268999999998</v>
      </c>
      <c r="Q327">
        <f t="shared" si="101"/>
        <v>1199.3485369999999</v>
      </c>
      <c r="R327">
        <f t="shared" si="102"/>
        <v>50</v>
      </c>
      <c r="S327">
        <f t="shared" si="103"/>
        <v>9397044.3791000005</v>
      </c>
      <c r="T327">
        <f t="shared" si="104"/>
        <v>2494.3343489999993</v>
      </c>
      <c r="U327">
        <f t="shared" si="105"/>
        <v>111</v>
      </c>
      <c r="V327">
        <f t="shared" si="106"/>
        <v>18970805.476785999</v>
      </c>
      <c r="W327">
        <f>IF($A327="","",Allocation!CD327)</f>
        <v>118389.51343799999</v>
      </c>
      <c r="X327">
        <f>IF($A327="","",Allocation!CE327)</f>
        <v>303184.56283499999</v>
      </c>
      <c r="Y327">
        <f>IF($A327="","",Allocation!CF327)</f>
        <v>90856.589544000002</v>
      </c>
      <c r="Z327">
        <f>IF($A327="","",Allocation!CG327)</f>
        <v>23676.85</v>
      </c>
      <c r="AA327">
        <f>IF($A327="","",Allocation!CH327)</f>
        <v>713411.78729600005</v>
      </c>
      <c r="AB327">
        <f>IF($A327="","",Allocation!CI327)</f>
        <v>3092074.3478999999</v>
      </c>
      <c r="AC327">
        <f>IF($A327="","",IF(Allocation!$N$4="VOL_EFF",$G327,IF(Allocation!$N$4="VOL_CLASS",$H327,$I327)))</f>
        <v>2</v>
      </c>
      <c r="AD327">
        <f>IF($A327="","",IF(Allocation!$N$4="VOL_EFF",$L327,IF(Allocation!$N$4="VOL_CLASS",$M327,$N327)))</f>
        <v>10</v>
      </c>
      <c r="AE327">
        <f>IF($A327="","",IF(Allocation!$N$3="VOL_EFF",$L327,IF(Allocation!$N$3="VOL_CLASS",$M327,$N327)))</f>
        <v>238.99226900000002</v>
      </c>
      <c r="AF327">
        <f>IF($A327="","",IF(Allocation!$N$3="VOL_EFF",$Q327,IF(Allocation!$N$3="VOL_CLASS",$R327,$S327)))</f>
        <v>1199.3485369999999</v>
      </c>
      <c r="AG327">
        <f>IF($A327="","",IF(Allocation!$N$1="VOL_EFF",$Q327,IF(Allocation!$N$1="VOL_CLASS",$R327,$S327)))</f>
        <v>1199.3485369999999</v>
      </c>
      <c r="AH327">
        <f>IF($A327="","",IF(Allocation!$N$1="VOL_EFF",$T327,IF(Allocation!$N$1="VOL_CLASS",$U327,$V327)))</f>
        <v>2494.3343489999993</v>
      </c>
      <c r="AI327">
        <f t="shared" si="107"/>
        <v>23677.902687599999</v>
      </c>
      <c r="AJ327">
        <f t="shared" si="108"/>
        <v>60636.912566999999</v>
      </c>
      <c r="AK327">
        <f t="shared" si="109"/>
        <v>18434.219840762129</v>
      </c>
      <c r="AL327">
        <f t="shared" si="110"/>
        <v>142682.35745920002</v>
      </c>
      <c r="AM327">
        <f t="shared" si="111"/>
        <v>59252.831491301942</v>
      </c>
      <c r="AN327">
        <f t="shared" si="112"/>
        <v>19780.544694127748</v>
      </c>
      <c r="AO327">
        <f>IF($A327="","",Allocation!CJ327)</f>
        <v>642526.80000000005</v>
      </c>
      <c r="AP327">
        <f>IF($A327="","",IF(Allocation!$N$2="VOL_EFF",$Q327,IF(Allocation!$N$2="VOL_CLASS",$R327,$S327)))</f>
        <v>9397044.3791000005</v>
      </c>
      <c r="AQ327">
        <f>IF($A327="","",IF(Allocation!$N$2="VOL_EFF",$T327,IF(Allocation!$N$2="VOL_CLASS",$U327,$V327)))</f>
        <v>18970805.476785999</v>
      </c>
      <c r="AR327">
        <f t="shared" si="113"/>
        <v>12684.26166000818</v>
      </c>
      <c r="AS327" t="str">
        <f>IF($A327="","",$A327&amp;"|"&amp;Allocation!BG327)</f>
        <v>2027|V03</v>
      </c>
    </row>
    <row r="328" spans="1:45" x14ac:dyDescent="0.45">
      <c r="A328" t="str">
        <f>IF(Allocation!BI328="","",Allocation!BI328)</f>
        <v>2027</v>
      </c>
      <c r="B328" t="str">
        <f>IF(Allocation!BJ328="","",Allocation!BJ328)</f>
        <v>MBWAY_BOR</v>
      </c>
      <c r="C328" t="str">
        <f>IF(Allocation!BK328="","",Allocation!BK328)</f>
        <v>MBWAY</v>
      </c>
      <c r="D328" t="str">
        <f>IF(Allocation!BL328="","",Allocation!BL328)</f>
        <v>BAC_MGT</v>
      </c>
      <c r="E328" t="str">
        <f>IF(Allocation!BM328="","",Allocation!BM328)</f>
        <v>B3</v>
      </c>
      <c r="F328" t="str">
        <f>IF(Allocation!BN328="","",Allocation!BN328)</f>
        <v>ALT</v>
      </c>
      <c r="G328">
        <f>IF(Allocation!BO328="","",Allocation!BO328)</f>
        <v>47.51</v>
      </c>
      <c r="H328">
        <f>IF(Allocation!BP328="","",Allocation!BP328)</f>
        <v>2</v>
      </c>
      <c r="I328">
        <f>IF(Allocation!BQ328="","",Allocation!BQ328)</f>
        <v>330335.12959999999</v>
      </c>
      <c r="J328">
        <f>IF(Allocation!CC328="","",Allocation!CC328)</f>
        <v>0</v>
      </c>
      <c r="K328">
        <f t="shared" si="95"/>
        <v>960</v>
      </c>
      <c r="L328">
        <f t="shared" si="96"/>
        <v>238.99226900000002</v>
      </c>
      <c r="M328">
        <f t="shared" si="97"/>
        <v>10</v>
      </c>
      <c r="N328">
        <f t="shared" si="98"/>
        <v>1741134.5713519999</v>
      </c>
      <c r="O328">
        <f t="shared" si="99"/>
        <v>4800</v>
      </c>
      <c r="P328">
        <f t="shared" si="100"/>
        <v>93.502268999999998</v>
      </c>
      <c r="Q328">
        <f t="shared" si="101"/>
        <v>1199.3485369999999</v>
      </c>
      <c r="R328">
        <f t="shared" si="102"/>
        <v>50</v>
      </c>
      <c r="S328">
        <f t="shared" si="103"/>
        <v>9397044.3791000005</v>
      </c>
      <c r="T328">
        <f t="shared" si="104"/>
        <v>2494.3343489999993</v>
      </c>
      <c r="U328">
        <f t="shared" si="105"/>
        <v>111</v>
      </c>
      <c r="V328">
        <f t="shared" si="106"/>
        <v>18970805.476785999</v>
      </c>
      <c r="W328">
        <f>IF($A328="","",Allocation!CD328)</f>
        <v>118389.51343799999</v>
      </c>
      <c r="X328">
        <f>IF($A328="","",Allocation!CE328)</f>
        <v>303184.56283499999</v>
      </c>
      <c r="Y328">
        <f>IF($A328="","",Allocation!CF328)</f>
        <v>90856.589544000002</v>
      </c>
      <c r="Z328">
        <f>IF($A328="","",Allocation!CG328)</f>
        <v>23676.85</v>
      </c>
      <c r="AA328">
        <f>IF($A328="","",Allocation!CH328)</f>
        <v>713411.78729600005</v>
      </c>
      <c r="AB328">
        <f>IF($A328="","",Allocation!CI328)</f>
        <v>3092074.3478999999</v>
      </c>
      <c r="AC328">
        <f>IF($A328="","",IF(Allocation!$N$4="VOL_EFF",$G328,IF(Allocation!$N$4="VOL_CLASS",$H328,$I328)))</f>
        <v>2</v>
      </c>
      <c r="AD328">
        <f>IF($A328="","",IF(Allocation!$N$4="VOL_EFF",$L328,IF(Allocation!$N$4="VOL_CLASS",$M328,$N328)))</f>
        <v>10</v>
      </c>
      <c r="AE328">
        <f>IF($A328="","",IF(Allocation!$N$3="VOL_EFF",$L328,IF(Allocation!$N$3="VOL_CLASS",$M328,$N328)))</f>
        <v>238.99226900000002</v>
      </c>
      <c r="AF328">
        <f>IF($A328="","",IF(Allocation!$N$3="VOL_EFF",$Q328,IF(Allocation!$N$3="VOL_CLASS",$R328,$S328)))</f>
        <v>1199.3485369999999</v>
      </c>
      <c r="AG328">
        <f>IF($A328="","",IF(Allocation!$N$1="VOL_EFF",$Q328,IF(Allocation!$N$1="VOL_CLASS",$R328,$S328)))</f>
        <v>1199.3485369999999</v>
      </c>
      <c r="AH328">
        <f>IF($A328="","",IF(Allocation!$N$1="VOL_EFF",$T328,IF(Allocation!$N$1="VOL_CLASS",$U328,$V328)))</f>
        <v>2494.3343489999993</v>
      </c>
      <c r="AI328">
        <f t="shared" si="107"/>
        <v>23677.902687599999</v>
      </c>
      <c r="AJ328">
        <f t="shared" si="108"/>
        <v>60636.912566999999</v>
      </c>
      <c r="AK328">
        <f t="shared" si="109"/>
        <v>18061.657756952129</v>
      </c>
      <c r="AL328">
        <f t="shared" si="110"/>
        <v>142682.35745920002</v>
      </c>
      <c r="AM328">
        <f t="shared" si="111"/>
        <v>59252.831491301942</v>
      </c>
      <c r="AN328">
        <f t="shared" si="112"/>
        <v>13339.20597793773</v>
      </c>
      <c r="AO328">
        <f>IF($A328="","",Allocation!CJ328)</f>
        <v>642526.80000000005</v>
      </c>
      <c r="AP328">
        <f>IF($A328="","",IF(Allocation!$N$2="VOL_EFF",$Q328,IF(Allocation!$N$2="VOL_CLASS",$R328,$S328)))</f>
        <v>9397044.3791000005</v>
      </c>
      <c r="AQ328">
        <f>IF($A328="","",IF(Allocation!$N$2="VOL_EFF",$T328,IF(Allocation!$N$2="VOL_CLASS",$U328,$V328)))</f>
        <v>18970805.476785999</v>
      </c>
      <c r="AR328">
        <f t="shared" si="113"/>
        <v>12684.26166000818</v>
      </c>
      <c r="AS328" t="str">
        <f>IF($A328="","",$A328&amp;"|"&amp;Allocation!BG328)</f>
        <v>2027|V03</v>
      </c>
    </row>
    <row r="329" spans="1:45" x14ac:dyDescent="0.45">
      <c r="A329" t="str">
        <f>IF(Allocation!BI329="","",Allocation!BI329)</f>
        <v>2027</v>
      </c>
      <c r="B329" t="str">
        <f>IF(Allocation!BJ329="","",Allocation!BJ329)</f>
        <v>MBWAY_BOR</v>
      </c>
      <c r="C329" t="str">
        <f>IF(Allocation!BK329="","",Allocation!BK329)</f>
        <v>MBWAY</v>
      </c>
      <c r="D329" t="str">
        <f>IF(Allocation!BL329="","",Allocation!BL329)</f>
        <v>MAS_MGT</v>
      </c>
      <c r="E329" t="str">
        <f>IF(Allocation!BM329="","",Allocation!BM329)</f>
        <v>M1</v>
      </c>
      <c r="F329" t="str">
        <f>IF(Allocation!BN329="","",Allocation!BN329)</f>
        <v>ALT</v>
      </c>
      <c r="G329">
        <f>IF(Allocation!BO329="","",Allocation!BO329)</f>
        <v>46.232973999999999</v>
      </c>
      <c r="H329">
        <f>IF(Allocation!BP329="","",Allocation!BP329)</f>
        <v>2</v>
      </c>
      <c r="I329">
        <f>IF(Allocation!BQ329="","",Allocation!BQ329)</f>
        <v>348578.13076999999</v>
      </c>
      <c r="J329">
        <f>IF(Allocation!CC329="","",Allocation!CC329)</f>
        <v>46.232973999999999</v>
      </c>
      <c r="K329">
        <f t="shared" si="95"/>
        <v>840</v>
      </c>
      <c r="L329">
        <f t="shared" si="96"/>
        <v>238.99226900000002</v>
      </c>
      <c r="M329">
        <f t="shared" si="97"/>
        <v>10</v>
      </c>
      <c r="N329">
        <f t="shared" si="98"/>
        <v>1741134.5713519999</v>
      </c>
      <c r="O329">
        <f t="shared" si="99"/>
        <v>4800</v>
      </c>
      <c r="P329">
        <f t="shared" si="100"/>
        <v>93.502268999999998</v>
      </c>
      <c r="Q329">
        <f t="shared" si="101"/>
        <v>1199.3485369999999</v>
      </c>
      <c r="R329">
        <f t="shared" si="102"/>
        <v>50</v>
      </c>
      <c r="S329">
        <f t="shared" si="103"/>
        <v>9397044.3791000005</v>
      </c>
      <c r="T329">
        <f t="shared" si="104"/>
        <v>2494.3343489999993</v>
      </c>
      <c r="U329">
        <f t="shared" si="105"/>
        <v>111</v>
      </c>
      <c r="V329">
        <f t="shared" si="106"/>
        <v>18970805.476785999</v>
      </c>
      <c r="W329">
        <f>IF($A329="","",Allocation!CD329)</f>
        <v>118389.51343799999</v>
      </c>
      <c r="X329">
        <f>IF($A329="","",Allocation!CE329)</f>
        <v>303184.56283499999</v>
      </c>
      <c r="Y329">
        <f>IF($A329="","",Allocation!CF329)</f>
        <v>90856.589544000002</v>
      </c>
      <c r="Z329">
        <f>IF($A329="","",Allocation!CG329)</f>
        <v>23676.85</v>
      </c>
      <c r="AA329">
        <f>IF($A329="","",Allocation!CH329)</f>
        <v>713411.78729600005</v>
      </c>
      <c r="AB329">
        <f>IF($A329="","",Allocation!CI329)</f>
        <v>3092074.3478999999</v>
      </c>
      <c r="AC329">
        <f>IF($A329="","",IF(Allocation!$N$4="VOL_EFF",$G329,IF(Allocation!$N$4="VOL_CLASS",$H329,$I329)))</f>
        <v>2</v>
      </c>
      <c r="AD329">
        <f>IF($A329="","",IF(Allocation!$N$4="VOL_EFF",$L329,IF(Allocation!$N$4="VOL_CLASS",$M329,$N329)))</f>
        <v>10</v>
      </c>
      <c r="AE329">
        <f>IF($A329="","",IF(Allocation!$N$3="VOL_EFF",$L329,IF(Allocation!$N$3="VOL_CLASS",$M329,$N329)))</f>
        <v>238.99226900000002</v>
      </c>
      <c r="AF329">
        <f>IF($A329="","",IF(Allocation!$N$3="VOL_EFF",$Q329,IF(Allocation!$N$3="VOL_CLASS",$R329,$S329)))</f>
        <v>1199.3485369999999</v>
      </c>
      <c r="AG329">
        <f>IF($A329="","",IF(Allocation!$N$1="VOL_EFF",$Q329,IF(Allocation!$N$1="VOL_CLASS",$R329,$S329)))</f>
        <v>1199.3485369999999</v>
      </c>
      <c r="AH329">
        <f>IF($A329="","",IF(Allocation!$N$1="VOL_EFF",$T329,IF(Allocation!$N$1="VOL_CLASS",$U329,$V329)))</f>
        <v>2494.3343489999993</v>
      </c>
      <c r="AI329">
        <f t="shared" si="107"/>
        <v>20718.164851649999</v>
      </c>
      <c r="AJ329">
        <f t="shared" si="108"/>
        <v>53057.298496124997</v>
      </c>
      <c r="AK329">
        <f t="shared" si="109"/>
        <v>29283.391927208249</v>
      </c>
      <c r="AL329">
        <f t="shared" si="110"/>
        <v>142682.35745920002</v>
      </c>
      <c r="AM329">
        <f t="shared" si="111"/>
        <v>59252.831491301942</v>
      </c>
      <c r="AN329">
        <f t="shared" si="112"/>
        <v>30899.824884506641</v>
      </c>
      <c r="AO329">
        <f>IF($A329="","",Allocation!CJ329)</f>
        <v>642526.80000000005</v>
      </c>
      <c r="AP329">
        <f>IF($A329="","",IF(Allocation!$N$2="VOL_EFF",$Q329,IF(Allocation!$N$2="VOL_CLASS",$R329,$S329)))</f>
        <v>9397044.3791000005</v>
      </c>
      <c r="AQ329">
        <f>IF($A329="","",IF(Allocation!$N$2="VOL_EFF",$T329,IF(Allocation!$N$2="VOL_CLASS",$U329,$V329)))</f>
        <v>18970805.476785999</v>
      </c>
      <c r="AR329">
        <f t="shared" si="113"/>
        <v>12684.26166000818</v>
      </c>
      <c r="AS329" t="str">
        <f>IF($A329="","",$A329&amp;"|"&amp;Allocation!BG329)</f>
        <v>2027|V03</v>
      </c>
    </row>
    <row r="330" spans="1:45" x14ac:dyDescent="0.45">
      <c r="A330" t="str">
        <f>IF(Allocation!BI330="","",Allocation!BI330)</f>
        <v>2027</v>
      </c>
      <c r="B330" t="str">
        <f>IF(Allocation!BJ330="","",Allocation!BJ330)</f>
        <v>MBWAY_BOR</v>
      </c>
      <c r="C330" t="str">
        <f>IF(Allocation!BK330="","",Allocation!BK330)</f>
        <v>MBWAY</v>
      </c>
      <c r="D330" t="str">
        <f>IF(Allocation!BL330="","",Allocation!BL330)</f>
        <v>MAS_MGT</v>
      </c>
      <c r="E330" t="str">
        <f>IF(Allocation!BM330="","",Allocation!BM330)</f>
        <v>M2</v>
      </c>
      <c r="F330" t="str">
        <f>IF(Allocation!BN330="","",Allocation!BN330)</f>
        <v>ALT</v>
      </c>
      <c r="G330">
        <f>IF(Allocation!BO330="","",Allocation!BO330)</f>
        <v>49.49</v>
      </c>
      <c r="H330">
        <f>IF(Allocation!BP330="","",Allocation!BP330)</f>
        <v>2</v>
      </c>
      <c r="I330">
        <f>IF(Allocation!BQ330="","",Allocation!BQ330)</f>
        <v>368680.70400000003</v>
      </c>
      <c r="J330">
        <f>IF(Allocation!CC330="","",Allocation!CC330)</f>
        <v>0</v>
      </c>
      <c r="K330">
        <f t="shared" si="95"/>
        <v>840</v>
      </c>
      <c r="L330">
        <f t="shared" si="96"/>
        <v>238.99226900000002</v>
      </c>
      <c r="M330">
        <f t="shared" si="97"/>
        <v>10</v>
      </c>
      <c r="N330">
        <f t="shared" si="98"/>
        <v>1741134.5713519999</v>
      </c>
      <c r="O330">
        <f t="shared" si="99"/>
        <v>4800</v>
      </c>
      <c r="P330">
        <f t="shared" si="100"/>
        <v>93.502268999999998</v>
      </c>
      <c r="Q330">
        <f t="shared" si="101"/>
        <v>1199.3485369999999</v>
      </c>
      <c r="R330">
        <f t="shared" si="102"/>
        <v>50</v>
      </c>
      <c r="S330">
        <f t="shared" si="103"/>
        <v>9397044.3791000005</v>
      </c>
      <c r="T330">
        <f t="shared" si="104"/>
        <v>2494.3343489999993</v>
      </c>
      <c r="U330">
        <f t="shared" si="105"/>
        <v>111</v>
      </c>
      <c r="V330">
        <f t="shared" si="106"/>
        <v>18970805.476785999</v>
      </c>
      <c r="W330">
        <f>IF($A330="","",Allocation!CD330)</f>
        <v>118389.51343799999</v>
      </c>
      <c r="X330">
        <f>IF($A330="","",Allocation!CE330)</f>
        <v>303184.56283499999</v>
      </c>
      <c r="Y330">
        <f>IF($A330="","",Allocation!CF330)</f>
        <v>90856.589544000002</v>
      </c>
      <c r="Z330">
        <f>IF($A330="","",Allocation!CG330)</f>
        <v>23676.85</v>
      </c>
      <c r="AA330">
        <f>IF($A330="","",Allocation!CH330)</f>
        <v>713411.78729600005</v>
      </c>
      <c r="AB330">
        <f>IF($A330="","",Allocation!CI330)</f>
        <v>3092074.3478999999</v>
      </c>
      <c r="AC330">
        <f>IF($A330="","",IF(Allocation!$N$4="VOL_EFF",$G330,IF(Allocation!$N$4="VOL_CLASS",$H330,$I330)))</f>
        <v>2</v>
      </c>
      <c r="AD330">
        <f>IF($A330="","",IF(Allocation!$N$4="VOL_EFF",$L330,IF(Allocation!$N$4="VOL_CLASS",$M330,$N330)))</f>
        <v>10</v>
      </c>
      <c r="AE330">
        <f>IF($A330="","",IF(Allocation!$N$3="VOL_EFF",$L330,IF(Allocation!$N$3="VOL_CLASS",$M330,$N330)))</f>
        <v>238.99226900000002</v>
      </c>
      <c r="AF330">
        <f>IF($A330="","",IF(Allocation!$N$3="VOL_EFF",$Q330,IF(Allocation!$N$3="VOL_CLASS",$R330,$S330)))</f>
        <v>1199.3485369999999</v>
      </c>
      <c r="AG330">
        <f>IF($A330="","",IF(Allocation!$N$1="VOL_EFF",$Q330,IF(Allocation!$N$1="VOL_CLASS",$R330,$S330)))</f>
        <v>1199.3485369999999</v>
      </c>
      <c r="AH330">
        <f>IF($A330="","",IF(Allocation!$N$1="VOL_EFF",$T330,IF(Allocation!$N$1="VOL_CLASS",$U330,$V330)))</f>
        <v>2494.3343489999993</v>
      </c>
      <c r="AI330">
        <f t="shared" si="107"/>
        <v>20718.164851649999</v>
      </c>
      <c r="AJ330">
        <f t="shared" si="108"/>
        <v>53057.298496124997</v>
      </c>
      <c r="AK330">
        <f t="shared" si="109"/>
        <v>18814.385232404988</v>
      </c>
      <c r="AL330">
        <f t="shared" si="110"/>
        <v>142682.35745920002</v>
      </c>
      <c r="AM330">
        <f t="shared" si="111"/>
        <v>59252.831491301942</v>
      </c>
      <c r="AN330">
        <f t="shared" si="112"/>
        <v>61471.404809309926</v>
      </c>
      <c r="AO330">
        <f>IF($A330="","",Allocation!CJ330)</f>
        <v>642526.80000000005</v>
      </c>
      <c r="AP330">
        <f>IF($A330="","",IF(Allocation!$N$2="VOL_EFF",$Q330,IF(Allocation!$N$2="VOL_CLASS",$R330,$S330)))</f>
        <v>9397044.3791000005</v>
      </c>
      <c r="AQ330">
        <f>IF($A330="","",IF(Allocation!$N$2="VOL_EFF",$T330,IF(Allocation!$N$2="VOL_CLASS",$U330,$V330)))</f>
        <v>18970805.476785999</v>
      </c>
      <c r="AR330">
        <f t="shared" si="113"/>
        <v>12684.26166000818</v>
      </c>
      <c r="AS330" t="str">
        <f>IF($A330="","",$A330&amp;"|"&amp;Allocation!BG330)</f>
        <v>2027|V03</v>
      </c>
    </row>
    <row r="331" spans="1:45" x14ac:dyDescent="0.45">
      <c r="A331" t="str">
        <f>IF(Allocation!BI331="","",Allocation!BI331)</f>
        <v>2027</v>
      </c>
      <c r="B331" t="str">
        <f>IF(Allocation!BJ331="","",Allocation!BJ331)</f>
        <v>MBWAY_LYO</v>
      </c>
      <c r="C331" t="str">
        <f>IF(Allocation!BK331="","",Allocation!BK331)</f>
        <v>MBWAY</v>
      </c>
      <c r="D331" t="str">
        <f>IF(Allocation!BL331="","",Allocation!BL331)</f>
        <v>BAC_MGT</v>
      </c>
      <c r="E331" t="str">
        <f>IF(Allocation!BM331="","",Allocation!BM331)</f>
        <v>B1</v>
      </c>
      <c r="F331" t="str">
        <f>IF(Allocation!BN331="","",Allocation!BN331)</f>
        <v>INIT</v>
      </c>
      <c r="G331">
        <f>IF(Allocation!BO331="","",Allocation!BO331)</f>
        <v>61.226542999999999</v>
      </c>
      <c r="H331">
        <f>IF(Allocation!BP331="","",Allocation!BP331)</f>
        <v>3</v>
      </c>
      <c r="I331">
        <f>IF(Allocation!BQ331="","",Allocation!BQ331)</f>
        <v>499241.23162199999</v>
      </c>
      <c r="J331">
        <f>IF(Allocation!CC331="","",Allocation!CC331)</f>
        <v>61.226542999999999</v>
      </c>
      <c r="K331">
        <f t="shared" si="95"/>
        <v>1800</v>
      </c>
      <c r="L331">
        <f t="shared" si="96"/>
        <v>311.14745900000003</v>
      </c>
      <c r="M331">
        <f t="shared" si="97"/>
        <v>13</v>
      </c>
      <c r="N331">
        <f t="shared" si="98"/>
        <v>2452416.4606860001</v>
      </c>
      <c r="O331">
        <f t="shared" si="99"/>
        <v>6240</v>
      </c>
      <c r="P331">
        <f t="shared" si="100"/>
        <v>121.10745900000001</v>
      </c>
      <c r="Q331">
        <f t="shared" si="101"/>
        <v>1199.3485369999999</v>
      </c>
      <c r="R331">
        <f t="shared" si="102"/>
        <v>50</v>
      </c>
      <c r="S331">
        <f t="shared" si="103"/>
        <v>9397044.3791000005</v>
      </c>
      <c r="T331">
        <f t="shared" si="104"/>
        <v>2494.3343489999993</v>
      </c>
      <c r="U331">
        <f t="shared" si="105"/>
        <v>111</v>
      </c>
      <c r="V331">
        <f t="shared" si="106"/>
        <v>18970805.476785999</v>
      </c>
      <c r="W331">
        <f>IF($A331="","",Allocation!CD331)</f>
        <v>153906.66165600001</v>
      </c>
      <c r="X331">
        <f>IF($A331="","",Allocation!CE331)</f>
        <v>432808.51319999999</v>
      </c>
      <c r="Y331">
        <f>IF($A331="","",Allocation!CF331)</f>
        <v>118222.807698</v>
      </c>
      <c r="Z331">
        <f>IF($A331="","",Allocation!CG331)</f>
        <v>39693.85</v>
      </c>
      <c r="AA331">
        <f>IF($A331="","",Allocation!CH331)</f>
        <v>1019065.020553</v>
      </c>
      <c r="AB331">
        <f>IF($A331="","",Allocation!CI331)</f>
        <v>3092074.3478999999</v>
      </c>
      <c r="AC331">
        <f>IF($A331="","",IF(Allocation!$N$4="VOL_EFF",$G331,IF(Allocation!$N$4="VOL_CLASS",$H331,$I331)))</f>
        <v>3</v>
      </c>
      <c r="AD331">
        <f>IF($A331="","",IF(Allocation!$N$4="VOL_EFF",$L331,IF(Allocation!$N$4="VOL_CLASS",$M331,$N331)))</f>
        <v>13</v>
      </c>
      <c r="AE331">
        <f>IF($A331="","",IF(Allocation!$N$3="VOL_EFF",$L331,IF(Allocation!$N$3="VOL_CLASS",$M331,$N331)))</f>
        <v>311.14745900000003</v>
      </c>
      <c r="AF331">
        <f>IF($A331="","",IF(Allocation!$N$3="VOL_EFF",$Q331,IF(Allocation!$N$3="VOL_CLASS",$R331,$S331)))</f>
        <v>1199.3485369999999</v>
      </c>
      <c r="AG331">
        <f>IF($A331="","",IF(Allocation!$N$1="VOL_EFF",$Q331,IF(Allocation!$N$1="VOL_CLASS",$R331,$S331)))</f>
        <v>1199.3485369999999</v>
      </c>
      <c r="AH331">
        <f>IF($A331="","",IF(Allocation!$N$1="VOL_EFF",$T331,IF(Allocation!$N$1="VOL_CLASS",$U331,$V331)))</f>
        <v>2494.3343489999993</v>
      </c>
      <c r="AI331">
        <f t="shared" si="107"/>
        <v>44396.152400769228</v>
      </c>
      <c r="AJ331">
        <f t="shared" si="108"/>
        <v>124848.60957692306</v>
      </c>
      <c r="AK331">
        <f t="shared" si="109"/>
        <v>43330.928145658916</v>
      </c>
      <c r="AL331">
        <f t="shared" si="110"/>
        <v>235168.85089684618</v>
      </c>
      <c r="AM331">
        <f t="shared" si="111"/>
        <v>89010.127177637085</v>
      </c>
      <c r="AN331">
        <f t="shared" si="112"/>
        <v>-56567.846552469768</v>
      </c>
      <c r="AO331">
        <f>IF($A331="","",Allocation!CJ331)</f>
        <v>642526.80000000005</v>
      </c>
      <c r="AP331">
        <f>IF($A331="","",IF(Allocation!$N$2="VOL_EFF",$Q331,IF(Allocation!$N$2="VOL_CLASS",$R331,$S331)))</f>
        <v>9397044.3791000005</v>
      </c>
      <c r="AQ331">
        <f>IF($A331="","",IF(Allocation!$N$2="VOL_EFF",$T331,IF(Allocation!$N$2="VOL_CLASS",$U331,$V331)))</f>
        <v>18970805.476785999</v>
      </c>
      <c r="AR331">
        <f t="shared" si="113"/>
        <v>19054.409976635303</v>
      </c>
      <c r="AS331" t="str">
        <f>IF($A331="","",$A331&amp;"|"&amp;Allocation!BG331)</f>
        <v>2027|V03</v>
      </c>
    </row>
    <row r="332" spans="1:45" x14ac:dyDescent="0.45">
      <c r="A332" t="str">
        <f>IF(Allocation!BI332="","",Allocation!BI332)</f>
        <v>2027</v>
      </c>
      <c r="B332" t="str">
        <f>IF(Allocation!BJ332="","",Allocation!BJ332)</f>
        <v>MBWAY_LYO</v>
      </c>
      <c r="C332" t="str">
        <f>IF(Allocation!BK332="","",Allocation!BK332)</f>
        <v>MBWAY</v>
      </c>
      <c r="D332" t="str">
        <f>IF(Allocation!BL332="","",Allocation!BL332)</f>
        <v>BAC_MGT</v>
      </c>
      <c r="E332" t="str">
        <f>IF(Allocation!BM332="","",Allocation!BM332)</f>
        <v>B2</v>
      </c>
      <c r="F332" t="str">
        <f>IF(Allocation!BN332="","",Allocation!BN332)</f>
        <v>ALT</v>
      </c>
      <c r="G332">
        <f>IF(Allocation!BO332="","",Allocation!BO332)</f>
        <v>63.34</v>
      </c>
      <c r="H332">
        <f>IF(Allocation!BP332="","",Allocation!BP332)</f>
        <v>2</v>
      </c>
      <c r="I332">
        <f>IF(Allocation!BQ332="","",Allocation!BQ332)</f>
        <v>476722.17599999998</v>
      </c>
      <c r="J332">
        <f>IF(Allocation!CC332="","",Allocation!CC332)</f>
        <v>0</v>
      </c>
      <c r="K332">
        <f t="shared" si="95"/>
        <v>960</v>
      </c>
      <c r="L332">
        <f t="shared" si="96"/>
        <v>311.14745900000003</v>
      </c>
      <c r="M332">
        <f t="shared" si="97"/>
        <v>13</v>
      </c>
      <c r="N332">
        <f t="shared" si="98"/>
        <v>2452416.4606860001</v>
      </c>
      <c r="O332">
        <f t="shared" si="99"/>
        <v>6240</v>
      </c>
      <c r="P332">
        <f t="shared" si="100"/>
        <v>121.10745900000001</v>
      </c>
      <c r="Q332">
        <f t="shared" si="101"/>
        <v>1199.3485369999999</v>
      </c>
      <c r="R332">
        <f t="shared" si="102"/>
        <v>50</v>
      </c>
      <c r="S332">
        <f t="shared" si="103"/>
        <v>9397044.3791000005</v>
      </c>
      <c r="T332">
        <f t="shared" si="104"/>
        <v>2494.3343489999993</v>
      </c>
      <c r="U332">
        <f t="shared" si="105"/>
        <v>111</v>
      </c>
      <c r="V332">
        <f t="shared" si="106"/>
        <v>18970805.476785999</v>
      </c>
      <c r="W332">
        <f>IF($A332="","",Allocation!CD332)</f>
        <v>153906.66165600001</v>
      </c>
      <c r="X332">
        <f>IF($A332="","",Allocation!CE332)</f>
        <v>432808.51319999999</v>
      </c>
      <c r="Y332">
        <f>IF($A332="","",Allocation!CF332)</f>
        <v>118222.807698</v>
      </c>
      <c r="Z332">
        <f>IF($A332="","",Allocation!CG332)</f>
        <v>39693.85</v>
      </c>
      <c r="AA332">
        <f>IF($A332="","",Allocation!CH332)</f>
        <v>1019065.020553</v>
      </c>
      <c r="AB332">
        <f>IF($A332="","",Allocation!CI332)</f>
        <v>3092074.3478999999</v>
      </c>
      <c r="AC332">
        <f>IF($A332="","",IF(Allocation!$N$4="VOL_EFF",$G332,IF(Allocation!$N$4="VOL_CLASS",$H332,$I332)))</f>
        <v>2</v>
      </c>
      <c r="AD332">
        <f>IF($A332="","",IF(Allocation!$N$4="VOL_EFF",$L332,IF(Allocation!$N$4="VOL_CLASS",$M332,$N332)))</f>
        <v>13</v>
      </c>
      <c r="AE332">
        <f>IF($A332="","",IF(Allocation!$N$3="VOL_EFF",$L332,IF(Allocation!$N$3="VOL_CLASS",$M332,$N332)))</f>
        <v>311.14745900000003</v>
      </c>
      <c r="AF332">
        <f>IF($A332="","",IF(Allocation!$N$3="VOL_EFF",$Q332,IF(Allocation!$N$3="VOL_CLASS",$R332,$S332)))</f>
        <v>1199.3485369999999</v>
      </c>
      <c r="AG332">
        <f>IF($A332="","",IF(Allocation!$N$1="VOL_EFF",$Q332,IF(Allocation!$N$1="VOL_CLASS",$R332,$S332)))</f>
        <v>1199.3485369999999</v>
      </c>
      <c r="AH332">
        <f>IF($A332="","",IF(Allocation!$N$1="VOL_EFF",$T332,IF(Allocation!$N$1="VOL_CLASS",$U332,$V332)))</f>
        <v>2494.3343489999993</v>
      </c>
      <c r="AI332">
        <f t="shared" si="107"/>
        <v>23677.947947076926</v>
      </c>
      <c r="AJ332">
        <f t="shared" si="108"/>
        <v>66585.92510769231</v>
      </c>
      <c r="AK332">
        <f t="shared" si="109"/>
        <v>24066.507448454911</v>
      </c>
      <c r="AL332">
        <f t="shared" si="110"/>
        <v>156779.23393123079</v>
      </c>
      <c r="AM332">
        <f t="shared" si="111"/>
        <v>59340.084785091392</v>
      </c>
      <c r="AN332">
        <f t="shared" si="112"/>
        <v>133569.53679603012</v>
      </c>
      <c r="AO332">
        <f>IF($A332="","",Allocation!CJ332)</f>
        <v>642526.80000000005</v>
      </c>
      <c r="AP332">
        <f>IF($A332="","",IF(Allocation!$N$2="VOL_EFF",$Q332,IF(Allocation!$N$2="VOL_CLASS",$R332,$S332)))</f>
        <v>9397044.3791000005</v>
      </c>
      <c r="AQ332">
        <f>IF($A332="","",IF(Allocation!$N$2="VOL_EFF",$T332,IF(Allocation!$N$2="VOL_CLASS",$U332,$V332)))</f>
        <v>18970805.476785999</v>
      </c>
      <c r="AR332">
        <f t="shared" si="113"/>
        <v>12702.939984423534</v>
      </c>
      <c r="AS332" t="str">
        <f>IF($A332="","",$A332&amp;"|"&amp;Allocation!BG332)</f>
        <v>2027|V03</v>
      </c>
    </row>
    <row r="333" spans="1:45" x14ac:dyDescent="0.45">
      <c r="A333" t="str">
        <f>IF(Allocation!BI333="","",Allocation!BI333)</f>
        <v>2027</v>
      </c>
      <c r="B333" t="str">
        <f>IF(Allocation!BJ333="","",Allocation!BJ333)</f>
        <v>MBWAY_LYO</v>
      </c>
      <c r="C333" t="str">
        <f>IF(Allocation!BK333="","",Allocation!BK333)</f>
        <v>MBWAY</v>
      </c>
      <c r="D333" t="str">
        <f>IF(Allocation!BL333="","",Allocation!BL333)</f>
        <v>BAC_MGT</v>
      </c>
      <c r="E333" t="str">
        <f>IF(Allocation!BM333="","",Allocation!BM333)</f>
        <v>B3</v>
      </c>
      <c r="F333" t="str">
        <f>IF(Allocation!BN333="","",Allocation!BN333)</f>
        <v>ALT</v>
      </c>
      <c r="G333">
        <f>IF(Allocation!BO333="","",Allocation!BO333)</f>
        <v>62.36</v>
      </c>
      <c r="H333">
        <f>IF(Allocation!BP333="","",Allocation!BP333)</f>
        <v>2</v>
      </c>
      <c r="I333">
        <f>IF(Allocation!BQ333="","",Allocation!BQ333)</f>
        <v>469346.304</v>
      </c>
      <c r="J333">
        <f>IF(Allocation!CC333="","",Allocation!CC333)</f>
        <v>0</v>
      </c>
      <c r="K333">
        <f t="shared" si="95"/>
        <v>960</v>
      </c>
      <c r="L333">
        <f t="shared" si="96"/>
        <v>311.14745900000003</v>
      </c>
      <c r="M333">
        <f t="shared" si="97"/>
        <v>13</v>
      </c>
      <c r="N333">
        <f t="shared" si="98"/>
        <v>2452416.4606860001</v>
      </c>
      <c r="O333">
        <f t="shared" si="99"/>
        <v>6240</v>
      </c>
      <c r="P333">
        <f t="shared" si="100"/>
        <v>121.10745900000001</v>
      </c>
      <c r="Q333">
        <f t="shared" si="101"/>
        <v>1199.3485369999999</v>
      </c>
      <c r="R333">
        <f t="shared" si="102"/>
        <v>50</v>
      </c>
      <c r="S333">
        <f t="shared" si="103"/>
        <v>9397044.3791000005</v>
      </c>
      <c r="T333">
        <f t="shared" si="104"/>
        <v>2494.3343489999993</v>
      </c>
      <c r="U333">
        <f t="shared" si="105"/>
        <v>111</v>
      </c>
      <c r="V333">
        <f t="shared" si="106"/>
        <v>18970805.476785999</v>
      </c>
      <c r="W333">
        <f>IF($A333="","",Allocation!CD333)</f>
        <v>153906.66165600001</v>
      </c>
      <c r="X333">
        <f>IF($A333="","",Allocation!CE333)</f>
        <v>432808.51319999999</v>
      </c>
      <c r="Y333">
        <f>IF($A333="","",Allocation!CF333)</f>
        <v>118222.807698</v>
      </c>
      <c r="Z333">
        <f>IF($A333="","",Allocation!CG333)</f>
        <v>39693.85</v>
      </c>
      <c r="AA333">
        <f>IF($A333="","",Allocation!CH333)</f>
        <v>1019065.020553</v>
      </c>
      <c r="AB333">
        <f>IF($A333="","",Allocation!CI333)</f>
        <v>3092074.3478999999</v>
      </c>
      <c r="AC333">
        <f>IF($A333="","",IF(Allocation!$N$4="VOL_EFF",$G333,IF(Allocation!$N$4="VOL_CLASS",$H333,$I333)))</f>
        <v>2</v>
      </c>
      <c r="AD333">
        <f>IF($A333="","",IF(Allocation!$N$4="VOL_EFF",$L333,IF(Allocation!$N$4="VOL_CLASS",$M333,$N333)))</f>
        <v>13</v>
      </c>
      <c r="AE333">
        <f>IF($A333="","",IF(Allocation!$N$3="VOL_EFF",$L333,IF(Allocation!$N$3="VOL_CLASS",$M333,$N333)))</f>
        <v>311.14745900000003</v>
      </c>
      <c r="AF333">
        <f>IF($A333="","",IF(Allocation!$N$3="VOL_EFF",$Q333,IF(Allocation!$N$3="VOL_CLASS",$R333,$S333)))</f>
        <v>1199.3485369999999</v>
      </c>
      <c r="AG333">
        <f>IF($A333="","",IF(Allocation!$N$1="VOL_EFF",$Q333,IF(Allocation!$N$1="VOL_CLASS",$R333,$S333)))</f>
        <v>1199.3485369999999</v>
      </c>
      <c r="AH333">
        <f>IF($A333="","",IF(Allocation!$N$1="VOL_EFF",$T333,IF(Allocation!$N$1="VOL_CLASS",$U333,$V333)))</f>
        <v>2494.3343489999993</v>
      </c>
      <c r="AI333">
        <f t="shared" si="107"/>
        <v>23677.947947076926</v>
      </c>
      <c r="AJ333">
        <f t="shared" si="108"/>
        <v>66585.92510769231</v>
      </c>
      <c r="AK333">
        <f t="shared" si="109"/>
        <v>23694.149107762052</v>
      </c>
      <c r="AL333">
        <f t="shared" si="110"/>
        <v>156779.23393123079</v>
      </c>
      <c r="AM333">
        <f t="shared" si="111"/>
        <v>59340.084785091392</v>
      </c>
      <c r="AN333">
        <f t="shared" si="112"/>
        <v>126566.02313672297</v>
      </c>
      <c r="AO333">
        <f>IF($A333="","",Allocation!CJ333)</f>
        <v>642526.80000000005</v>
      </c>
      <c r="AP333">
        <f>IF($A333="","",IF(Allocation!$N$2="VOL_EFF",$Q333,IF(Allocation!$N$2="VOL_CLASS",$R333,$S333)))</f>
        <v>9397044.3791000005</v>
      </c>
      <c r="AQ333">
        <f>IF($A333="","",IF(Allocation!$N$2="VOL_EFF",$T333,IF(Allocation!$N$2="VOL_CLASS",$U333,$V333)))</f>
        <v>18970805.476785999</v>
      </c>
      <c r="AR333">
        <f t="shared" si="113"/>
        <v>12702.939984423534</v>
      </c>
      <c r="AS333" t="str">
        <f>IF($A333="","",$A333&amp;"|"&amp;Allocation!BG333)</f>
        <v>2027|V03</v>
      </c>
    </row>
    <row r="334" spans="1:45" x14ac:dyDescent="0.45">
      <c r="A334" t="str">
        <f>IF(Allocation!BI334="","",Allocation!BI334)</f>
        <v>2027</v>
      </c>
      <c r="B334" t="str">
        <f>IF(Allocation!BJ334="","",Allocation!BJ334)</f>
        <v>MBWAY_LYO</v>
      </c>
      <c r="C334" t="str">
        <f>IF(Allocation!BK334="","",Allocation!BK334)</f>
        <v>MBWAY</v>
      </c>
      <c r="D334" t="str">
        <f>IF(Allocation!BL334="","",Allocation!BL334)</f>
        <v>MAS_MGT</v>
      </c>
      <c r="E334" t="str">
        <f>IF(Allocation!BM334="","",Allocation!BM334)</f>
        <v>M1</v>
      </c>
      <c r="F334" t="str">
        <f>IF(Allocation!BN334="","",Allocation!BN334)</f>
        <v>ALT</v>
      </c>
      <c r="G334">
        <f>IF(Allocation!BO334="","",Allocation!BO334)</f>
        <v>59.880915999999999</v>
      </c>
      <c r="H334">
        <f>IF(Allocation!BP334="","",Allocation!BP334)</f>
        <v>3</v>
      </c>
      <c r="I334">
        <f>IF(Allocation!BQ334="","",Allocation!BQ334)</f>
        <v>488268.98906400002</v>
      </c>
      <c r="J334">
        <f>IF(Allocation!CC334="","",Allocation!CC334)</f>
        <v>59.880915999999999</v>
      </c>
      <c r="K334">
        <f t="shared" si="95"/>
        <v>1260</v>
      </c>
      <c r="L334">
        <f t="shared" si="96"/>
        <v>311.14745900000003</v>
      </c>
      <c r="M334">
        <f t="shared" si="97"/>
        <v>13</v>
      </c>
      <c r="N334">
        <f t="shared" si="98"/>
        <v>2452416.4606860001</v>
      </c>
      <c r="O334">
        <f t="shared" si="99"/>
        <v>6240</v>
      </c>
      <c r="P334">
        <f t="shared" si="100"/>
        <v>121.10745900000001</v>
      </c>
      <c r="Q334">
        <f t="shared" si="101"/>
        <v>1199.3485369999999</v>
      </c>
      <c r="R334">
        <f t="shared" si="102"/>
        <v>50</v>
      </c>
      <c r="S334">
        <f t="shared" si="103"/>
        <v>9397044.3791000005</v>
      </c>
      <c r="T334">
        <f t="shared" si="104"/>
        <v>2494.3343489999993</v>
      </c>
      <c r="U334">
        <f t="shared" si="105"/>
        <v>111</v>
      </c>
      <c r="V334">
        <f t="shared" si="106"/>
        <v>18970805.476785999</v>
      </c>
      <c r="W334">
        <f>IF($A334="","",Allocation!CD334)</f>
        <v>153906.66165600001</v>
      </c>
      <c r="X334">
        <f>IF($A334="","",Allocation!CE334)</f>
        <v>432808.51319999999</v>
      </c>
      <c r="Y334">
        <f>IF($A334="","",Allocation!CF334)</f>
        <v>118222.807698</v>
      </c>
      <c r="Z334">
        <f>IF($A334="","",Allocation!CG334)</f>
        <v>39693.85</v>
      </c>
      <c r="AA334">
        <f>IF($A334="","",Allocation!CH334)</f>
        <v>1019065.020553</v>
      </c>
      <c r="AB334">
        <f>IF($A334="","",Allocation!CI334)</f>
        <v>3092074.3478999999</v>
      </c>
      <c r="AC334">
        <f>IF($A334="","",IF(Allocation!$N$4="VOL_EFF",$G334,IF(Allocation!$N$4="VOL_CLASS",$H334,$I334)))</f>
        <v>3</v>
      </c>
      <c r="AD334">
        <f>IF($A334="","",IF(Allocation!$N$4="VOL_EFF",$L334,IF(Allocation!$N$4="VOL_CLASS",$M334,$N334)))</f>
        <v>13</v>
      </c>
      <c r="AE334">
        <f>IF($A334="","",IF(Allocation!$N$3="VOL_EFF",$L334,IF(Allocation!$N$3="VOL_CLASS",$M334,$N334)))</f>
        <v>311.14745900000003</v>
      </c>
      <c r="AF334">
        <f>IF($A334="","",IF(Allocation!$N$3="VOL_EFF",$Q334,IF(Allocation!$N$3="VOL_CLASS",$R334,$S334)))</f>
        <v>1199.3485369999999</v>
      </c>
      <c r="AG334">
        <f>IF($A334="","",IF(Allocation!$N$1="VOL_EFF",$Q334,IF(Allocation!$N$1="VOL_CLASS",$R334,$S334)))</f>
        <v>1199.3485369999999</v>
      </c>
      <c r="AH334">
        <f>IF($A334="","",IF(Allocation!$N$1="VOL_EFF",$T334,IF(Allocation!$N$1="VOL_CLASS",$U334,$V334)))</f>
        <v>2494.3343489999993</v>
      </c>
      <c r="AI334">
        <f t="shared" si="107"/>
        <v>31077.306680538466</v>
      </c>
      <c r="AJ334">
        <f t="shared" si="108"/>
        <v>87394.026703846146</v>
      </c>
      <c r="AK334">
        <f t="shared" si="109"/>
        <v>42378.608057166275</v>
      </c>
      <c r="AL334">
        <f t="shared" si="110"/>
        <v>235168.85089684618</v>
      </c>
      <c r="AM334">
        <f t="shared" si="111"/>
        <v>89010.127177637085</v>
      </c>
      <c r="AN334">
        <f t="shared" si="112"/>
        <v>-15814.340428669413</v>
      </c>
      <c r="AO334">
        <f>IF($A334="","",Allocation!CJ334)</f>
        <v>642526.80000000005</v>
      </c>
      <c r="AP334">
        <f>IF($A334="","",IF(Allocation!$N$2="VOL_EFF",$Q334,IF(Allocation!$N$2="VOL_CLASS",$R334,$S334)))</f>
        <v>9397044.3791000005</v>
      </c>
      <c r="AQ334">
        <f>IF($A334="","",IF(Allocation!$N$2="VOL_EFF",$T334,IF(Allocation!$N$2="VOL_CLASS",$U334,$V334)))</f>
        <v>18970805.476785999</v>
      </c>
      <c r="AR334">
        <f t="shared" si="113"/>
        <v>19054.409976635303</v>
      </c>
      <c r="AS334" t="str">
        <f>IF($A334="","",$A334&amp;"|"&amp;Allocation!BG334)</f>
        <v>2027|V03</v>
      </c>
    </row>
    <row r="335" spans="1:45" x14ac:dyDescent="0.45">
      <c r="A335" t="str">
        <f>IF(Allocation!BI335="","",Allocation!BI335)</f>
        <v>2027</v>
      </c>
      <c r="B335" t="str">
        <f>IF(Allocation!BJ335="","",Allocation!BJ335)</f>
        <v>MBWAY_LYO</v>
      </c>
      <c r="C335" t="str">
        <f>IF(Allocation!BK335="","",Allocation!BK335)</f>
        <v>MBWAY</v>
      </c>
      <c r="D335" t="str">
        <f>IF(Allocation!BL335="","",Allocation!BL335)</f>
        <v>MAS_MGT</v>
      </c>
      <c r="E335" t="str">
        <f>IF(Allocation!BM335="","",Allocation!BM335)</f>
        <v>M2</v>
      </c>
      <c r="F335" t="str">
        <f>IF(Allocation!BN335="","",Allocation!BN335)</f>
        <v>ALT</v>
      </c>
      <c r="G335">
        <f>IF(Allocation!BO335="","",Allocation!BO335)</f>
        <v>64.34</v>
      </c>
      <c r="H335">
        <f>IF(Allocation!BP335="","",Allocation!BP335)</f>
        <v>3</v>
      </c>
      <c r="I335">
        <f>IF(Allocation!BQ335="","",Allocation!BQ335)</f>
        <v>518837.76000000001</v>
      </c>
      <c r="J335">
        <f>IF(Allocation!CC335="","",Allocation!CC335)</f>
        <v>0</v>
      </c>
      <c r="K335">
        <f t="shared" si="95"/>
        <v>1260</v>
      </c>
      <c r="L335">
        <f t="shared" si="96"/>
        <v>311.14745900000003</v>
      </c>
      <c r="M335">
        <f t="shared" si="97"/>
        <v>13</v>
      </c>
      <c r="N335">
        <f t="shared" si="98"/>
        <v>2452416.4606860001</v>
      </c>
      <c r="O335">
        <f t="shared" si="99"/>
        <v>6240</v>
      </c>
      <c r="P335">
        <f t="shared" si="100"/>
        <v>121.10745900000001</v>
      </c>
      <c r="Q335">
        <f t="shared" si="101"/>
        <v>1199.3485369999999</v>
      </c>
      <c r="R335">
        <f t="shared" si="102"/>
        <v>50</v>
      </c>
      <c r="S335">
        <f t="shared" si="103"/>
        <v>9397044.3791000005</v>
      </c>
      <c r="T335">
        <f t="shared" si="104"/>
        <v>2494.3343489999993</v>
      </c>
      <c r="U335">
        <f t="shared" si="105"/>
        <v>111</v>
      </c>
      <c r="V335">
        <f t="shared" si="106"/>
        <v>18970805.476785999</v>
      </c>
      <c r="W335">
        <f>IF($A335="","",Allocation!CD335)</f>
        <v>153906.66165600001</v>
      </c>
      <c r="X335">
        <f>IF($A335="","",Allocation!CE335)</f>
        <v>432808.51319999999</v>
      </c>
      <c r="Y335">
        <f>IF($A335="","",Allocation!CF335)</f>
        <v>118222.807698</v>
      </c>
      <c r="Z335">
        <f>IF($A335="","",Allocation!CG335)</f>
        <v>39693.85</v>
      </c>
      <c r="AA335">
        <f>IF($A335="","",Allocation!CH335)</f>
        <v>1019065.020553</v>
      </c>
      <c r="AB335">
        <f>IF($A335="","",Allocation!CI335)</f>
        <v>3092074.3478999999</v>
      </c>
      <c r="AC335">
        <f>IF($A335="","",IF(Allocation!$N$4="VOL_EFF",$G335,IF(Allocation!$N$4="VOL_CLASS",$H335,$I335)))</f>
        <v>3</v>
      </c>
      <c r="AD335">
        <f>IF($A335="","",IF(Allocation!$N$4="VOL_EFF",$L335,IF(Allocation!$N$4="VOL_CLASS",$M335,$N335)))</f>
        <v>13</v>
      </c>
      <c r="AE335">
        <f>IF($A335="","",IF(Allocation!$N$3="VOL_EFF",$L335,IF(Allocation!$N$3="VOL_CLASS",$M335,$N335)))</f>
        <v>311.14745900000003</v>
      </c>
      <c r="AF335">
        <f>IF($A335="","",IF(Allocation!$N$3="VOL_EFF",$Q335,IF(Allocation!$N$3="VOL_CLASS",$R335,$S335)))</f>
        <v>1199.3485369999999</v>
      </c>
      <c r="AG335">
        <f>IF($A335="","",IF(Allocation!$N$1="VOL_EFF",$Q335,IF(Allocation!$N$1="VOL_CLASS",$R335,$S335)))</f>
        <v>1199.3485369999999</v>
      </c>
      <c r="AH335">
        <f>IF($A335="","",IF(Allocation!$N$1="VOL_EFF",$T335,IF(Allocation!$N$1="VOL_CLASS",$U335,$V335)))</f>
        <v>2494.3343489999993</v>
      </c>
      <c r="AI335">
        <f t="shared" si="107"/>
        <v>31077.306680538466</v>
      </c>
      <c r="AJ335">
        <f t="shared" si="108"/>
        <v>87394.026703846146</v>
      </c>
      <c r="AK335">
        <f t="shared" si="109"/>
        <v>24446.464938957834</v>
      </c>
      <c r="AL335">
        <f t="shared" si="110"/>
        <v>235168.85089684618</v>
      </c>
      <c r="AM335">
        <f t="shared" si="111"/>
        <v>89010.127177637085</v>
      </c>
      <c r="AN335">
        <f t="shared" si="112"/>
        <v>32686.573625539022</v>
      </c>
      <c r="AO335">
        <f>IF($A335="","",Allocation!CJ335)</f>
        <v>642526.80000000005</v>
      </c>
      <c r="AP335">
        <f>IF($A335="","",IF(Allocation!$N$2="VOL_EFF",$Q335,IF(Allocation!$N$2="VOL_CLASS",$R335,$S335)))</f>
        <v>9397044.3791000005</v>
      </c>
      <c r="AQ335">
        <f>IF($A335="","",IF(Allocation!$N$2="VOL_EFF",$T335,IF(Allocation!$N$2="VOL_CLASS",$U335,$V335)))</f>
        <v>18970805.476785999</v>
      </c>
      <c r="AR335">
        <f t="shared" si="113"/>
        <v>19054.409976635303</v>
      </c>
      <c r="AS335" t="str">
        <f>IF($A335="","",$A335&amp;"|"&amp;Allocation!BG335)</f>
        <v>2027|V03</v>
      </c>
    </row>
    <row r="336" spans="1:45" x14ac:dyDescent="0.45">
      <c r="A336" t="str">
        <f>IF(Allocation!BI336="","",Allocation!BI336)</f>
        <v>2027</v>
      </c>
      <c r="B336" t="str">
        <f>IF(Allocation!BJ336="","",Allocation!BJ336)</f>
        <v>MBWAY_NAN</v>
      </c>
      <c r="C336" t="str">
        <f>IF(Allocation!BK336="","",Allocation!BK336)</f>
        <v>MBWAY</v>
      </c>
      <c r="D336" t="str">
        <f>IF(Allocation!BL336="","",Allocation!BL336)</f>
        <v>BAC_MGT</v>
      </c>
      <c r="E336" t="str">
        <f>IF(Allocation!BM336="","",Allocation!BM336)</f>
        <v>B1</v>
      </c>
      <c r="F336" t="str">
        <f>IF(Allocation!BN336="","",Allocation!BN336)</f>
        <v>INIT</v>
      </c>
      <c r="G336">
        <f>IF(Allocation!BO336="","",Allocation!BO336)</f>
        <v>55.632348999999998</v>
      </c>
      <c r="H336">
        <f>IF(Allocation!BP336="","",Allocation!BP336)</f>
        <v>2</v>
      </c>
      <c r="I336">
        <f>IF(Allocation!BQ336="","",Allocation!BQ336)</f>
        <v>432263.35172999999</v>
      </c>
      <c r="J336">
        <f>IF(Allocation!CC336="","",Allocation!CC336)</f>
        <v>55.632348999999998</v>
      </c>
      <c r="K336">
        <f t="shared" si="95"/>
        <v>1200</v>
      </c>
      <c r="L336">
        <f t="shared" si="96"/>
        <v>282.25932599999999</v>
      </c>
      <c r="M336">
        <f t="shared" si="97"/>
        <v>12</v>
      </c>
      <c r="N336">
        <f t="shared" si="98"/>
        <v>2119379.32302</v>
      </c>
      <c r="O336">
        <f t="shared" si="99"/>
        <v>5640</v>
      </c>
      <c r="P336">
        <f t="shared" si="100"/>
        <v>110.03932599999999</v>
      </c>
      <c r="Q336">
        <f t="shared" si="101"/>
        <v>1199.3485369999999</v>
      </c>
      <c r="R336">
        <f t="shared" si="102"/>
        <v>50</v>
      </c>
      <c r="S336">
        <f t="shared" si="103"/>
        <v>9397044.3791000005</v>
      </c>
      <c r="T336">
        <f t="shared" si="104"/>
        <v>2494.3343489999993</v>
      </c>
      <c r="U336">
        <f t="shared" si="105"/>
        <v>111</v>
      </c>
      <c r="V336">
        <f t="shared" si="106"/>
        <v>18970805.476785999</v>
      </c>
      <c r="W336">
        <f>IF($A336="","",Allocation!CD336)</f>
        <v>142067.61225000001</v>
      </c>
      <c r="X336">
        <f>IF($A336="","",Allocation!CE336)</f>
        <v>372308.9706</v>
      </c>
      <c r="Y336">
        <f>IF($A336="","",Allocation!CF336)</f>
        <v>107276.124312</v>
      </c>
      <c r="Z336">
        <f>IF($A336="","",Allocation!CG336)</f>
        <v>29956.35</v>
      </c>
      <c r="AA336">
        <f>IF($A336="","",Allocation!CH336)</f>
        <v>866508.31671200006</v>
      </c>
      <c r="AB336">
        <f>IF($A336="","",Allocation!CI336)</f>
        <v>3092074.3478999999</v>
      </c>
      <c r="AC336">
        <f>IF($A336="","",IF(Allocation!$N$4="VOL_EFF",$G336,IF(Allocation!$N$4="VOL_CLASS",$H336,$I336)))</f>
        <v>2</v>
      </c>
      <c r="AD336">
        <f>IF($A336="","",IF(Allocation!$N$4="VOL_EFF",$L336,IF(Allocation!$N$4="VOL_CLASS",$M336,$N336)))</f>
        <v>12</v>
      </c>
      <c r="AE336">
        <f>IF($A336="","",IF(Allocation!$N$3="VOL_EFF",$L336,IF(Allocation!$N$3="VOL_CLASS",$M336,$N336)))</f>
        <v>282.25932599999999</v>
      </c>
      <c r="AF336">
        <f>IF($A336="","",IF(Allocation!$N$3="VOL_EFF",$Q336,IF(Allocation!$N$3="VOL_CLASS",$R336,$S336)))</f>
        <v>1199.3485369999999</v>
      </c>
      <c r="AG336">
        <f>IF($A336="","",IF(Allocation!$N$1="VOL_EFF",$Q336,IF(Allocation!$N$1="VOL_CLASS",$R336,$S336)))</f>
        <v>1199.3485369999999</v>
      </c>
      <c r="AH336">
        <f>IF($A336="","",IF(Allocation!$N$1="VOL_EFF",$T336,IF(Allocation!$N$1="VOL_CLASS",$U336,$V336)))</f>
        <v>2494.3343489999993</v>
      </c>
      <c r="AI336">
        <f t="shared" si="107"/>
        <v>30227.151542553194</v>
      </c>
      <c r="AJ336">
        <f t="shared" si="108"/>
        <v>79214.674595744684</v>
      </c>
      <c r="AK336">
        <f t="shared" si="109"/>
        <v>36288.726089802425</v>
      </c>
      <c r="AL336">
        <f t="shared" si="110"/>
        <v>144418.05278533333</v>
      </c>
      <c r="AM336">
        <f t="shared" si="111"/>
        <v>58316.615394807523</v>
      </c>
      <c r="AN336">
        <f t="shared" si="112"/>
        <v>71314.285568288236</v>
      </c>
      <c r="AO336">
        <f>IF($A336="","",Allocation!CJ336)</f>
        <v>642526.80000000005</v>
      </c>
      <c r="AP336">
        <f>IF($A336="","",IF(Allocation!$N$2="VOL_EFF",$Q336,IF(Allocation!$N$2="VOL_CLASS",$R336,$S336)))</f>
        <v>9397044.3791000005</v>
      </c>
      <c r="AQ336">
        <f>IF($A336="","",IF(Allocation!$N$2="VOL_EFF",$T336,IF(Allocation!$N$2="VOL_CLASS",$U336,$V336)))</f>
        <v>18970805.476785999</v>
      </c>
      <c r="AR336">
        <f t="shared" si="113"/>
        <v>12483.845753470618</v>
      </c>
      <c r="AS336" t="str">
        <f>IF($A336="","",$A336&amp;"|"&amp;Allocation!BG336)</f>
        <v>2027|V03</v>
      </c>
    </row>
    <row r="337" spans="1:45" x14ac:dyDescent="0.45">
      <c r="A337" t="str">
        <f>IF(Allocation!BI337="","",Allocation!BI337)</f>
        <v>2027</v>
      </c>
      <c r="B337" t="str">
        <f>IF(Allocation!BJ337="","",Allocation!BJ337)</f>
        <v>MBWAY_NAN</v>
      </c>
      <c r="C337" t="str">
        <f>IF(Allocation!BK337="","",Allocation!BK337)</f>
        <v>MBWAY</v>
      </c>
      <c r="D337" t="str">
        <f>IF(Allocation!BL337="","",Allocation!BL337)</f>
        <v>BAC_MGT</v>
      </c>
      <c r="E337" t="str">
        <f>IF(Allocation!BM337="","",Allocation!BM337)</f>
        <v>B2</v>
      </c>
      <c r="F337" t="str">
        <f>IF(Allocation!BN337="","",Allocation!BN337)</f>
        <v>ALT</v>
      </c>
      <c r="G337">
        <f>IF(Allocation!BO337="","",Allocation!BO337)</f>
        <v>57.4</v>
      </c>
      <c r="H337">
        <f>IF(Allocation!BP337="","",Allocation!BP337)</f>
        <v>2</v>
      </c>
      <c r="I337">
        <f>IF(Allocation!BQ337="","",Allocation!BQ337)</f>
        <v>411443.20000000001</v>
      </c>
      <c r="J337">
        <f>IF(Allocation!CC337="","",Allocation!CC337)</f>
        <v>0</v>
      </c>
      <c r="K337">
        <f t="shared" si="95"/>
        <v>960</v>
      </c>
      <c r="L337">
        <f t="shared" si="96"/>
        <v>282.25932599999999</v>
      </c>
      <c r="M337">
        <f t="shared" si="97"/>
        <v>12</v>
      </c>
      <c r="N337">
        <f t="shared" si="98"/>
        <v>2119379.32302</v>
      </c>
      <c r="O337">
        <f t="shared" si="99"/>
        <v>5640</v>
      </c>
      <c r="P337">
        <f t="shared" si="100"/>
        <v>110.03932599999999</v>
      </c>
      <c r="Q337">
        <f t="shared" si="101"/>
        <v>1199.3485369999999</v>
      </c>
      <c r="R337">
        <f t="shared" si="102"/>
        <v>50</v>
      </c>
      <c r="S337">
        <f t="shared" si="103"/>
        <v>9397044.3791000005</v>
      </c>
      <c r="T337">
        <f t="shared" si="104"/>
        <v>2494.3343489999993</v>
      </c>
      <c r="U337">
        <f t="shared" si="105"/>
        <v>111</v>
      </c>
      <c r="V337">
        <f t="shared" si="106"/>
        <v>18970805.476785999</v>
      </c>
      <c r="W337">
        <f>IF($A337="","",Allocation!CD337)</f>
        <v>142067.61225000001</v>
      </c>
      <c r="X337">
        <f>IF($A337="","",Allocation!CE337)</f>
        <v>372308.9706</v>
      </c>
      <c r="Y337">
        <f>IF($A337="","",Allocation!CF337)</f>
        <v>107276.124312</v>
      </c>
      <c r="Z337">
        <f>IF($A337="","",Allocation!CG337)</f>
        <v>29956.35</v>
      </c>
      <c r="AA337">
        <f>IF($A337="","",Allocation!CH337)</f>
        <v>866508.31671200006</v>
      </c>
      <c r="AB337">
        <f>IF($A337="","",Allocation!CI337)</f>
        <v>3092074.3478999999</v>
      </c>
      <c r="AC337">
        <f>IF($A337="","",IF(Allocation!$N$4="VOL_EFF",$G337,IF(Allocation!$N$4="VOL_CLASS",$H337,$I337)))</f>
        <v>2</v>
      </c>
      <c r="AD337">
        <f>IF($A337="","",IF(Allocation!$N$4="VOL_EFF",$L337,IF(Allocation!$N$4="VOL_CLASS",$M337,$N337)))</f>
        <v>12</v>
      </c>
      <c r="AE337">
        <f>IF($A337="","",IF(Allocation!$N$3="VOL_EFF",$L337,IF(Allocation!$N$3="VOL_CLASS",$M337,$N337)))</f>
        <v>282.25932599999999</v>
      </c>
      <c r="AF337">
        <f>IF($A337="","",IF(Allocation!$N$3="VOL_EFF",$Q337,IF(Allocation!$N$3="VOL_CLASS",$R337,$S337)))</f>
        <v>1199.3485369999999</v>
      </c>
      <c r="AG337">
        <f>IF($A337="","",IF(Allocation!$N$1="VOL_EFF",$Q337,IF(Allocation!$N$1="VOL_CLASS",$R337,$S337)))</f>
        <v>1199.3485369999999</v>
      </c>
      <c r="AH337">
        <f>IF($A337="","",IF(Allocation!$N$1="VOL_EFF",$T337,IF(Allocation!$N$1="VOL_CLASS",$U337,$V337)))</f>
        <v>2494.3343489999993</v>
      </c>
      <c r="AI337">
        <f t="shared" si="107"/>
        <v>24181.721234042554</v>
      </c>
      <c r="AJ337">
        <f t="shared" si="108"/>
        <v>63371.739676595746</v>
      </c>
      <c r="AK337">
        <f t="shared" si="109"/>
        <v>21815.575140673296</v>
      </c>
      <c r="AL337">
        <f t="shared" si="110"/>
        <v>144418.05278533333</v>
      </c>
      <c r="AM337">
        <f t="shared" si="111"/>
        <v>58316.615394807523</v>
      </c>
      <c r="AN337">
        <f t="shared" si="112"/>
        <v>86855.650015076972</v>
      </c>
      <c r="AO337">
        <f>IF($A337="","",Allocation!CJ337)</f>
        <v>642526.80000000005</v>
      </c>
      <c r="AP337">
        <f>IF($A337="","",IF(Allocation!$N$2="VOL_EFF",$Q337,IF(Allocation!$N$2="VOL_CLASS",$R337,$S337)))</f>
        <v>9397044.3791000005</v>
      </c>
      <c r="AQ337">
        <f>IF($A337="","",IF(Allocation!$N$2="VOL_EFF",$T337,IF(Allocation!$N$2="VOL_CLASS",$U337,$V337)))</f>
        <v>18970805.476785999</v>
      </c>
      <c r="AR337">
        <f t="shared" si="113"/>
        <v>12483.845753470618</v>
      </c>
      <c r="AS337" t="str">
        <f>IF($A337="","",$A337&amp;"|"&amp;Allocation!BG337)</f>
        <v>2027|V03</v>
      </c>
    </row>
    <row r="338" spans="1:45" x14ac:dyDescent="0.45">
      <c r="A338" t="str">
        <f>IF(Allocation!BI338="","",Allocation!BI338)</f>
        <v>2027</v>
      </c>
      <c r="B338" t="str">
        <f>IF(Allocation!BJ338="","",Allocation!BJ338)</f>
        <v>MBWAY_NAN</v>
      </c>
      <c r="C338" t="str">
        <f>IF(Allocation!BK338="","",Allocation!BK338)</f>
        <v>MBWAY</v>
      </c>
      <c r="D338" t="str">
        <f>IF(Allocation!BL338="","",Allocation!BL338)</f>
        <v>BAC_MGT</v>
      </c>
      <c r="E338" t="str">
        <f>IF(Allocation!BM338="","",Allocation!BM338)</f>
        <v>B3</v>
      </c>
      <c r="F338" t="str">
        <f>IF(Allocation!BN338="","",Allocation!BN338)</f>
        <v>ALT</v>
      </c>
      <c r="G338">
        <f>IF(Allocation!BO338="","",Allocation!BO338)</f>
        <v>56.42</v>
      </c>
      <c r="H338">
        <f>IF(Allocation!BP338="","",Allocation!BP338)</f>
        <v>2</v>
      </c>
      <c r="I338">
        <f>IF(Allocation!BQ338="","",Allocation!BQ338)</f>
        <v>404418.56</v>
      </c>
      <c r="J338">
        <f>IF(Allocation!CC338="","",Allocation!CC338)</f>
        <v>0</v>
      </c>
      <c r="K338">
        <f t="shared" si="95"/>
        <v>960</v>
      </c>
      <c r="L338">
        <f t="shared" si="96"/>
        <v>282.25932599999999</v>
      </c>
      <c r="M338">
        <f t="shared" si="97"/>
        <v>12</v>
      </c>
      <c r="N338">
        <f t="shared" si="98"/>
        <v>2119379.32302</v>
      </c>
      <c r="O338">
        <f t="shared" si="99"/>
        <v>5640</v>
      </c>
      <c r="P338">
        <f t="shared" si="100"/>
        <v>110.03932599999999</v>
      </c>
      <c r="Q338">
        <f t="shared" si="101"/>
        <v>1199.3485369999999</v>
      </c>
      <c r="R338">
        <f t="shared" si="102"/>
        <v>50</v>
      </c>
      <c r="S338">
        <f t="shared" si="103"/>
        <v>9397044.3791000005</v>
      </c>
      <c r="T338">
        <f t="shared" si="104"/>
        <v>2494.3343489999993</v>
      </c>
      <c r="U338">
        <f t="shared" si="105"/>
        <v>111</v>
      </c>
      <c r="V338">
        <f t="shared" si="106"/>
        <v>18970805.476785999</v>
      </c>
      <c r="W338">
        <f>IF($A338="","",Allocation!CD338)</f>
        <v>142067.61225000001</v>
      </c>
      <c r="X338">
        <f>IF($A338="","",Allocation!CE338)</f>
        <v>372308.9706</v>
      </c>
      <c r="Y338">
        <f>IF($A338="","",Allocation!CF338)</f>
        <v>107276.124312</v>
      </c>
      <c r="Z338">
        <f>IF($A338="","",Allocation!CG338)</f>
        <v>29956.35</v>
      </c>
      <c r="AA338">
        <f>IF($A338="","",Allocation!CH338)</f>
        <v>866508.31671200006</v>
      </c>
      <c r="AB338">
        <f>IF($A338="","",Allocation!CI338)</f>
        <v>3092074.3478999999</v>
      </c>
      <c r="AC338">
        <f>IF($A338="","",IF(Allocation!$N$4="VOL_EFF",$G338,IF(Allocation!$N$4="VOL_CLASS",$H338,$I338)))</f>
        <v>2</v>
      </c>
      <c r="AD338">
        <f>IF($A338="","",IF(Allocation!$N$4="VOL_EFF",$L338,IF(Allocation!$N$4="VOL_CLASS",$M338,$N338)))</f>
        <v>12</v>
      </c>
      <c r="AE338">
        <f>IF($A338="","",IF(Allocation!$N$3="VOL_EFF",$L338,IF(Allocation!$N$3="VOL_CLASS",$M338,$N338)))</f>
        <v>282.25932599999999</v>
      </c>
      <c r="AF338">
        <f>IF($A338="","",IF(Allocation!$N$3="VOL_EFF",$Q338,IF(Allocation!$N$3="VOL_CLASS",$R338,$S338)))</f>
        <v>1199.3485369999999</v>
      </c>
      <c r="AG338">
        <f>IF($A338="","",IF(Allocation!$N$1="VOL_EFF",$Q338,IF(Allocation!$N$1="VOL_CLASS",$R338,$S338)))</f>
        <v>1199.3485369999999</v>
      </c>
      <c r="AH338">
        <f>IF($A338="","",IF(Allocation!$N$1="VOL_EFF",$T338,IF(Allocation!$N$1="VOL_CLASS",$U338,$V338)))</f>
        <v>2494.3343489999993</v>
      </c>
      <c r="AI338">
        <f t="shared" si="107"/>
        <v>24181.721234042554</v>
      </c>
      <c r="AJ338">
        <f t="shared" si="108"/>
        <v>63371.739676595746</v>
      </c>
      <c r="AK338">
        <f t="shared" si="109"/>
        <v>21443.114101686195</v>
      </c>
      <c r="AL338">
        <f t="shared" si="110"/>
        <v>144418.05278533333</v>
      </c>
      <c r="AM338">
        <f t="shared" si="111"/>
        <v>58316.615394807523</v>
      </c>
      <c r="AN338">
        <f t="shared" si="112"/>
        <v>80203.471054064052</v>
      </c>
      <c r="AO338">
        <f>IF($A338="","",Allocation!CJ338)</f>
        <v>642526.80000000005</v>
      </c>
      <c r="AP338">
        <f>IF($A338="","",IF(Allocation!$N$2="VOL_EFF",$Q338,IF(Allocation!$N$2="VOL_CLASS",$R338,$S338)))</f>
        <v>9397044.3791000005</v>
      </c>
      <c r="AQ338">
        <f>IF($A338="","",IF(Allocation!$N$2="VOL_EFF",$T338,IF(Allocation!$N$2="VOL_CLASS",$U338,$V338)))</f>
        <v>18970805.476785999</v>
      </c>
      <c r="AR338">
        <f t="shared" si="113"/>
        <v>12483.845753470618</v>
      </c>
      <c r="AS338" t="str">
        <f>IF($A338="","",$A338&amp;"|"&amp;Allocation!BG338)</f>
        <v>2027|V03</v>
      </c>
    </row>
    <row r="339" spans="1:45" x14ac:dyDescent="0.45">
      <c r="A339" t="str">
        <f>IF(Allocation!BI339="","",Allocation!BI339)</f>
        <v>2027</v>
      </c>
      <c r="B339" t="str">
        <f>IF(Allocation!BJ339="","",Allocation!BJ339)</f>
        <v>MBWAY_NAN</v>
      </c>
      <c r="C339" t="str">
        <f>IF(Allocation!BK339="","",Allocation!BK339)</f>
        <v>MBWAY</v>
      </c>
      <c r="D339" t="str">
        <f>IF(Allocation!BL339="","",Allocation!BL339)</f>
        <v>MAS_MGT</v>
      </c>
      <c r="E339" t="str">
        <f>IF(Allocation!BM339="","",Allocation!BM339)</f>
        <v>M1</v>
      </c>
      <c r="F339" t="str">
        <f>IF(Allocation!BN339="","",Allocation!BN339)</f>
        <v>ALT</v>
      </c>
      <c r="G339">
        <f>IF(Allocation!BO339="","",Allocation!BO339)</f>
        <v>54.406976999999998</v>
      </c>
      <c r="H339">
        <f>IF(Allocation!BP339="","",Allocation!BP339)</f>
        <v>3</v>
      </c>
      <c r="I339">
        <f>IF(Allocation!BQ339="","",Allocation!BQ339)</f>
        <v>422742.21129000001</v>
      </c>
      <c r="J339">
        <f>IF(Allocation!CC339="","",Allocation!CC339)</f>
        <v>54.406976999999998</v>
      </c>
      <c r="K339">
        <f t="shared" si="95"/>
        <v>1260</v>
      </c>
      <c r="L339">
        <f t="shared" si="96"/>
        <v>282.25932599999999</v>
      </c>
      <c r="M339">
        <f t="shared" si="97"/>
        <v>12</v>
      </c>
      <c r="N339">
        <f t="shared" si="98"/>
        <v>2119379.32302</v>
      </c>
      <c r="O339">
        <f t="shared" si="99"/>
        <v>5640</v>
      </c>
      <c r="P339">
        <f t="shared" si="100"/>
        <v>110.03932599999999</v>
      </c>
      <c r="Q339">
        <f t="shared" si="101"/>
        <v>1199.3485369999999</v>
      </c>
      <c r="R339">
        <f t="shared" si="102"/>
        <v>50</v>
      </c>
      <c r="S339">
        <f t="shared" si="103"/>
        <v>9397044.3791000005</v>
      </c>
      <c r="T339">
        <f t="shared" si="104"/>
        <v>2494.3343489999993</v>
      </c>
      <c r="U339">
        <f t="shared" si="105"/>
        <v>111</v>
      </c>
      <c r="V339">
        <f t="shared" si="106"/>
        <v>18970805.476785999</v>
      </c>
      <c r="W339">
        <f>IF($A339="","",Allocation!CD339)</f>
        <v>142067.61225000001</v>
      </c>
      <c r="X339">
        <f>IF($A339="","",Allocation!CE339)</f>
        <v>372308.9706</v>
      </c>
      <c r="Y339">
        <f>IF($A339="","",Allocation!CF339)</f>
        <v>107276.124312</v>
      </c>
      <c r="Z339">
        <f>IF($A339="","",Allocation!CG339)</f>
        <v>29956.35</v>
      </c>
      <c r="AA339">
        <f>IF($A339="","",Allocation!CH339)</f>
        <v>866508.31671200006</v>
      </c>
      <c r="AB339">
        <f>IF($A339="","",Allocation!CI339)</f>
        <v>3092074.3478999999</v>
      </c>
      <c r="AC339">
        <f>IF($A339="","",IF(Allocation!$N$4="VOL_EFF",$G339,IF(Allocation!$N$4="VOL_CLASS",$H339,$I339)))</f>
        <v>3</v>
      </c>
      <c r="AD339">
        <f>IF($A339="","",IF(Allocation!$N$4="VOL_EFF",$L339,IF(Allocation!$N$4="VOL_CLASS",$M339,$N339)))</f>
        <v>12</v>
      </c>
      <c r="AE339">
        <f>IF($A339="","",IF(Allocation!$N$3="VOL_EFF",$L339,IF(Allocation!$N$3="VOL_CLASS",$M339,$N339)))</f>
        <v>282.25932599999999</v>
      </c>
      <c r="AF339">
        <f>IF($A339="","",IF(Allocation!$N$3="VOL_EFF",$Q339,IF(Allocation!$N$3="VOL_CLASS",$R339,$S339)))</f>
        <v>1199.3485369999999</v>
      </c>
      <c r="AG339">
        <f>IF($A339="","",IF(Allocation!$N$1="VOL_EFF",$Q339,IF(Allocation!$N$1="VOL_CLASS",$R339,$S339)))</f>
        <v>1199.3485369999999</v>
      </c>
      <c r="AH339">
        <f>IF($A339="","",IF(Allocation!$N$1="VOL_EFF",$T339,IF(Allocation!$N$1="VOL_CLASS",$U339,$V339)))</f>
        <v>2494.3343489999993</v>
      </c>
      <c r="AI339">
        <f t="shared" si="107"/>
        <v>31738.50911968085</v>
      </c>
      <c r="AJ339">
        <f t="shared" si="108"/>
        <v>83175.408325531913</v>
      </c>
      <c r="AK339">
        <f t="shared" si="109"/>
        <v>35489.42155448407</v>
      </c>
      <c r="AL339">
        <f t="shared" si="110"/>
        <v>216627.07917800001</v>
      </c>
      <c r="AM339">
        <f t="shared" si="111"/>
        <v>87474.923092211291</v>
      </c>
      <c r="AN339">
        <f t="shared" si="112"/>
        <v>-50488.89861011412</v>
      </c>
      <c r="AO339">
        <f>IF($A339="","",Allocation!CJ339)</f>
        <v>642526.80000000005</v>
      </c>
      <c r="AP339">
        <f>IF($A339="","",IF(Allocation!$N$2="VOL_EFF",$Q339,IF(Allocation!$N$2="VOL_CLASS",$R339,$S339)))</f>
        <v>9397044.3791000005</v>
      </c>
      <c r="AQ339">
        <f>IF($A339="","",IF(Allocation!$N$2="VOL_EFF",$T339,IF(Allocation!$N$2="VOL_CLASS",$U339,$V339)))</f>
        <v>18970805.476785999</v>
      </c>
      <c r="AR339">
        <f t="shared" si="113"/>
        <v>18725.768630205926</v>
      </c>
      <c r="AS339" t="str">
        <f>IF($A339="","",$A339&amp;"|"&amp;Allocation!BG339)</f>
        <v>2027|V03</v>
      </c>
    </row>
    <row r="340" spans="1:45" x14ac:dyDescent="0.45">
      <c r="A340" t="str">
        <f>IF(Allocation!BI340="","",Allocation!BI340)</f>
        <v>2027</v>
      </c>
      <c r="B340" t="str">
        <f>IF(Allocation!BJ340="","",Allocation!BJ340)</f>
        <v>MBWAY_NAN</v>
      </c>
      <c r="C340" t="str">
        <f>IF(Allocation!BK340="","",Allocation!BK340)</f>
        <v>MBWAY</v>
      </c>
      <c r="D340" t="str">
        <f>IF(Allocation!BL340="","",Allocation!BL340)</f>
        <v>MAS_MGT</v>
      </c>
      <c r="E340" t="str">
        <f>IF(Allocation!BM340="","",Allocation!BM340)</f>
        <v>M2</v>
      </c>
      <c r="F340" t="str">
        <f>IF(Allocation!BN340="","",Allocation!BN340)</f>
        <v>ALT</v>
      </c>
      <c r="G340">
        <f>IF(Allocation!BO340="","",Allocation!BO340)</f>
        <v>58.4</v>
      </c>
      <c r="H340">
        <f>IF(Allocation!BP340="","",Allocation!BP340)</f>
        <v>3</v>
      </c>
      <c r="I340">
        <f>IF(Allocation!BQ340="","",Allocation!BQ340)</f>
        <v>448512</v>
      </c>
      <c r="J340">
        <f>IF(Allocation!CC340="","",Allocation!CC340)</f>
        <v>0</v>
      </c>
      <c r="K340">
        <f t="shared" si="95"/>
        <v>1260</v>
      </c>
      <c r="L340">
        <f t="shared" si="96"/>
        <v>282.25932599999999</v>
      </c>
      <c r="M340">
        <f t="shared" si="97"/>
        <v>12</v>
      </c>
      <c r="N340">
        <f t="shared" si="98"/>
        <v>2119379.32302</v>
      </c>
      <c r="O340">
        <f t="shared" si="99"/>
        <v>5640</v>
      </c>
      <c r="P340">
        <f t="shared" si="100"/>
        <v>110.03932599999999</v>
      </c>
      <c r="Q340">
        <f t="shared" si="101"/>
        <v>1199.3485369999999</v>
      </c>
      <c r="R340">
        <f t="shared" si="102"/>
        <v>50</v>
      </c>
      <c r="S340">
        <f t="shared" si="103"/>
        <v>9397044.3791000005</v>
      </c>
      <c r="T340">
        <f t="shared" si="104"/>
        <v>2494.3343489999993</v>
      </c>
      <c r="U340">
        <f t="shared" si="105"/>
        <v>111</v>
      </c>
      <c r="V340">
        <f t="shared" si="106"/>
        <v>18970805.476785999</v>
      </c>
      <c r="W340">
        <f>IF($A340="","",Allocation!CD340)</f>
        <v>142067.61225000001</v>
      </c>
      <c r="X340">
        <f>IF($A340="","",Allocation!CE340)</f>
        <v>372308.9706</v>
      </c>
      <c r="Y340">
        <f>IF($A340="","",Allocation!CF340)</f>
        <v>107276.124312</v>
      </c>
      <c r="Z340">
        <f>IF($A340="","",Allocation!CG340)</f>
        <v>29956.35</v>
      </c>
      <c r="AA340">
        <f>IF($A340="","",Allocation!CH340)</f>
        <v>866508.31671200006</v>
      </c>
      <c r="AB340">
        <f>IF($A340="","",Allocation!CI340)</f>
        <v>3092074.3478999999</v>
      </c>
      <c r="AC340">
        <f>IF($A340="","",IF(Allocation!$N$4="VOL_EFF",$G340,IF(Allocation!$N$4="VOL_CLASS",$H340,$I340)))</f>
        <v>3</v>
      </c>
      <c r="AD340">
        <f>IF($A340="","",IF(Allocation!$N$4="VOL_EFF",$L340,IF(Allocation!$N$4="VOL_CLASS",$M340,$N340)))</f>
        <v>12</v>
      </c>
      <c r="AE340">
        <f>IF($A340="","",IF(Allocation!$N$3="VOL_EFF",$L340,IF(Allocation!$N$3="VOL_CLASS",$M340,$N340)))</f>
        <v>282.25932599999999</v>
      </c>
      <c r="AF340">
        <f>IF($A340="","",IF(Allocation!$N$3="VOL_EFF",$Q340,IF(Allocation!$N$3="VOL_CLASS",$R340,$S340)))</f>
        <v>1199.3485369999999</v>
      </c>
      <c r="AG340">
        <f>IF($A340="","",IF(Allocation!$N$1="VOL_EFF",$Q340,IF(Allocation!$N$1="VOL_CLASS",$R340,$S340)))</f>
        <v>1199.3485369999999</v>
      </c>
      <c r="AH340">
        <f>IF($A340="","",IF(Allocation!$N$1="VOL_EFF",$T340,IF(Allocation!$N$1="VOL_CLASS",$U340,$V340)))</f>
        <v>2494.3343489999993</v>
      </c>
      <c r="AI340">
        <f t="shared" si="107"/>
        <v>31738.50911968085</v>
      </c>
      <c r="AJ340">
        <f t="shared" si="108"/>
        <v>83175.408325531913</v>
      </c>
      <c r="AK340">
        <f t="shared" si="109"/>
        <v>22195.637425354016</v>
      </c>
      <c r="AL340">
        <f t="shared" si="110"/>
        <v>216627.07917800001</v>
      </c>
      <c r="AM340">
        <f t="shared" si="111"/>
        <v>87474.923092211291</v>
      </c>
      <c r="AN340">
        <f t="shared" si="112"/>
        <v>-11425.325770984055</v>
      </c>
      <c r="AO340">
        <f>IF($A340="","",Allocation!CJ340)</f>
        <v>642526.80000000005</v>
      </c>
      <c r="AP340">
        <f>IF($A340="","",IF(Allocation!$N$2="VOL_EFF",$Q340,IF(Allocation!$N$2="VOL_CLASS",$R340,$S340)))</f>
        <v>9397044.3791000005</v>
      </c>
      <c r="AQ340">
        <f>IF($A340="","",IF(Allocation!$N$2="VOL_EFF",$T340,IF(Allocation!$N$2="VOL_CLASS",$U340,$V340)))</f>
        <v>18970805.476785999</v>
      </c>
      <c r="AR340">
        <f t="shared" si="113"/>
        <v>18725.768630205926</v>
      </c>
      <c r="AS340" t="str">
        <f>IF($A340="","",$A340&amp;"|"&amp;Allocation!BG340)</f>
        <v>2027|V03</v>
      </c>
    </row>
    <row r="341" spans="1:45" x14ac:dyDescent="0.45">
      <c r="A341" t="str">
        <f>IF(Allocation!BI341="","",Allocation!BI341)</f>
        <v>2027</v>
      </c>
      <c r="B341" t="str">
        <f>IF(Allocation!BJ341="","",Allocation!BJ341)</f>
        <v>MBWAY_PAR</v>
      </c>
      <c r="C341" t="str">
        <f>IF(Allocation!BK341="","",Allocation!BK341)</f>
        <v>MBWAY</v>
      </c>
      <c r="D341" t="str">
        <f>IF(Allocation!BL341="","",Allocation!BL341)</f>
        <v>BAC_MGT</v>
      </c>
      <c r="E341" t="str">
        <f>IF(Allocation!BM341="","",Allocation!BM341)</f>
        <v>B1</v>
      </c>
      <c r="F341" t="str">
        <f>IF(Allocation!BN341="","",Allocation!BN341)</f>
        <v>INIT</v>
      </c>
      <c r="G341">
        <f>IF(Allocation!BO341="","",Allocation!BO341)</f>
        <v>72.432653999999999</v>
      </c>
      <c r="H341">
        <f>IF(Allocation!BP341="","",Allocation!BP341)</f>
        <v>3</v>
      </c>
      <c r="I341">
        <f>IF(Allocation!BQ341="","",Allocation!BQ341)</f>
        <v>629555.65550600004</v>
      </c>
      <c r="J341">
        <f>IF(Allocation!CC341="","",Allocation!CC341)</f>
        <v>72.432653999999999</v>
      </c>
      <c r="K341">
        <f t="shared" si="95"/>
        <v>1800</v>
      </c>
      <c r="L341">
        <f t="shared" si="96"/>
        <v>366.94948299999999</v>
      </c>
      <c r="M341">
        <f t="shared" si="97"/>
        <v>15</v>
      </c>
      <c r="N341">
        <f t="shared" si="98"/>
        <v>3084114.0240419996</v>
      </c>
      <c r="O341">
        <f t="shared" si="99"/>
        <v>7200</v>
      </c>
      <c r="P341">
        <f t="shared" si="100"/>
        <v>143.26948299999998</v>
      </c>
      <c r="Q341">
        <f t="shared" si="101"/>
        <v>1199.3485369999999</v>
      </c>
      <c r="R341">
        <f t="shared" si="102"/>
        <v>50</v>
      </c>
      <c r="S341">
        <f t="shared" si="103"/>
        <v>9397044.3791000005</v>
      </c>
      <c r="T341">
        <f t="shared" si="104"/>
        <v>2494.3343489999993</v>
      </c>
      <c r="U341">
        <f t="shared" si="105"/>
        <v>111</v>
      </c>
      <c r="V341">
        <f t="shared" si="106"/>
        <v>18970805.476785999</v>
      </c>
      <c r="W341">
        <f>IF($A341="","",Allocation!CD341)</f>
        <v>177584.76046799999</v>
      </c>
      <c r="X341">
        <f>IF($A341="","",Allocation!CE341)</f>
        <v>542981.09123999998</v>
      </c>
      <c r="Y341">
        <f>IF($A341="","",Allocation!CF341)</f>
        <v>139385.61108</v>
      </c>
      <c r="Z341">
        <f>IF($A341="","",Allocation!CG341)</f>
        <v>64876.45</v>
      </c>
      <c r="AA341">
        <f>IF($A341="","",Allocation!CH341)</f>
        <v>1297410.844061</v>
      </c>
      <c r="AB341">
        <f>IF($A341="","",Allocation!CI341)</f>
        <v>3092074.3478999999</v>
      </c>
      <c r="AC341">
        <f>IF($A341="","",IF(Allocation!$N$4="VOL_EFF",$G341,IF(Allocation!$N$4="VOL_CLASS",$H341,$I341)))</f>
        <v>3</v>
      </c>
      <c r="AD341">
        <f>IF($A341="","",IF(Allocation!$N$4="VOL_EFF",$L341,IF(Allocation!$N$4="VOL_CLASS",$M341,$N341)))</f>
        <v>15</v>
      </c>
      <c r="AE341">
        <f>IF($A341="","",IF(Allocation!$N$3="VOL_EFF",$L341,IF(Allocation!$N$3="VOL_CLASS",$M341,$N341)))</f>
        <v>366.94948299999999</v>
      </c>
      <c r="AF341">
        <f>IF($A341="","",IF(Allocation!$N$3="VOL_EFF",$Q341,IF(Allocation!$N$3="VOL_CLASS",$R341,$S341)))</f>
        <v>1199.3485369999999</v>
      </c>
      <c r="AG341">
        <f>IF($A341="","",IF(Allocation!$N$1="VOL_EFF",$Q341,IF(Allocation!$N$1="VOL_CLASS",$R341,$S341)))</f>
        <v>1199.3485369999999</v>
      </c>
      <c r="AH341">
        <f>IF($A341="","",IF(Allocation!$N$1="VOL_EFF",$T341,IF(Allocation!$N$1="VOL_CLASS",$U341,$V341)))</f>
        <v>2494.3343489999993</v>
      </c>
      <c r="AI341">
        <f t="shared" si="107"/>
        <v>44396.190116999998</v>
      </c>
      <c r="AJ341">
        <f t="shared" si="108"/>
        <v>135745.27280999999</v>
      </c>
      <c r="AK341">
        <f t="shared" si="109"/>
        <v>60313.056219519072</v>
      </c>
      <c r="AL341">
        <f t="shared" si="110"/>
        <v>259482.16881220002</v>
      </c>
      <c r="AM341">
        <f t="shared" si="111"/>
        <v>90976.984205373461</v>
      </c>
      <c r="AN341">
        <f t="shared" si="112"/>
        <v>19166.528015037766</v>
      </c>
      <c r="AO341">
        <f>IF($A341="","",Allocation!CJ341)</f>
        <v>642526.80000000005</v>
      </c>
      <c r="AP341">
        <f>IF($A341="","",IF(Allocation!$N$2="VOL_EFF",$Q341,IF(Allocation!$N$2="VOL_CLASS",$R341,$S341)))</f>
        <v>9397044.3791000005</v>
      </c>
      <c r="AQ341">
        <f>IF($A341="","",IF(Allocation!$N$2="VOL_EFF",$T341,IF(Allocation!$N$2="VOL_CLASS",$U341,$V341)))</f>
        <v>18970805.476785999</v>
      </c>
      <c r="AR341">
        <f t="shared" si="113"/>
        <v>19475.455326869684</v>
      </c>
      <c r="AS341" t="str">
        <f>IF($A341="","",$A341&amp;"|"&amp;Allocation!BG341)</f>
        <v>2027|V03</v>
      </c>
    </row>
    <row r="342" spans="1:45" x14ac:dyDescent="0.45">
      <c r="A342" t="str">
        <f>IF(Allocation!BI342="","",Allocation!BI342)</f>
        <v>2027</v>
      </c>
      <c r="B342" t="str">
        <f>IF(Allocation!BJ342="","",Allocation!BJ342)</f>
        <v>MBWAY_PAR</v>
      </c>
      <c r="C342" t="str">
        <f>IF(Allocation!BK342="","",Allocation!BK342)</f>
        <v>MBWAY</v>
      </c>
      <c r="D342" t="str">
        <f>IF(Allocation!BL342="","",Allocation!BL342)</f>
        <v>BAC_MGT</v>
      </c>
      <c r="E342" t="str">
        <f>IF(Allocation!BM342="","",Allocation!BM342)</f>
        <v>B2</v>
      </c>
      <c r="F342" t="str">
        <f>IF(Allocation!BN342="","",Allocation!BN342)</f>
        <v>ALT</v>
      </c>
      <c r="G342">
        <f>IF(Allocation!BO342="","",Allocation!BO342)</f>
        <v>75.22</v>
      </c>
      <c r="H342">
        <f>IF(Allocation!BP342="","",Allocation!BP342)</f>
        <v>3</v>
      </c>
      <c r="I342">
        <f>IF(Allocation!BQ342="","",Allocation!BQ342)</f>
        <v>603878.19519999996</v>
      </c>
      <c r="J342">
        <f>IF(Allocation!CC342="","",Allocation!CC342)</f>
        <v>0</v>
      </c>
      <c r="K342">
        <f t="shared" si="95"/>
        <v>1440</v>
      </c>
      <c r="L342">
        <f t="shared" si="96"/>
        <v>366.94948299999999</v>
      </c>
      <c r="M342">
        <f t="shared" si="97"/>
        <v>15</v>
      </c>
      <c r="N342">
        <f t="shared" si="98"/>
        <v>3084114.0240419996</v>
      </c>
      <c r="O342">
        <f t="shared" si="99"/>
        <v>7200</v>
      </c>
      <c r="P342">
        <f t="shared" si="100"/>
        <v>143.26948299999998</v>
      </c>
      <c r="Q342">
        <f t="shared" si="101"/>
        <v>1199.3485369999999</v>
      </c>
      <c r="R342">
        <f t="shared" si="102"/>
        <v>50</v>
      </c>
      <c r="S342">
        <f t="shared" si="103"/>
        <v>9397044.3791000005</v>
      </c>
      <c r="T342">
        <f t="shared" si="104"/>
        <v>2494.3343489999993</v>
      </c>
      <c r="U342">
        <f t="shared" si="105"/>
        <v>111</v>
      </c>
      <c r="V342">
        <f t="shared" si="106"/>
        <v>18970805.476785999</v>
      </c>
      <c r="W342">
        <f>IF($A342="","",Allocation!CD342)</f>
        <v>177584.76046799999</v>
      </c>
      <c r="X342">
        <f>IF($A342="","",Allocation!CE342)</f>
        <v>542981.09123999998</v>
      </c>
      <c r="Y342">
        <f>IF($A342="","",Allocation!CF342)</f>
        <v>139385.61108</v>
      </c>
      <c r="Z342">
        <f>IF($A342="","",Allocation!CG342)</f>
        <v>64876.45</v>
      </c>
      <c r="AA342">
        <f>IF($A342="","",Allocation!CH342)</f>
        <v>1297410.844061</v>
      </c>
      <c r="AB342">
        <f>IF($A342="","",Allocation!CI342)</f>
        <v>3092074.3478999999</v>
      </c>
      <c r="AC342">
        <f>IF($A342="","",IF(Allocation!$N$4="VOL_EFF",$G342,IF(Allocation!$N$4="VOL_CLASS",$H342,$I342)))</f>
        <v>3</v>
      </c>
      <c r="AD342">
        <f>IF($A342="","",IF(Allocation!$N$4="VOL_EFF",$L342,IF(Allocation!$N$4="VOL_CLASS",$M342,$N342)))</f>
        <v>15</v>
      </c>
      <c r="AE342">
        <f>IF($A342="","",IF(Allocation!$N$3="VOL_EFF",$L342,IF(Allocation!$N$3="VOL_CLASS",$M342,$N342)))</f>
        <v>366.94948299999999</v>
      </c>
      <c r="AF342">
        <f>IF($A342="","",IF(Allocation!$N$3="VOL_EFF",$Q342,IF(Allocation!$N$3="VOL_CLASS",$R342,$S342)))</f>
        <v>1199.3485369999999</v>
      </c>
      <c r="AG342">
        <f>IF($A342="","",IF(Allocation!$N$1="VOL_EFF",$Q342,IF(Allocation!$N$1="VOL_CLASS",$R342,$S342)))</f>
        <v>1199.3485369999999</v>
      </c>
      <c r="AH342">
        <f>IF($A342="","",IF(Allocation!$N$1="VOL_EFF",$T342,IF(Allocation!$N$1="VOL_CLASS",$U342,$V342)))</f>
        <v>2494.3343489999993</v>
      </c>
      <c r="AI342">
        <f t="shared" si="107"/>
        <v>35516.952093599997</v>
      </c>
      <c r="AJ342">
        <f t="shared" si="108"/>
        <v>108596.218248</v>
      </c>
      <c r="AK342">
        <f t="shared" si="109"/>
        <v>28572.286244201085</v>
      </c>
      <c r="AL342">
        <f t="shared" si="110"/>
        <v>259482.16881220002</v>
      </c>
      <c r="AM342">
        <f t="shared" si="111"/>
        <v>90976.984205373461</v>
      </c>
      <c r="AN342">
        <f t="shared" si="112"/>
        <v>61258.130269755726</v>
      </c>
      <c r="AO342">
        <f>IF($A342="","",Allocation!CJ342)</f>
        <v>642526.80000000005</v>
      </c>
      <c r="AP342">
        <f>IF($A342="","",IF(Allocation!$N$2="VOL_EFF",$Q342,IF(Allocation!$N$2="VOL_CLASS",$R342,$S342)))</f>
        <v>9397044.3791000005</v>
      </c>
      <c r="AQ342">
        <f>IF($A342="","",IF(Allocation!$N$2="VOL_EFF",$T342,IF(Allocation!$N$2="VOL_CLASS",$U342,$V342)))</f>
        <v>18970805.476785999</v>
      </c>
      <c r="AR342">
        <f t="shared" si="113"/>
        <v>19475.455326869684</v>
      </c>
      <c r="AS342" t="str">
        <f>IF($A342="","",$A342&amp;"|"&amp;Allocation!BG342)</f>
        <v>2027|V03</v>
      </c>
    </row>
    <row r="343" spans="1:45" x14ac:dyDescent="0.45">
      <c r="A343" t="str">
        <f>IF(Allocation!BI343="","",Allocation!BI343)</f>
        <v>2027</v>
      </c>
      <c r="B343" t="str">
        <f>IF(Allocation!BJ343="","",Allocation!BJ343)</f>
        <v>MBWAY_PAR</v>
      </c>
      <c r="C343" t="str">
        <f>IF(Allocation!BK343="","",Allocation!BK343)</f>
        <v>MBWAY</v>
      </c>
      <c r="D343" t="str">
        <f>IF(Allocation!BL343="","",Allocation!BL343)</f>
        <v>BAC_MGT</v>
      </c>
      <c r="E343" t="str">
        <f>IF(Allocation!BM343="","",Allocation!BM343)</f>
        <v>B3</v>
      </c>
      <c r="F343" t="str">
        <f>IF(Allocation!BN343="","",Allocation!BN343)</f>
        <v>ALT</v>
      </c>
      <c r="G343">
        <f>IF(Allocation!BO343="","",Allocation!BO343)</f>
        <v>73.239999999999995</v>
      </c>
      <c r="H343">
        <f>IF(Allocation!BP343="","",Allocation!BP343)</f>
        <v>3</v>
      </c>
      <c r="I343">
        <f>IF(Allocation!BQ343="","",Allocation!BQ343)</f>
        <v>587982.43839999998</v>
      </c>
      <c r="J343">
        <f>IF(Allocation!CC343="","",Allocation!CC343)</f>
        <v>0</v>
      </c>
      <c r="K343">
        <f t="shared" si="95"/>
        <v>1440</v>
      </c>
      <c r="L343">
        <f t="shared" si="96"/>
        <v>366.94948299999999</v>
      </c>
      <c r="M343">
        <f t="shared" si="97"/>
        <v>15</v>
      </c>
      <c r="N343">
        <f t="shared" si="98"/>
        <v>3084114.0240419996</v>
      </c>
      <c r="O343">
        <f t="shared" si="99"/>
        <v>7200</v>
      </c>
      <c r="P343">
        <f t="shared" si="100"/>
        <v>143.26948299999998</v>
      </c>
      <c r="Q343">
        <f t="shared" si="101"/>
        <v>1199.3485369999999</v>
      </c>
      <c r="R343">
        <f t="shared" si="102"/>
        <v>50</v>
      </c>
      <c r="S343">
        <f t="shared" si="103"/>
        <v>9397044.3791000005</v>
      </c>
      <c r="T343">
        <f t="shared" si="104"/>
        <v>2494.3343489999993</v>
      </c>
      <c r="U343">
        <f t="shared" si="105"/>
        <v>111</v>
      </c>
      <c r="V343">
        <f t="shared" si="106"/>
        <v>18970805.476785999</v>
      </c>
      <c r="W343">
        <f>IF($A343="","",Allocation!CD343)</f>
        <v>177584.76046799999</v>
      </c>
      <c r="X343">
        <f>IF($A343="","",Allocation!CE343)</f>
        <v>542981.09123999998</v>
      </c>
      <c r="Y343">
        <f>IF($A343="","",Allocation!CF343)</f>
        <v>139385.61108</v>
      </c>
      <c r="Z343">
        <f>IF($A343="","",Allocation!CG343)</f>
        <v>64876.45</v>
      </c>
      <c r="AA343">
        <f>IF($A343="","",Allocation!CH343)</f>
        <v>1297410.844061</v>
      </c>
      <c r="AB343">
        <f>IF($A343="","",Allocation!CI343)</f>
        <v>3092074.3478999999</v>
      </c>
      <c r="AC343">
        <f>IF($A343="","",IF(Allocation!$N$4="VOL_EFF",$G343,IF(Allocation!$N$4="VOL_CLASS",$H343,$I343)))</f>
        <v>3</v>
      </c>
      <c r="AD343">
        <f>IF($A343="","",IF(Allocation!$N$4="VOL_EFF",$L343,IF(Allocation!$N$4="VOL_CLASS",$M343,$N343)))</f>
        <v>15</v>
      </c>
      <c r="AE343">
        <f>IF($A343="","",IF(Allocation!$N$3="VOL_EFF",$L343,IF(Allocation!$N$3="VOL_CLASS",$M343,$N343)))</f>
        <v>366.94948299999999</v>
      </c>
      <c r="AF343">
        <f>IF($A343="","",IF(Allocation!$N$3="VOL_EFF",$Q343,IF(Allocation!$N$3="VOL_CLASS",$R343,$S343)))</f>
        <v>1199.3485369999999</v>
      </c>
      <c r="AG343">
        <f>IF($A343="","",IF(Allocation!$N$1="VOL_EFF",$Q343,IF(Allocation!$N$1="VOL_CLASS",$R343,$S343)))</f>
        <v>1199.3485369999999</v>
      </c>
      <c r="AH343">
        <f>IF($A343="","",IF(Allocation!$N$1="VOL_EFF",$T343,IF(Allocation!$N$1="VOL_CLASS",$U343,$V343)))</f>
        <v>2494.3343489999993</v>
      </c>
      <c r="AI343">
        <f t="shared" si="107"/>
        <v>35516.952093599997</v>
      </c>
      <c r="AJ343">
        <f t="shared" si="108"/>
        <v>108596.218248</v>
      </c>
      <c r="AK343">
        <f t="shared" si="109"/>
        <v>27820.184053779412</v>
      </c>
      <c r="AL343">
        <f t="shared" si="110"/>
        <v>259482.16881220002</v>
      </c>
      <c r="AM343">
        <f t="shared" si="111"/>
        <v>90976.984205373461</v>
      </c>
      <c r="AN343">
        <f t="shared" si="112"/>
        <v>46114.475660177413</v>
      </c>
      <c r="AO343">
        <f>IF($A343="","",Allocation!CJ343)</f>
        <v>642526.80000000005</v>
      </c>
      <c r="AP343">
        <f>IF($A343="","",IF(Allocation!$N$2="VOL_EFF",$Q343,IF(Allocation!$N$2="VOL_CLASS",$R343,$S343)))</f>
        <v>9397044.3791000005</v>
      </c>
      <c r="AQ343">
        <f>IF($A343="","",IF(Allocation!$N$2="VOL_EFF",$T343,IF(Allocation!$N$2="VOL_CLASS",$U343,$V343)))</f>
        <v>18970805.476785999</v>
      </c>
      <c r="AR343">
        <f t="shared" si="113"/>
        <v>19475.455326869684</v>
      </c>
      <c r="AS343" t="str">
        <f>IF($A343="","",$A343&amp;"|"&amp;Allocation!BG343)</f>
        <v>2027|V03</v>
      </c>
    </row>
    <row r="344" spans="1:45" x14ac:dyDescent="0.45">
      <c r="A344" t="str">
        <f>IF(Allocation!BI344="","",Allocation!BI344)</f>
        <v>2027</v>
      </c>
      <c r="B344" t="str">
        <f>IF(Allocation!BJ344="","",Allocation!BJ344)</f>
        <v>MBWAY_PAR</v>
      </c>
      <c r="C344" t="str">
        <f>IF(Allocation!BK344="","",Allocation!BK344)</f>
        <v>MBWAY</v>
      </c>
      <c r="D344" t="str">
        <f>IF(Allocation!BL344="","",Allocation!BL344)</f>
        <v>MAS_MGT</v>
      </c>
      <c r="E344" t="str">
        <f>IF(Allocation!BM344="","",Allocation!BM344)</f>
        <v>M1</v>
      </c>
      <c r="F344" t="str">
        <f>IF(Allocation!BN344="","",Allocation!BN344)</f>
        <v>ALT</v>
      </c>
      <c r="G344">
        <f>IF(Allocation!BO344="","",Allocation!BO344)</f>
        <v>70.836828999999994</v>
      </c>
      <c r="H344">
        <f>IF(Allocation!BP344="","",Allocation!BP344)</f>
        <v>3</v>
      </c>
      <c r="I344">
        <f>IF(Allocation!BQ344="","",Allocation!BQ344)</f>
        <v>615685.38293600001</v>
      </c>
      <c r="J344">
        <f>IF(Allocation!CC344="","",Allocation!CC344)</f>
        <v>70.836828999999994</v>
      </c>
      <c r="K344">
        <f t="shared" si="95"/>
        <v>1260</v>
      </c>
      <c r="L344">
        <f t="shared" si="96"/>
        <v>366.94948299999999</v>
      </c>
      <c r="M344">
        <f t="shared" si="97"/>
        <v>15</v>
      </c>
      <c r="N344">
        <f t="shared" si="98"/>
        <v>3084114.0240419996</v>
      </c>
      <c r="O344">
        <f t="shared" si="99"/>
        <v>7200</v>
      </c>
      <c r="P344">
        <f t="shared" si="100"/>
        <v>143.26948299999998</v>
      </c>
      <c r="Q344">
        <f t="shared" si="101"/>
        <v>1199.3485369999999</v>
      </c>
      <c r="R344">
        <f t="shared" si="102"/>
        <v>50</v>
      </c>
      <c r="S344">
        <f t="shared" si="103"/>
        <v>9397044.3791000005</v>
      </c>
      <c r="T344">
        <f t="shared" si="104"/>
        <v>2494.3343489999993</v>
      </c>
      <c r="U344">
        <f t="shared" si="105"/>
        <v>111</v>
      </c>
      <c r="V344">
        <f t="shared" si="106"/>
        <v>18970805.476785999</v>
      </c>
      <c r="W344">
        <f>IF($A344="","",Allocation!CD344)</f>
        <v>177584.76046799999</v>
      </c>
      <c r="X344">
        <f>IF($A344="","",Allocation!CE344)</f>
        <v>542981.09123999998</v>
      </c>
      <c r="Y344">
        <f>IF($A344="","",Allocation!CF344)</f>
        <v>139385.61108</v>
      </c>
      <c r="Z344">
        <f>IF($A344="","",Allocation!CG344)</f>
        <v>64876.45</v>
      </c>
      <c r="AA344">
        <f>IF($A344="","",Allocation!CH344)</f>
        <v>1297410.844061</v>
      </c>
      <c r="AB344">
        <f>IF($A344="","",Allocation!CI344)</f>
        <v>3092074.3478999999</v>
      </c>
      <c r="AC344">
        <f>IF($A344="","",IF(Allocation!$N$4="VOL_EFF",$G344,IF(Allocation!$N$4="VOL_CLASS",$H344,$I344)))</f>
        <v>3</v>
      </c>
      <c r="AD344">
        <f>IF($A344="","",IF(Allocation!$N$4="VOL_EFF",$L344,IF(Allocation!$N$4="VOL_CLASS",$M344,$N344)))</f>
        <v>15</v>
      </c>
      <c r="AE344">
        <f>IF($A344="","",IF(Allocation!$N$3="VOL_EFF",$L344,IF(Allocation!$N$3="VOL_CLASS",$M344,$N344)))</f>
        <v>366.94948299999999</v>
      </c>
      <c r="AF344">
        <f>IF($A344="","",IF(Allocation!$N$3="VOL_EFF",$Q344,IF(Allocation!$N$3="VOL_CLASS",$R344,$S344)))</f>
        <v>1199.3485369999999</v>
      </c>
      <c r="AG344">
        <f>IF($A344="","",IF(Allocation!$N$1="VOL_EFF",$Q344,IF(Allocation!$N$1="VOL_CLASS",$R344,$S344)))</f>
        <v>1199.3485369999999</v>
      </c>
      <c r="AH344">
        <f>IF($A344="","",IF(Allocation!$N$1="VOL_EFF",$T344,IF(Allocation!$N$1="VOL_CLASS",$U344,$V344)))</f>
        <v>2494.3343489999993</v>
      </c>
      <c r="AI344">
        <f t="shared" si="107"/>
        <v>31077.333081899997</v>
      </c>
      <c r="AJ344">
        <f t="shared" si="108"/>
        <v>95021.690966999988</v>
      </c>
      <c r="AK344">
        <f t="shared" si="109"/>
        <v>58984.248318299346</v>
      </c>
      <c r="AL344">
        <f t="shared" si="110"/>
        <v>259482.16881220002</v>
      </c>
      <c r="AM344">
        <f t="shared" si="111"/>
        <v>90976.984205373461</v>
      </c>
      <c r="AN344">
        <f t="shared" si="112"/>
        <v>60667.502224357449</v>
      </c>
      <c r="AO344">
        <f>IF($A344="","",Allocation!CJ344)</f>
        <v>642526.80000000005</v>
      </c>
      <c r="AP344">
        <f>IF($A344="","",IF(Allocation!$N$2="VOL_EFF",$Q344,IF(Allocation!$N$2="VOL_CLASS",$R344,$S344)))</f>
        <v>9397044.3791000005</v>
      </c>
      <c r="AQ344">
        <f>IF($A344="","",IF(Allocation!$N$2="VOL_EFF",$T344,IF(Allocation!$N$2="VOL_CLASS",$U344,$V344)))</f>
        <v>18970805.476785999</v>
      </c>
      <c r="AR344">
        <f t="shared" si="113"/>
        <v>19475.455326869684</v>
      </c>
      <c r="AS344" t="str">
        <f>IF($A344="","",$A344&amp;"|"&amp;Allocation!BG344)</f>
        <v>2027|V03</v>
      </c>
    </row>
    <row r="345" spans="1:45" x14ac:dyDescent="0.45">
      <c r="A345" t="str">
        <f>IF(Allocation!BI345="","",Allocation!BI345)</f>
        <v>2027</v>
      </c>
      <c r="B345" t="str">
        <f>IF(Allocation!BJ345="","",Allocation!BJ345)</f>
        <v>MBWAY_PAR</v>
      </c>
      <c r="C345" t="str">
        <f>IF(Allocation!BK345="","",Allocation!BK345)</f>
        <v>MBWAY</v>
      </c>
      <c r="D345" t="str">
        <f>IF(Allocation!BL345="","",Allocation!BL345)</f>
        <v>MAS_MGT</v>
      </c>
      <c r="E345" t="str">
        <f>IF(Allocation!BM345="","",Allocation!BM345)</f>
        <v>M2</v>
      </c>
      <c r="F345" t="str">
        <f>IF(Allocation!BN345="","",Allocation!BN345)</f>
        <v>ALT</v>
      </c>
      <c r="G345">
        <f>IF(Allocation!BO345="","",Allocation!BO345)</f>
        <v>75.22</v>
      </c>
      <c r="H345">
        <f>IF(Allocation!BP345="","",Allocation!BP345)</f>
        <v>3</v>
      </c>
      <c r="I345">
        <f>IF(Allocation!BQ345="","",Allocation!BQ345)</f>
        <v>647012.35199999996</v>
      </c>
      <c r="J345">
        <f>IF(Allocation!CC345="","",Allocation!CC345)</f>
        <v>0</v>
      </c>
      <c r="K345">
        <f t="shared" si="95"/>
        <v>1260</v>
      </c>
      <c r="L345">
        <f t="shared" si="96"/>
        <v>366.94948299999999</v>
      </c>
      <c r="M345">
        <f t="shared" si="97"/>
        <v>15</v>
      </c>
      <c r="N345">
        <f t="shared" si="98"/>
        <v>3084114.0240419996</v>
      </c>
      <c r="O345">
        <f t="shared" si="99"/>
        <v>7200</v>
      </c>
      <c r="P345">
        <f t="shared" si="100"/>
        <v>143.26948299999998</v>
      </c>
      <c r="Q345">
        <f t="shared" si="101"/>
        <v>1199.3485369999999</v>
      </c>
      <c r="R345">
        <f t="shared" si="102"/>
        <v>50</v>
      </c>
      <c r="S345">
        <f t="shared" si="103"/>
        <v>9397044.3791000005</v>
      </c>
      <c r="T345">
        <f t="shared" si="104"/>
        <v>2494.3343489999993</v>
      </c>
      <c r="U345">
        <f t="shared" si="105"/>
        <v>111</v>
      </c>
      <c r="V345">
        <f t="shared" si="106"/>
        <v>18970805.476785999</v>
      </c>
      <c r="W345">
        <f>IF($A345="","",Allocation!CD345)</f>
        <v>177584.76046799999</v>
      </c>
      <c r="X345">
        <f>IF($A345="","",Allocation!CE345)</f>
        <v>542981.09123999998</v>
      </c>
      <c r="Y345">
        <f>IF($A345="","",Allocation!CF345)</f>
        <v>139385.61108</v>
      </c>
      <c r="Z345">
        <f>IF($A345="","",Allocation!CG345)</f>
        <v>64876.45</v>
      </c>
      <c r="AA345">
        <f>IF($A345="","",Allocation!CH345)</f>
        <v>1297410.844061</v>
      </c>
      <c r="AB345">
        <f>IF($A345="","",Allocation!CI345)</f>
        <v>3092074.3478999999</v>
      </c>
      <c r="AC345">
        <f>IF($A345="","",IF(Allocation!$N$4="VOL_EFF",$G345,IF(Allocation!$N$4="VOL_CLASS",$H345,$I345)))</f>
        <v>3</v>
      </c>
      <c r="AD345">
        <f>IF($A345="","",IF(Allocation!$N$4="VOL_EFF",$L345,IF(Allocation!$N$4="VOL_CLASS",$M345,$N345)))</f>
        <v>15</v>
      </c>
      <c r="AE345">
        <f>IF($A345="","",IF(Allocation!$N$3="VOL_EFF",$L345,IF(Allocation!$N$3="VOL_CLASS",$M345,$N345)))</f>
        <v>366.94948299999999</v>
      </c>
      <c r="AF345">
        <f>IF($A345="","",IF(Allocation!$N$3="VOL_EFF",$Q345,IF(Allocation!$N$3="VOL_CLASS",$R345,$S345)))</f>
        <v>1199.3485369999999</v>
      </c>
      <c r="AG345">
        <f>IF($A345="","",IF(Allocation!$N$1="VOL_EFF",$Q345,IF(Allocation!$N$1="VOL_CLASS",$R345,$S345)))</f>
        <v>1199.3485369999999</v>
      </c>
      <c r="AH345">
        <f>IF($A345="","",IF(Allocation!$N$1="VOL_EFF",$T345,IF(Allocation!$N$1="VOL_CLASS",$U345,$V345)))</f>
        <v>2494.3343489999993</v>
      </c>
      <c r="AI345">
        <f t="shared" si="107"/>
        <v>31077.333081899997</v>
      </c>
      <c r="AJ345">
        <f t="shared" si="108"/>
        <v>95021.690966999988</v>
      </c>
      <c r="AK345">
        <f t="shared" si="109"/>
        <v>28572.286244201085</v>
      </c>
      <c r="AL345">
        <f t="shared" si="110"/>
        <v>259482.16881220002</v>
      </c>
      <c r="AM345">
        <f t="shared" si="111"/>
        <v>90976.984205373461</v>
      </c>
      <c r="AN345">
        <f t="shared" si="112"/>
        <v>122406.43336245569</v>
      </c>
      <c r="AO345">
        <f>IF($A345="","",Allocation!CJ345)</f>
        <v>642526.80000000005</v>
      </c>
      <c r="AP345">
        <f>IF($A345="","",IF(Allocation!$N$2="VOL_EFF",$Q345,IF(Allocation!$N$2="VOL_CLASS",$R345,$S345)))</f>
        <v>9397044.3791000005</v>
      </c>
      <c r="AQ345">
        <f>IF($A345="","",IF(Allocation!$N$2="VOL_EFF",$T345,IF(Allocation!$N$2="VOL_CLASS",$U345,$V345)))</f>
        <v>18970805.476785999</v>
      </c>
      <c r="AR345">
        <f t="shared" si="113"/>
        <v>19475.455326869684</v>
      </c>
      <c r="AS345" t="str">
        <f>IF($A345="","",$A345&amp;"|"&amp;Allocation!BG345)</f>
        <v>2027|V03</v>
      </c>
    </row>
    <row r="346" spans="1:45" x14ac:dyDescent="0.45">
      <c r="A346" t="str">
        <f>IF(Allocation!BI346="","",Allocation!BI346)</f>
        <v>2027</v>
      </c>
      <c r="B346" t="str">
        <f>IF(Allocation!BJ346="","",Allocation!BJ346)</f>
        <v>PIGIER_BOR</v>
      </c>
      <c r="C346" t="str">
        <f>IF(Allocation!BK346="","",Allocation!BK346)</f>
        <v>PIGIER</v>
      </c>
      <c r="D346" t="str">
        <f>IF(Allocation!BL346="","",Allocation!BL346)</f>
        <v>BTS_GES</v>
      </c>
      <c r="E346" t="str">
        <f>IF(Allocation!BM346="","",Allocation!BM346)</f>
        <v>BTS1</v>
      </c>
      <c r="F346" t="str">
        <f>IF(Allocation!BN346="","",Allocation!BN346)</f>
        <v>ALT</v>
      </c>
      <c r="G346">
        <f>IF(Allocation!BO346="","",Allocation!BO346)</f>
        <v>32.684119000000003</v>
      </c>
      <c r="H346">
        <f>IF(Allocation!BP346="","",Allocation!BP346)</f>
        <v>2</v>
      </c>
      <c r="I346">
        <f>IF(Allocation!BQ346="","",Allocation!BQ346)</f>
        <v>196587.13159599999</v>
      </c>
      <c r="J346">
        <f>IF(Allocation!CC346="","",Allocation!CC346)</f>
        <v>32.684119000000003</v>
      </c>
      <c r="K346">
        <f t="shared" si="95"/>
        <v>1400</v>
      </c>
      <c r="L346">
        <f t="shared" si="96"/>
        <v>134.64823799999999</v>
      </c>
      <c r="M346">
        <f t="shared" si="97"/>
        <v>8</v>
      </c>
      <c r="N346">
        <f t="shared" si="98"/>
        <v>870121.51053999993</v>
      </c>
      <c r="O346">
        <f t="shared" si="99"/>
        <v>4720</v>
      </c>
      <c r="P346">
        <f t="shared" si="100"/>
        <v>65.368238000000005</v>
      </c>
      <c r="Q346">
        <f t="shared" si="101"/>
        <v>134.64823799999999</v>
      </c>
      <c r="R346">
        <f t="shared" si="102"/>
        <v>8</v>
      </c>
      <c r="S346">
        <f t="shared" si="103"/>
        <v>870121.51053999993</v>
      </c>
      <c r="T346">
        <f t="shared" si="104"/>
        <v>2494.3343489999993</v>
      </c>
      <c r="U346">
        <f t="shared" si="105"/>
        <v>111</v>
      </c>
      <c r="V346">
        <f t="shared" si="106"/>
        <v>18970805.476785999</v>
      </c>
      <c r="W346">
        <f>IF($A346="","",Allocation!CD346)</f>
        <v>94711.414625999998</v>
      </c>
      <c r="X346">
        <f>IF($A346="","",Allocation!CE346)</f>
        <v>197650.99252500001</v>
      </c>
      <c r="Y346">
        <f>IF($A346="","",Allocation!CF346)</f>
        <v>51814.105236000003</v>
      </c>
      <c r="Z346">
        <f>IF($A346="","",Allocation!CG346)</f>
        <v>20869.599999999999</v>
      </c>
      <c r="AA346">
        <f>IF($A346="","",Allocation!CH346)</f>
        <v>374395.12065200001</v>
      </c>
      <c r="AB346">
        <f>IF($A346="","",Allocation!CI346)</f>
        <v>3092074.3478999999</v>
      </c>
      <c r="AC346">
        <f>IF($A346="","",IF(Allocation!$N$4="VOL_EFF",$G346,IF(Allocation!$N$4="VOL_CLASS",$H346,$I346)))</f>
        <v>2</v>
      </c>
      <c r="AD346">
        <f>IF($A346="","",IF(Allocation!$N$4="VOL_EFF",$L346,IF(Allocation!$N$4="VOL_CLASS",$M346,$N346)))</f>
        <v>8</v>
      </c>
      <c r="AE346">
        <f>IF($A346="","",IF(Allocation!$N$3="VOL_EFF",$L346,IF(Allocation!$N$3="VOL_CLASS",$M346,$N346)))</f>
        <v>134.64823799999999</v>
      </c>
      <c r="AF346">
        <f>IF($A346="","",IF(Allocation!$N$3="VOL_EFF",$Q346,IF(Allocation!$N$3="VOL_CLASS",$R346,$S346)))</f>
        <v>134.64823799999999</v>
      </c>
      <c r="AG346">
        <f>IF($A346="","",IF(Allocation!$N$1="VOL_EFF",$Q346,IF(Allocation!$N$1="VOL_CLASS",$R346,$S346)))</f>
        <v>134.64823799999999</v>
      </c>
      <c r="AH346">
        <f>IF($A346="","",IF(Allocation!$N$1="VOL_EFF",$T346,IF(Allocation!$N$1="VOL_CLASS",$U346,$V346)))</f>
        <v>2494.3343489999993</v>
      </c>
      <c r="AI346">
        <f t="shared" si="107"/>
        <v>28092.368745</v>
      </c>
      <c r="AJ346">
        <f t="shared" si="108"/>
        <v>58625.294393008473</v>
      </c>
      <c r="AK346">
        <f t="shared" si="109"/>
        <v>23012.004177094001</v>
      </c>
      <c r="AL346">
        <f t="shared" si="110"/>
        <v>93598.780163000003</v>
      </c>
      <c r="AM346">
        <f t="shared" si="111"/>
        <v>41728.804608396757</v>
      </c>
      <c r="AN346">
        <f t="shared" si="112"/>
        <v>-55837.709474300646</v>
      </c>
      <c r="AO346">
        <f>IF($A346="","",Allocation!CJ346)</f>
        <v>642526.80000000005</v>
      </c>
      <c r="AP346">
        <f>IF($A346="","",IF(Allocation!$N$2="VOL_EFF",$Q346,IF(Allocation!$N$2="VOL_CLASS",$R346,$S346)))</f>
        <v>870121.51053999993</v>
      </c>
      <c r="AQ346">
        <f>IF($A346="","",IF(Allocation!$N$2="VOL_EFF",$T346,IF(Allocation!$N$2="VOL_CLASS",$U346,$V346)))</f>
        <v>18970805.476785999</v>
      </c>
      <c r="AR346">
        <f t="shared" si="113"/>
        <v>7367.5889838014173</v>
      </c>
      <c r="AS346" t="str">
        <f>IF($A346="","",$A346&amp;"|"&amp;Allocation!BG346)</f>
        <v>2027|V03</v>
      </c>
    </row>
    <row r="347" spans="1:45" x14ac:dyDescent="0.45">
      <c r="A347" t="str">
        <f>IF(Allocation!BI347="","",Allocation!BI347)</f>
        <v>2027</v>
      </c>
      <c r="B347" t="str">
        <f>IF(Allocation!BJ347="","",Allocation!BJ347)</f>
        <v>PIGIER_BOR</v>
      </c>
      <c r="C347" t="str">
        <f>IF(Allocation!BK347="","",Allocation!BK347)</f>
        <v>PIGIER</v>
      </c>
      <c r="D347" t="str">
        <f>IF(Allocation!BL347="","",Allocation!BL347)</f>
        <v>BTS_GES</v>
      </c>
      <c r="E347" t="str">
        <f>IF(Allocation!BM347="","",Allocation!BM347)</f>
        <v>BTS2</v>
      </c>
      <c r="F347" t="str">
        <f>IF(Allocation!BN347="","",Allocation!BN347)</f>
        <v>ALT</v>
      </c>
      <c r="G347">
        <f>IF(Allocation!BO347="","",Allocation!BO347)</f>
        <v>34.64</v>
      </c>
      <c r="H347">
        <f>IF(Allocation!BP347="","",Allocation!BP347)</f>
        <v>2</v>
      </c>
      <c r="I347">
        <f>IF(Allocation!BQ347="","",Allocation!BQ347)</f>
        <v>205233.68640000001</v>
      </c>
      <c r="J347">
        <f>IF(Allocation!CC347="","",Allocation!CC347)</f>
        <v>0</v>
      </c>
      <c r="K347">
        <f t="shared" si="95"/>
        <v>1400</v>
      </c>
      <c r="L347">
        <f t="shared" si="96"/>
        <v>134.64823799999999</v>
      </c>
      <c r="M347">
        <f t="shared" si="97"/>
        <v>8</v>
      </c>
      <c r="N347">
        <f t="shared" si="98"/>
        <v>870121.51053999993</v>
      </c>
      <c r="O347">
        <f t="shared" si="99"/>
        <v>4720</v>
      </c>
      <c r="P347">
        <f t="shared" si="100"/>
        <v>65.368238000000005</v>
      </c>
      <c r="Q347">
        <f t="shared" si="101"/>
        <v>134.64823799999999</v>
      </c>
      <c r="R347">
        <f t="shared" si="102"/>
        <v>8</v>
      </c>
      <c r="S347">
        <f t="shared" si="103"/>
        <v>870121.51053999993</v>
      </c>
      <c r="T347">
        <f t="shared" si="104"/>
        <v>2494.3343489999993</v>
      </c>
      <c r="U347">
        <f t="shared" si="105"/>
        <v>111</v>
      </c>
      <c r="V347">
        <f t="shared" si="106"/>
        <v>18970805.476785999</v>
      </c>
      <c r="W347">
        <f>IF($A347="","",Allocation!CD347)</f>
        <v>94711.414625999998</v>
      </c>
      <c r="X347">
        <f>IF($A347="","",Allocation!CE347)</f>
        <v>197650.99252500001</v>
      </c>
      <c r="Y347">
        <f>IF($A347="","",Allocation!CF347)</f>
        <v>51814.105236000003</v>
      </c>
      <c r="Z347">
        <f>IF($A347="","",Allocation!CG347)</f>
        <v>20869.599999999999</v>
      </c>
      <c r="AA347">
        <f>IF($A347="","",Allocation!CH347)</f>
        <v>374395.12065200001</v>
      </c>
      <c r="AB347">
        <f>IF($A347="","",Allocation!CI347)</f>
        <v>3092074.3478999999</v>
      </c>
      <c r="AC347">
        <f>IF($A347="","",IF(Allocation!$N$4="VOL_EFF",$G347,IF(Allocation!$N$4="VOL_CLASS",$H347,$I347)))</f>
        <v>2</v>
      </c>
      <c r="AD347">
        <f>IF($A347="","",IF(Allocation!$N$4="VOL_EFF",$L347,IF(Allocation!$N$4="VOL_CLASS",$M347,$N347)))</f>
        <v>8</v>
      </c>
      <c r="AE347">
        <f>IF($A347="","",IF(Allocation!$N$3="VOL_EFF",$L347,IF(Allocation!$N$3="VOL_CLASS",$M347,$N347)))</f>
        <v>134.64823799999999</v>
      </c>
      <c r="AF347">
        <f>IF($A347="","",IF(Allocation!$N$3="VOL_EFF",$Q347,IF(Allocation!$N$3="VOL_CLASS",$R347,$S347)))</f>
        <v>134.64823799999999</v>
      </c>
      <c r="AG347">
        <f>IF($A347="","",IF(Allocation!$N$1="VOL_EFF",$Q347,IF(Allocation!$N$1="VOL_CLASS",$R347,$S347)))</f>
        <v>134.64823799999999</v>
      </c>
      <c r="AH347">
        <f>IF($A347="","",IF(Allocation!$N$1="VOL_EFF",$T347,IF(Allocation!$N$1="VOL_CLASS",$U347,$V347)))</f>
        <v>2494.3343489999993</v>
      </c>
      <c r="AI347">
        <f t="shared" si="107"/>
        <v>28092.368745</v>
      </c>
      <c r="AJ347">
        <f t="shared" si="108"/>
        <v>58625.294393008473</v>
      </c>
      <c r="AK347">
        <f t="shared" si="109"/>
        <v>13329.848440906002</v>
      </c>
      <c r="AL347">
        <f t="shared" si="110"/>
        <v>93598.780163000003</v>
      </c>
      <c r="AM347">
        <f t="shared" si="111"/>
        <v>41728.804608396757</v>
      </c>
      <c r="AN347">
        <f t="shared" si="112"/>
        <v>-37508.998934112635</v>
      </c>
      <c r="AO347">
        <f>IF($A347="","",Allocation!CJ347)</f>
        <v>642526.80000000005</v>
      </c>
      <c r="AP347">
        <f>IF($A347="","",IF(Allocation!$N$2="VOL_EFF",$Q347,IF(Allocation!$N$2="VOL_CLASS",$R347,$S347)))</f>
        <v>870121.51053999993</v>
      </c>
      <c r="AQ347">
        <f>IF($A347="","",IF(Allocation!$N$2="VOL_EFF",$T347,IF(Allocation!$N$2="VOL_CLASS",$U347,$V347)))</f>
        <v>18970805.476785999</v>
      </c>
      <c r="AR347">
        <f t="shared" si="113"/>
        <v>7367.5889838014173</v>
      </c>
      <c r="AS347" t="str">
        <f>IF($A347="","",$A347&amp;"|"&amp;Allocation!BG347)</f>
        <v>2027|V03</v>
      </c>
    </row>
    <row r="348" spans="1:45" x14ac:dyDescent="0.45">
      <c r="A348" t="str">
        <f>IF(Allocation!BI348="","",Allocation!BI348)</f>
        <v>2027</v>
      </c>
      <c r="B348" t="str">
        <f>IF(Allocation!BJ348="","",Allocation!BJ348)</f>
        <v>PIGIER_BOR</v>
      </c>
      <c r="C348" t="str">
        <f>IF(Allocation!BK348="","",Allocation!BK348)</f>
        <v>PIGIER</v>
      </c>
      <c r="D348" t="str">
        <f>IF(Allocation!BL348="","",Allocation!BL348)</f>
        <v>BAC_RH</v>
      </c>
      <c r="E348" t="str">
        <f>IF(Allocation!BM348="","",Allocation!BM348)</f>
        <v>B1</v>
      </c>
      <c r="F348" t="str">
        <f>IF(Allocation!BN348="","",Allocation!BN348)</f>
        <v>ALT</v>
      </c>
      <c r="G348">
        <f>IF(Allocation!BO348="","",Allocation!BO348)</f>
        <v>32.684119000000003</v>
      </c>
      <c r="H348">
        <f>IF(Allocation!BP348="","",Allocation!BP348)</f>
        <v>2</v>
      </c>
      <c r="I348">
        <f>IF(Allocation!BQ348="","",Allocation!BQ348)</f>
        <v>228861.39174399999</v>
      </c>
      <c r="J348">
        <f>IF(Allocation!CC348="","",Allocation!CC348)</f>
        <v>32.684119000000003</v>
      </c>
      <c r="K348">
        <f t="shared" si="95"/>
        <v>960</v>
      </c>
      <c r="L348">
        <f t="shared" si="96"/>
        <v>134.64823799999999</v>
      </c>
      <c r="M348">
        <f t="shared" si="97"/>
        <v>8</v>
      </c>
      <c r="N348">
        <f t="shared" si="98"/>
        <v>870121.51053999993</v>
      </c>
      <c r="O348">
        <f t="shared" si="99"/>
        <v>4720</v>
      </c>
      <c r="P348">
        <f t="shared" si="100"/>
        <v>65.368238000000005</v>
      </c>
      <c r="Q348">
        <f t="shared" si="101"/>
        <v>134.64823799999999</v>
      </c>
      <c r="R348">
        <f t="shared" si="102"/>
        <v>8</v>
      </c>
      <c r="S348">
        <f t="shared" si="103"/>
        <v>870121.51053999993</v>
      </c>
      <c r="T348">
        <f t="shared" si="104"/>
        <v>2494.3343489999993</v>
      </c>
      <c r="U348">
        <f t="shared" si="105"/>
        <v>111</v>
      </c>
      <c r="V348">
        <f t="shared" si="106"/>
        <v>18970805.476785999</v>
      </c>
      <c r="W348">
        <f>IF($A348="","",Allocation!CD348)</f>
        <v>94711.414625999998</v>
      </c>
      <c r="X348">
        <f>IF($A348="","",Allocation!CE348)</f>
        <v>197650.99252500001</v>
      </c>
      <c r="Y348">
        <f>IF($A348="","",Allocation!CF348)</f>
        <v>51814.105236000003</v>
      </c>
      <c r="Z348">
        <f>IF($A348="","",Allocation!CG348)</f>
        <v>20869.599999999999</v>
      </c>
      <c r="AA348">
        <f>IF($A348="","",Allocation!CH348)</f>
        <v>374395.12065200001</v>
      </c>
      <c r="AB348">
        <f>IF($A348="","",Allocation!CI348)</f>
        <v>3092074.3478999999</v>
      </c>
      <c r="AC348">
        <f>IF($A348="","",IF(Allocation!$N$4="VOL_EFF",$G348,IF(Allocation!$N$4="VOL_CLASS",$H348,$I348)))</f>
        <v>2</v>
      </c>
      <c r="AD348">
        <f>IF($A348="","",IF(Allocation!$N$4="VOL_EFF",$L348,IF(Allocation!$N$4="VOL_CLASS",$M348,$N348)))</f>
        <v>8</v>
      </c>
      <c r="AE348">
        <f>IF($A348="","",IF(Allocation!$N$3="VOL_EFF",$L348,IF(Allocation!$N$3="VOL_CLASS",$M348,$N348)))</f>
        <v>134.64823799999999</v>
      </c>
      <c r="AF348">
        <f>IF($A348="","",IF(Allocation!$N$3="VOL_EFF",$Q348,IF(Allocation!$N$3="VOL_CLASS",$R348,$S348)))</f>
        <v>134.64823799999999</v>
      </c>
      <c r="AG348">
        <f>IF($A348="","",IF(Allocation!$N$1="VOL_EFF",$Q348,IF(Allocation!$N$1="VOL_CLASS",$R348,$S348)))</f>
        <v>134.64823799999999</v>
      </c>
      <c r="AH348">
        <f>IF($A348="","",IF(Allocation!$N$1="VOL_EFF",$T348,IF(Allocation!$N$1="VOL_CLASS",$U348,$V348)))</f>
        <v>2494.3343489999993</v>
      </c>
      <c r="AI348">
        <f t="shared" si="107"/>
        <v>19263.338567999999</v>
      </c>
      <c r="AJ348">
        <f t="shared" si="108"/>
        <v>40200.201869491531</v>
      </c>
      <c r="AK348">
        <f t="shared" si="109"/>
        <v>23012.004177094001</v>
      </c>
      <c r="AL348">
        <f t="shared" si="110"/>
        <v>93598.780163000003</v>
      </c>
      <c r="AM348">
        <f t="shared" si="111"/>
        <v>41728.804608396757</v>
      </c>
      <c r="AN348">
        <f t="shared" si="112"/>
        <v>3690.6733742163051</v>
      </c>
      <c r="AO348">
        <f>IF($A348="","",Allocation!CJ348)</f>
        <v>642526.80000000005</v>
      </c>
      <c r="AP348">
        <f>IF($A348="","",IF(Allocation!$N$2="VOL_EFF",$Q348,IF(Allocation!$N$2="VOL_CLASS",$R348,$S348)))</f>
        <v>870121.51053999993</v>
      </c>
      <c r="AQ348">
        <f>IF($A348="","",IF(Allocation!$N$2="VOL_EFF",$T348,IF(Allocation!$N$2="VOL_CLASS",$U348,$V348)))</f>
        <v>18970805.476785999</v>
      </c>
      <c r="AR348">
        <f t="shared" si="113"/>
        <v>7367.5889838014173</v>
      </c>
      <c r="AS348" t="str">
        <f>IF($A348="","",$A348&amp;"|"&amp;Allocation!BG348)</f>
        <v>2027|V03</v>
      </c>
    </row>
    <row r="349" spans="1:45" x14ac:dyDescent="0.45">
      <c r="A349" t="str">
        <f>IF(Allocation!BI349="","",Allocation!BI349)</f>
        <v>2027</v>
      </c>
      <c r="B349" t="str">
        <f>IF(Allocation!BJ349="","",Allocation!BJ349)</f>
        <v>PIGIER_BOR</v>
      </c>
      <c r="C349" t="str">
        <f>IF(Allocation!BK349="","",Allocation!BK349)</f>
        <v>PIGIER</v>
      </c>
      <c r="D349" t="str">
        <f>IF(Allocation!BL349="","",Allocation!BL349)</f>
        <v>BAC_RH</v>
      </c>
      <c r="E349" t="str">
        <f>IF(Allocation!BM349="","",Allocation!BM349)</f>
        <v>B2</v>
      </c>
      <c r="F349" t="str">
        <f>IF(Allocation!BN349="","",Allocation!BN349)</f>
        <v>ALT</v>
      </c>
      <c r="G349">
        <f>IF(Allocation!BO349="","",Allocation!BO349)</f>
        <v>34.64</v>
      </c>
      <c r="H349">
        <f>IF(Allocation!BP349="","",Allocation!BP349)</f>
        <v>2</v>
      </c>
      <c r="I349">
        <f>IF(Allocation!BQ349="","",Allocation!BQ349)</f>
        <v>239439.3008</v>
      </c>
      <c r="J349">
        <f>IF(Allocation!CC349="","",Allocation!CC349)</f>
        <v>0</v>
      </c>
      <c r="K349">
        <f t="shared" si="95"/>
        <v>960</v>
      </c>
      <c r="L349">
        <f t="shared" si="96"/>
        <v>134.64823799999999</v>
      </c>
      <c r="M349">
        <f t="shared" si="97"/>
        <v>8</v>
      </c>
      <c r="N349">
        <f t="shared" si="98"/>
        <v>870121.51053999993</v>
      </c>
      <c r="O349">
        <f t="shared" si="99"/>
        <v>4720</v>
      </c>
      <c r="P349">
        <f t="shared" si="100"/>
        <v>65.368238000000005</v>
      </c>
      <c r="Q349">
        <f t="shared" si="101"/>
        <v>134.64823799999999</v>
      </c>
      <c r="R349">
        <f t="shared" si="102"/>
        <v>8</v>
      </c>
      <c r="S349">
        <f t="shared" si="103"/>
        <v>870121.51053999993</v>
      </c>
      <c r="T349">
        <f t="shared" si="104"/>
        <v>2494.3343489999993</v>
      </c>
      <c r="U349">
        <f t="shared" si="105"/>
        <v>111</v>
      </c>
      <c r="V349">
        <f t="shared" si="106"/>
        <v>18970805.476785999</v>
      </c>
      <c r="W349">
        <f>IF($A349="","",Allocation!CD349)</f>
        <v>94711.414625999998</v>
      </c>
      <c r="X349">
        <f>IF($A349="","",Allocation!CE349)</f>
        <v>197650.99252500001</v>
      </c>
      <c r="Y349">
        <f>IF($A349="","",Allocation!CF349)</f>
        <v>51814.105236000003</v>
      </c>
      <c r="Z349">
        <f>IF($A349="","",Allocation!CG349)</f>
        <v>20869.599999999999</v>
      </c>
      <c r="AA349">
        <f>IF($A349="","",Allocation!CH349)</f>
        <v>374395.12065200001</v>
      </c>
      <c r="AB349">
        <f>IF($A349="","",Allocation!CI349)</f>
        <v>3092074.3478999999</v>
      </c>
      <c r="AC349">
        <f>IF($A349="","",IF(Allocation!$N$4="VOL_EFF",$G349,IF(Allocation!$N$4="VOL_CLASS",$H349,$I349)))</f>
        <v>2</v>
      </c>
      <c r="AD349">
        <f>IF($A349="","",IF(Allocation!$N$4="VOL_EFF",$L349,IF(Allocation!$N$4="VOL_CLASS",$M349,$N349)))</f>
        <v>8</v>
      </c>
      <c r="AE349">
        <f>IF($A349="","",IF(Allocation!$N$3="VOL_EFF",$L349,IF(Allocation!$N$3="VOL_CLASS",$M349,$N349)))</f>
        <v>134.64823799999999</v>
      </c>
      <c r="AF349">
        <f>IF($A349="","",IF(Allocation!$N$3="VOL_EFF",$Q349,IF(Allocation!$N$3="VOL_CLASS",$R349,$S349)))</f>
        <v>134.64823799999999</v>
      </c>
      <c r="AG349">
        <f>IF($A349="","",IF(Allocation!$N$1="VOL_EFF",$Q349,IF(Allocation!$N$1="VOL_CLASS",$R349,$S349)))</f>
        <v>134.64823799999999</v>
      </c>
      <c r="AH349">
        <f>IF($A349="","",IF(Allocation!$N$1="VOL_EFF",$T349,IF(Allocation!$N$1="VOL_CLASS",$U349,$V349)))</f>
        <v>2494.3343489999993</v>
      </c>
      <c r="AI349">
        <f t="shared" si="107"/>
        <v>19263.338567999999</v>
      </c>
      <c r="AJ349">
        <f t="shared" si="108"/>
        <v>40200.201869491531</v>
      </c>
      <c r="AK349">
        <f t="shared" si="109"/>
        <v>13329.848440906002</v>
      </c>
      <c r="AL349">
        <f t="shared" si="110"/>
        <v>93598.780163000003</v>
      </c>
      <c r="AM349">
        <f t="shared" si="111"/>
        <v>41728.804608396757</v>
      </c>
      <c r="AN349">
        <f t="shared" si="112"/>
        <v>23950.738166404306</v>
      </c>
      <c r="AO349">
        <f>IF($A349="","",Allocation!CJ349)</f>
        <v>642526.80000000005</v>
      </c>
      <c r="AP349">
        <f>IF($A349="","",IF(Allocation!$N$2="VOL_EFF",$Q349,IF(Allocation!$N$2="VOL_CLASS",$R349,$S349)))</f>
        <v>870121.51053999993</v>
      </c>
      <c r="AQ349">
        <f>IF($A349="","",IF(Allocation!$N$2="VOL_EFF",$T349,IF(Allocation!$N$2="VOL_CLASS",$U349,$V349)))</f>
        <v>18970805.476785999</v>
      </c>
      <c r="AR349">
        <f t="shared" si="113"/>
        <v>7367.5889838014173</v>
      </c>
      <c r="AS349" t="str">
        <f>IF($A349="","",$A349&amp;"|"&amp;Allocation!BG349)</f>
        <v>2027|V03</v>
      </c>
    </row>
    <row r="350" spans="1:45">
      <c r="A350">
        <f>IF(Allocation!BI350="","",Allocation!BI350)</f>
      </c>
      <c r="B350">
        <f>IF(Allocation!BJ350="","",Allocation!BJ350)</f>
      </c>
      <c r="C350">
        <f>IF(Allocation!BK350="","",Allocation!BK350)</f>
      </c>
      <c r="D350">
        <f>IF(Allocation!BL350="","",Allocation!BL350)</f>
      </c>
      <c r="E350">
        <f>IF(Allocation!BM350="","",Allocation!BM350)</f>
      </c>
      <c r="F350">
        <f>IF(Allocation!BN350="","",Allocation!BN350)</f>
      </c>
      <c r="G350">
        <f>IF(Allocation!BO350="","",Allocation!BO350)</f>
      </c>
      <c r="H350">
        <f>IF(Allocation!BP350="","",Allocation!BP350)</f>
      </c>
      <c r="I350">
        <f>IF(Allocation!BQ350="","",Allocation!BQ350)</f>
      </c>
      <c r="J350">
        <f>IF(Allocation!CC350="","",Allocation!CC350)</f>
      </c>
      <c r="K350">
        <f>IF($A350="","",$H350*IF(AND(LEFT($D350,3)="BAC",$F350="INIT"),600,IF(LEFT($D350,3)="BAC",480,IF(AND(LEFT($D350,3)="MAS",$F350="INIT"),520,IF(LEFT($D350,3)="MAS",420,IF($F350="INIT",1000,700))))))</f>
      </c>
      <c r="L350">
        <f>IF($A350="","",SUMIFS($G$1:$G$349,$AS$1:$AS$349,$AS350,$B$1:$B$349,$B350))</f>
      </c>
      <c r="M350">
        <f>IF($A350="","",SUMIFS($H$1:$H$349,$AS$1:$AS$349,$AS350,$B$1:$B$349,$B350))</f>
      </c>
      <c r="N350">
        <f>IF($A350="","",SUMIFS($I$1:$I$349,$AS$1:$AS$349,$AS350,$B$1:$B$349,$B350))</f>
      </c>
      <c r="O350">
        <f>IF($A350="","",SUMIFS($K$1:$K$349,$AS$1:$AS$349,$AS350,$B$1:$B$349,$B350))</f>
      </c>
      <c r="P350">
        <f>IF($A350="","",SUMIFS($J$1:$J$349,$AS$1:$AS$349,$AS350,$B$1:$B$349,$B350))</f>
      </c>
      <c r="Q350">
        <f>IF($A350="","",SUMIFS($G$1:$G$349,$AS$1:$AS$349,$AS350,$C$1:$C$349,$C350))</f>
      </c>
      <c r="R350">
        <f>IF($A350="","",SUMIFS($H$1:$H$349,$AS$1:$AS$349,$AS350,$C$1:$C$349,$C350))</f>
      </c>
      <c r="S350">
        <f>IF($A350="","",SUMIFS($I$1:$I$349,$AS$1:$AS$349,$AS350,$C$1:$C$349,$C350))</f>
      </c>
      <c r="T350">
        <f>IF($A350="","",SUMIFS($G$1:$G$349,$AS$1:$AS$349,$AS350))</f>
      </c>
      <c r="U350">
        <f>IF($A350="","",SUMIFS($H$1:$H$349,$AS$1:$AS$349,$AS350))</f>
      </c>
      <c r="V350">
        <f>IF($A350="","",SUMIFS($I$1:$I$349,$AS$1:$AS$349,$AS350))</f>
      </c>
      <c r="W350">
        <f>IF($A350="","",Allocation!CD350)</f>
      </c>
      <c r="X350">
        <f>IF($A350="","",Allocation!CE350)</f>
      </c>
      <c r="Y350">
        <f>IF($A350="","",Allocation!CF350)</f>
      </c>
      <c r="Z350">
        <f>IF($A350="","",Allocation!CG350)</f>
      </c>
      <c r="AA350">
        <f>IF($A350="","",Allocation!CH350)</f>
      </c>
      <c r="AB350">
        <f>IF($A350="","",Allocation!CI350)</f>
      </c>
      <c r="AC350">
        <f>IF($A350="","",IF(Allocation!$N$4="VOL_EFF",$G350,IF(Allocation!$N$4="VOL_CLASS",$H350,$I350)))</f>
      </c>
      <c r="AD350">
        <f>IF($A350="","",IF(Allocation!$N$4="VOL_EFF",$L350,IF(Allocation!$N$4="VOL_CLASS",$M350,$N350)))</f>
      </c>
      <c r="AE350">
        <f>IF($A350="","",IF(Allocation!$N$3="VOL_EFF",$L350,IF(Allocation!$N$3="VOL_CLASS",$M350,$N350)))</f>
      </c>
      <c r="AF350">
        <f>IF($A350="","",IF(Allocation!$N$3="VOL_EFF",$Q350,IF(Allocation!$N$3="VOL_CLASS",$R350,$S350)))</f>
      </c>
      <c r="AG350">
        <f>IF($A350="","",IF(Allocation!$N$1="VOL_EFF",$Q350,IF(Allocation!$N$1="VOL_CLASS",$R350,$S350)))</f>
      </c>
      <c r="AH350">
        <f>IF($A350="","",IF(Allocation!$N$1="VOL_EFF",$T350,IF(Allocation!$N$1="VOL_CLASS",$U350,$V350)))</f>
      </c>
      <c r="AI350">
        <f>IF($A350="","",$W350*IFERROR($K350/$O350,0))</f>
      </c>
      <c r="AJ350">
        <f>IF($A350="","",$X350*IFERROR($K350/$O350,0))</f>
      </c>
      <c r="AK350">
        <f>IF($A350="","",$Y350*IFERROR($G350/$L350,0)+$Z350*IFERROR($J350/$P350,0))</f>
      </c>
      <c r="AL350">
        <f>IF($A350="","",$AA350*IFERROR($AC350/$AD350,0))</f>
      </c>
      <c r="AM350">
        <f>IF($A350="","",$AB350*IFERROR($AG350/$AH350,0)*IFERROR($AE350/$AF350,0)*IFERROR($AC350/$AD350,0))</f>
      </c>
      <c r="AN350">
        <f>IF($A350="","",$I350-($AI350+$AJ350+$AK350+$AL350+$AM350+$AR350))</f>
      </c>
      <c r="AO350">
        <f>IF($A350="","",Allocation!CJ350)</f>
      </c>
      <c r="AP350">
        <f>IF($A350="","",IF(Allocation!$N$2="VOL_EFF",$Q350,IF(Allocation!$N$2="VOL_CLASS",$R350,$S350)))</f>
      </c>
      <c r="AQ350">
        <f>IF($A350="","",IF(Allocation!$N$2="VOL_EFF",$T350,IF(Allocation!$N$2="VOL_CLASS",$U350,$V350)))</f>
      </c>
      <c r="AR350">
        <f>IF($A350="","",$AO350*IFERROR($AP350/$AQ350,0)*IFERROR($AE350/$AF350,0)*IFERROR($AC350/$AD350,0))</f>
      </c>
      <c r="AS350">
        <f>IF($A350="","",$A350&amp;"|"&amp;Allocation!BG350)</f>
      </c>
    </row>
    <row r="351" spans="1:45">
      <c r="A351">
        <f>IF(Allocation!BI351="","",Allocation!BI351)</f>
      </c>
      <c r="B351">
        <f>IF(Allocation!BJ351="","",Allocation!BJ351)</f>
      </c>
      <c r="C351">
        <f>IF(Allocation!BK351="","",Allocation!BK351)</f>
      </c>
      <c r="D351">
        <f>IF(Allocation!BL351="","",Allocation!BL351)</f>
      </c>
      <c r="E351">
        <f>IF(Allocation!BM351="","",Allocation!BM351)</f>
      </c>
      <c r="F351">
        <f>IF(Allocation!BN351="","",Allocation!BN351)</f>
      </c>
      <c r="G351">
        <f>IF(Allocation!BO351="","",Allocation!BO351)</f>
      </c>
      <c r="H351">
        <f>IF(Allocation!BP351="","",Allocation!BP351)</f>
      </c>
      <c r="I351">
        <f>IF(Allocation!BQ351="","",Allocation!BQ351)</f>
      </c>
      <c r="J351">
        <f>IF(Allocation!CC351="","",Allocation!CC351)</f>
      </c>
      <c r="K351">
        <f>IF($A351="","",$H351*IF(AND(LEFT($D351,3)="BAC",$F351="INIT"),600,IF(LEFT($D351,3)="BAC",480,IF(AND(LEFT($D351,3)="MAS",$F351="INIT"),520,IF(LEFT($D351,3)="MAS",420,IF($F351="INIT",1000,700))))))</f>
      </c>
      <c r="L351">
        <f>IF($A351="","",SUMIFS($G$1:$G$349,$AS$1:$AS$349,$AS351,$B$1:$B$349,$B351))</f>
      </c>
      <c r="M351">
        <f>IF($A351="","",SUMIFS($H$1:$H$349,$AS$1:$AS$349,$AS351,$B$1:$B$349,$B351))</f>
      </c>
      <c r="N351">
        <f>IF($A351="","",SUMIFS($I$1:$I$349,$AS$1:$AS$349,$AS351,$B$1:$B$349,$B351))</f>
      </c>
      <c r="O351">
        <f>IF($A351="","",SUMIFS($K$1:$K$349,$AS$1:$AS$349,$AS351,$B$1:$B$349,$B351))</f>
      </c>
      <c r="P351">
        <f>IF($A351="","",SUMIFS($J$1:$J$349,$AS$1:$AS$349,$AS351,$B$1:$B$349,$B351))</f>
      </c>
      <c r="Q351">
        <f>IF($A351="","",SUMIFS($G$1:$G$349,$AS$1:$AS$349,$AS351,$C$1:$C$349,$C351))</f>
      </c>
      <c r="R351">
        <f>IF($A351="","",SUMIFS($H$1:$H$349,$AS$1:$AS$349,$AS351,$C$1:$C$349,$C351))</f>
      </c>
      <c r="S351">
        <f>IF($A351="","",SUMIFS($I$1:$I$349,$AS$1:$AS$349,$AS351,$C$1:$C$349,$C351))</f>
      </c>
      <c r="T351">
        <f>IF($A351="","",SUMIFS($G$1:$G$349,$AS$1:$AS$349,$AS351))</f>
      </c>
      <c r="U351">
        <f>IF($A351="","",SUMIFS($H$1:$H$349,$AS$1:$AS$349,$AS351))</f>
      </c>
      <c r="V351">
        <f>IF($A351="","",SUMIFS($I$1:$I$349,$AS$1:$AS$349,$AS351))</f>
      </c>
      <c r="W351">
        <f>IF($A351="","",Allocation!CD351)</f>
      </c>
      <c r="X351">
        <f>IF($A351="","",Allocation!CE351)</f>
      </c>
      <c r="Y351">
        <f>IF($A351="","",Allocation!CF351)</f>
      </c>
      <c r="Z351">
        <f>IF($A351="","",Allocation!CG351)</f>
      </c>
      <c r="AA351">
        <f>IF($A351="","",Allocation!CH351)</f>
      </c>
      <c r="AB351">
        <f>IF($A351="","",Allocation!CI351)</f>
      </c>
      <c r="AC351">
        <f>IF($A351="","",IF(Allocation!$N$4="VOL_EFF",$G351,IF(Allocation!$N$4="VOL_CLASS",$H351,$I351)))</f>
      </c>
      <c r="AD351">
        <f>IF($A351="","",IF(Allocation!$N$4="VOL_EFF",$L351,IF(Allocation!$N$4="VOL_CLASS",$M351,$N351)))</f>
      </c>
      <c r="AE351">
        <f>IF($A351="","",IF(Allocation!$N$3="VOL_EFF",$L351,IF(Allocation!$N$3="VOL_CLASS",$M351,$N351)))</f>
      </c>
      <c r="AF351">
        <f>IF($A351="","",IF(Allocation!$N$3="VOL_EFF",$Q351,IF(Allocation!$N$3="VOL_CLASS",$R351,$S351)))</f>
      </c>
      <c r="AG351">
        <f>IF($A351="","",IF(Allocation!$N$1="VOL_EFF",$Q351,IF(Allocation!$N$1="VOL_CLASS",$R351,$S351)))</f>
      </c>
      <c r="AH351">
        <f>IF($A351="","",IF(Allocation!$N$1="VOL_EFF",$T351,IF(Allocation!$N$1="VOL_CLASS",$U351,$V351)))</f>
      </c>
      <c r="AI351">
        <f>IF($A351="","",$W351*IFERROR($K351/$O351,0))</f>
      </c>
      <c r="AJ351">
        <f>IF($A351="","",$X351*IFERROR($K351/$O351,0))</f>
      </c>
      <c r="AK351">
        <f>IF($A351="","",$Y351*IFERROR($G351/$L351,0)+$Z351*IFERROR($J351/$P351,0))</f>
      </c>
      <c r="AL351">
        <f>IF($A351="","",$AA351*IFERROR($AC351/$AD351,0))</f>
      </c>
      <c r="AM351">
        <f>IF($A351="","",$AB351*IFERROR($AG351/$AH351,0)*IFERROR($AE351/$AF351,0)*IFERROR($AC351/$AD351,0))</f>
      </c>
      <c r="AN351">
        <f>IF($A351="","",$I351-($AI351+$AJ351+$AK351+$AL351+$AM351+$AR351))</f>
      </c>
      <c r="AO351">
        <f>IF($A351="","",Allocation!CJ351)</f>
      </c>
      <c r="AP351">
        <f>IF($A351="","",IF(Allocation!$N$2="VOL_EFF",$Q351,IF(Allocation!$N$2="VOL_CLASS",$R351,$S351)))</f>
      </c>
      <c r="AQ351">
        <f>IF($A351="","",IF(Allocation!$N$2="VOL_EFF",$T351,IF(Allocation!$N$2="VOL_CLASS",$U351,$V351)))</f>
      </c>
      <c r="AR351">
        <f>IF($A351="","",$AO351*IFERROR($AP351/$AQ351,0)*IFERROR($AE351/$AF351,0)*IFERROR($AC351/$AD351,0))</f>
      </c>
      <c r="AS351">
        <f>IF($A351="","",$A351&amp;"|"&amp;Allocation!BG351)</f>
      </c>
    </row>
    <row r="352" spans="1:45">
      <c r="A352">
        <f>IF(Allocation!BI352="","",Allocation!BI352)</f>
      </c>
      <c r="B352">
        <f>IF(Allocation!BJ352="","",Allocation!BJ352)</f>
      </c>
      <c r="C352">
        <f>IF(Allocation!BK352="","",Allocation!BK352)</f>
      </c>
      <c r="D352">
        <f>IF(Allocation!BL352="","",Allocation!BL352)</f>
      </c>
      <c r="E352">
        <f>IF(Allocation!BM352="","",Allocation!BM352)</f>
      </c>
      <c r="F352">
        <f>IF(Allocation!BN352="","",Allocation!BN352)</f>
      </c>
      <c r="G352">
        <f>IF(Allocation!BO352="","",Allocation!BO352)</f>
      </c>
      <c r="H352">
        <f>IF(Allocation!BP352="","",Allocation!BP352)</f>
      </c>
      <c r="I352">
        <f>IF(Allocation!BQ352="","",Allocation!BQ352)</f>
      </c>
      <c r="J352">
        <f>IF(Allocation!CC352="","",Allocation!CC352)</f>
      </c>
      <c r="K352">
        <f>IF($A352="","",$H352*IF(AND(LEFT($D352,3)="BAC",$F352="INIT"),600,IF(LEFT($D352,3)="BAC",480,IF(AND(LEFT($D352,3)="MAS",$F352="INIT"),520,IF(LEFT($D352,3)="MAS",420,IF($F352="INIT",1000,700))))))</f>
      </c>
      <c r="L352">
        <f>IF($A352="","",SUMIFS($G$1:$G$349,$AS$1:$AS$349,$AS352,$B$1:$B$349,$B352))</f>
      </c>
      <c r="M352">
        <f>IF($A352="","",SUMIFS($H$1:$H$349,$AS$1:$AS$349,$AS352,$B$1:$B$349,$B352))</f>
      </c>
      <c r="N352">
        <f>IF($A352="","",SUMIFS($I$1:$I$349,$AS$1:$AS$349,$AS352,$B$1:$B$349,$B352))</f>
      </c>
      <c r="O352">
        <f>IF($A352="","",SUMIFS($K$1:$K$349,$AS$1:$AS$349,$AS352,$B$1:$B$349,$B352))</f>
      </c>
      <c r="P352">
        <f>IF($A352="","",SUMIFS($J$1:$J$349,$AS$1:$AS$349,$AS352,$B$1:$B$349,$B352))</f>
      </c>
      <c r="Q352">
        <f>IF($A352="","",SUMIFS($G$1:$G$349,$AS$1:$AS$349,$AS352,$C$1:$C$349,$C352))</f>
      </c>
      <c r="R352">
        <f>IF($A352="","",SUMIFS($H$1:$H$349,$AS$1:$AS$349,$AS352,$C$1:$C$349,$C352))</f>
      </c>
      <c r="S352">
        <f>IF($A352="","",SUMIFS($I$1:$I$349,$AS$1:$AS$349,$AS352,$C$1:$C$349,$C352))</f>
      </c>
      <c r="T352">
        <f>IF($A352="","",SUMIFS($G$1:$G$349,$AS$1:$AS$349,$AS352))</f>
      </c>
      <c r="U352">
        <f>IF($A352="","",SUMIFS($H$1:$H$349,$AS$1:$AS$349,$AS352))</f>
      </c>
      <c r="V352">
        <f>IF($A352="","",SUMIFS($I$1:$I$349,$AS$1:$AS$349,$AS352))</f>
      </c>
      <c r="W352">
        <f>IF($A352="","",Allocation!CD352)</f>
      </c>
      <c r="X352">
        <f>IF($A352="","",Allocation!CE352)</f>
      </c>
      <c r="Y352">
        <f>IF($A352="","",Allocation!CF352)</f>
      </c>
      <c r="Z352">
        <f>IF($A352="","",Allocation!CG352)</f>
      </c>
      <c r="AA352">
        <f>IF($A352="","",Allocation!CH352)</f>
      </c>
      <c r="AB352">
        <f>IF($A352="","",Allocation!CI352)</f>
      </c>
      <c r="AC352">
        <f>IF($A352="","",IF(Allocation!$N$4="VOL_EFF",$G352,IF(Allocation!$N$4="VOL_CLASS",$H352,$I352)))</f>
      </c>
      <c r="AD352">
        <f>IF($A352="","",IF(Allocation!$N$4="VOL_EFF",$L352,IF(Allocation!$N$4="VOL_CLASS",$M352,$N352)))</f>
      </c>
      <c r="AE352">
        <f>IF($A352="","",IF(Allocation!$N$3="VOL_EFF",$L352,IF(Allocation!$N$3="VOL_CLASS",$M352,$N352)))</f>
      </c>
      <c r="AF352">
        <f>IF($A352="","",IF(Allocation!$N$3="VOL_EFF",$Q352,IF(Allocation!$N$3="VOL_CLASS",$R352,$S352)))</f>
      </c>
      <c r="AG352">
        <f>IF($A352="","",IF(Allocation!$N$1="VOL_EFF",$Q352,IF(Allocation!$N$1="VOL_CLASS",$R352,$S352)))</f>
      </c>
      <c r="AH352">
        <f>IF($A352="","",IF(Allocation!$N$1="VOL_EFF",$T352,IF(Allocation!$N$1="VOL_CLASS",$U352,$V352)))</f>
      </c>
      <c r="AI352">
        <f>IF($A352="","",$W352*IFERROR($K352/$O352,0))</f>
      </c>
      <c r="AJ352">
        <f>IF($A352="","",$X352*IFERROR($K352/$O352,0))</f>
      </c>
      <c r="AK352">
        <f>IF($A352="","",$Y352*IFERROR($G352/$L352,0)+$Z352*IFERROR($J352/$P352,0))</f>
      </c>
      <c r="AL352">
        <f>IF($A352="","",$AA352*IFERROR($AC352/$AD352,0))</f>
      </c>
      <c r="AM352">
        <f>IF($A352="","",$AB352*IFERROR($AG352/$AH352,0)*IFERROR($AE352/$AF352,0)*IFERROR($AC352/$AD352,0))</f>
      </c>
      <c r="AN352">
        <f>IF($A352="","",$I352-($AI352+$AJ352+$AK352+$AL352+$AM352+$AR352))</f>
      </c>
      <c r="AO352">
        <f>IF($A352="","",Allocation!CJ352)</f>
      </c>
      <c r="AP352">
        <f>IF($A352="","",IF(Allocation!$N$2="VOL_EFF",$Q352,IF(Allocation!$N$2="VOL_CLASS",$R352,$S352)))</f>
      </c>
      <c r="AQ352">
        <f>IF($A352="","",IF(Allocation!$N$2="VOL_EFF",$T352,IF(Allocation!$N$2="VOL_CLASS",$U352,$V352)))</f>
      </c>
      <c r="AR352">
        <f>IF($A352="","",$AO352*IFERROR($AP352/$AQ352,0)*IFERROR($AE352/$AF352,0)*IFERROR($AC352/$AD352,0))</f>
      </c>
      <c r="AS352">
        <f>IF($A352="","",$A352&amp;"|"&amp;Allocation!BG352)</f>
      </c>
    </row>
    <row r="353" spans="1:45">
      <c r="A353">
        <f>IF(Allocation!BI353="","",Allocation!BI353)</f>
      </c>
      <c r="B353">
        <f>IF(Allocation!BJ353="","",Allocation!BJ353)</f>
      </c>
      <c r="C353">
        <f>IF(Allocation!BK353="","",Allocation!BK353)</f>
      </c>
      <c r="D353">
        <f>IF(Allocation!BL353="","",Allocation!BL353)</f>
      </c>
      <c r="E353">
        <f>IF(Allocation!BM353="","",Allocation!BM353)</f>
      </c>
      <c r="F353">
        <f>IF(Allocation!BN353="","",Allocation!BN353)</f>
      </c>
      <c r="G353">
        <f>IF(Allocation!BO353="","",Allocation!BO353)</f>
      </c>
      <c r="H353">
        <f>IF(Allocation!BP353="","",Allocation!BP353)</f>
      </c>
      <c r="I353">
        <f>IF(Allocation!BQ353="","",Allocation!BQ353)</f>
      </c>
      <c r="J353">
        <f>IF(Allocation!CC353="","",Allocation!CC353)</f>
      </c>
      <c r="K353">
        <f>IF($A353="","",$H353*IF(AND(LEFT($D353,3)="BAC",$F353="INIT"),600,IF(LEFT($D353,3)="BAC",480,IF(AND(LEFT($D353,3)="MAS",$F353="INIT"),520,IF(LEFT($D353,3)="MAS",420,IF($F353="INIT",1000,700))))))</f>
      </c>
      <c r="L353">
        <f>IF($A353="","",SUMIFS($G$1:$G$349,$AS$1:$AS$349,$AS353,$B$1:$B$349,$B353))</f>
      </c>
      <c r="M353">
        <f>IF($A353="","",SUMIFS($H$1:$H$349,$AS$1:$AS$349,$AS353,$B$1:$B$349,$B353))</f>
      </c>
      <c r="N353">
        <f>IF($A353="","",SUMIFS($I$1:$I$349,$AS$1:$AS$349,$AS353,$B$1:$B$349,$B353))</f>
      </c>
      <c r="O353">
        <f>IF($A353="","",SUMIFS($K$1:$K$349,$AS$1:$AS$349,$AS353,$B$1:$B$349,$B353))</f>
      </c>
      <c r="P353">
        <f>IF($A353="","",SUMIFS($J$1:$J$349,$AS$1:$AS$349,$AS353,$B$1:$B$349,$B353))</f>
      </c>
      <c r="Q353">
        <f>IF($A353="","",SUMIFS($G$1:$G$349,$AS$1:$AS$349,$AS353,$C$1:$C$349,$C353))</f>
      </c>
      <c r="R353">
        <f>IF($A353="","",SUMIFS($H$1:$H$349,$AS$1:$AS$349,$AS353,$C$1:$C$349,$C353))</f>
      </c>
      <c r="S353">
        <f>IF($A353="","",SUMIFS($I$1:$I$349,$AS$1:$AS$349,$AS353,$C$1:$C$349,$C353))</f>
      </c>
      <c r="T353">
        <f>IF($A353="","",SUMIFS($G$1:$G$349,$AS$1:$AS$349,$AS353))</f>
      </c>
      <c r="U353">
        <f>IF($A353="","",SUMIFS($H$1:$H$349,$AS$1:$AS$349,$AS353))</f>
      </c>
      <c r="V353">
        <f>IF($A353="","",SUMIFS($I$1:$I$349,$AS$1:$AS$349,$AS353))</f>
      </c>
      <c r="W353">
        <f>IF($A353="","",Allocation!CD353)</f>
      </c>
      <c r="X353">
        <f>IF($A353="","",Allocation!CE353)</f>
      </c>
      <c r="Y353">
        <f>IF($A353="","",Allocation!CF353)</f>
      </c>
      <c r="Z353">
        <f>IF($A353="","",Allocation!CG353)</f>
      </c>
      <c r="AA353">
        <f>IF($A353="","",Allocation!CH353)</f>
      </c>
      <c r="AB353">
        <f>IF($A353="","",Allocation!CI353)</f>
      </c>
      <c r="AC353">
        <f>IF($A353="","",IF(Allocation!$N$4="VOL_EFF",$G353,IF(Allocation!$N$4="VOL_CLASS",$H353,$I353)))</f>
      </c>
      <c r="AD353">
        <f>IF($A353="","",IF(Allocation!$N$4="VOL_EFF",$L353,IF(Allocation!$N$4="VOL_CLASS",$M353,$N353)))</f>
      </c>
      <c r="AE353">
        <f>IF($A353="","",IF(Allocation!$N$3="VOL_EFF",$L353,IF(Allocation!$N$3="VOL_CLASS",$M353,$N353)))</f>
      </c>
      <c r="AF353">
        <f>IF($A353="","",IF(Allocation!$N$3="VOL_EFF",$Q353,IF(Allocation!$N$3="VOL_CLASS",$R353,$S353)))</f>
      </c>
      <c r="AG353">
        <f>IF($A353="","",IF(Allocation!$N$1="VOL_EFF",$Q353,IF(Allocation!$N$1="VOL_CLASS",$R353,$S353)))</f>
      </c>
      <c r="AH353">
        <f>IF($A353="","",IF(Allocation!$N$1="VOL_EFF",$T353,IF(Allocation!$N$1="VOL_CLASS",$U353,$V353)))</f>
      </c>
      <c r="AI353">
        <f>IF($A353="","",$W353*IFERROR($K353/$O353,0))</f>
      </c>
      <c r="AJ353">
        <f>IF($A353="","",$X353*IFERROR($K353/$O353,0))</f>
      </c>
      <c r="AK353">
        <f>IF($A353="","",$Y353*IFERROR($G353/$L353,0)+$Z353*IFERROR($J353/$P353,0))</f>
      </c>
      <c r="AL353">
        <f>IF($A353="","",$AA353*IFERROR($AC353/$AD353,0))</f>
      </c>
      <c r="AM353">
        <f>IF($A353="","",$AB353*IFERROR($AG353/$AH353,0)*IFERROR($AE353/$AF353,0)*IFERROR($AC353/$AD353,0))</f>
      </c>
      <c r="AN353">
        <f>IF($A353="","",$I353-($AI353+$AJ353+$AK353+$AL353+$AM353+$AR353))</f>
      </c>
      <c r="AO353">
        <f>IF($A353="","",Allocation!CJ353)</f>
      </c>
      <c r="AP353">
        <f>IF($A353="","",IF(Allocation!$N$2="VOL_EFF",$Q353,IF(Allocation!$N$2="VOL_CLASS",$R353,$S353)))</f>
      </c>
      <c r="AQ353">
        <f>IF($A353="","",IF(Allocation!$N$2="VOL_EFF",$T353,IF(Allocation!$N$2="VOL_CLASS",$U353,$V353)))</f>
      </c>
      <c r="AR353">
        <f>IF($A353="","",$AO353*IFERROR($AP353/$AQ353,0)*IFERROR($AE353/$AF353,0)*IFERROR($AC353/$AD353,0))</f>
      </c>
      <c r="AS353">
        <f>IF($A353="","",$A353&amp;"|"&amp;Allocation!BG353)</f>
      </c>
    </row>
    <row r="354" spans="1:45">
      <c r="A354">
        <f>IF(Allocation!BI354="","",Allocation!BI354)</f>
      </c>
      <c r="B354">
        <f>IF(Allocation!BJ354="","",Allocation!BJ354)</f>
      </c>
      <c r="C354">
        <f>IF(Allocation!BK354="","",Allocation!BK354)</f>
      </c>
      <c r="D354">
        <f>IF(Allocation!BL354="","",Allocation!BL354)</f>
      </c>
      <c r="E354">
        <f>IF(Allocation!BM354="","",Allocation!BM354)</f>
      </c>
      <c r="F354">
        <f>IF(Allocation!BN354="","",Allocation!BN354)</f>
      </c>
      <c r="G354">
        <f>IF(Allocation!BO354="","",Allocation!BO354)</f>
      </c>
      <c r="H354">
        <f>IF(Allocation!BP354="","",Allocation!BP354)</f>
      </c>
      <c r="I354">
        <f>IF(Allocation!BQ354="","",Allocation!BQ354)</f>
      </c>
      <c r="J354">
        <f>IF(Allocation!CC354="","",Allocation!CC354)</f>
      </c>
      <c r="K354">
        <f>IF($A354="","",$H354*IF(AND(LEFT($D354,3)="BAC",$F354="INIT"),600,IF(LEFT($D354,3)="BAC",480,IF(AND(LEFT($D354,3)="MAS",$F354="INIT"),520,IF(LEFT($D354,3)="MAS",420,IF($F354="INIT",1000,700))))))</f>
      </c>
      <c r="L354">
        <f>IF($A354="","",SUMIFS($G$1:$G$349,$AS$1:$AS$349,$AS354,$B$1:$B$349,$B354))</f>
      </c>
      <c r="M354">
        <f>IF($A354="","",SUMIFS($H$1:$H$349,$AS$1:$AS$349,$AS354,$B$1:$B$349,$B354))</f>
      </c>
      <c r="N354">
        <f>IF($A354="","",SUMIFS($I$1:$I$349,$AS$1:$AS$349,$AS354,$B$1:$B$349,$B354))</f>
      </c>
      <c r="O354">
        <f>IF($A354="","",SUMIFS($K$1:$K$349,$AS$1:$AS$349,$AS354,$B$1:$B$349,$B354))</f>
      </c>
      <c r="P354">
        <f>IF($A354="","",SUMIFS($J$1:$J$349,$AS$1:$AS$349,$AS354,$B$1:$B$349,$B354))</f>
      </c>
      <c r="Q354">
        <f>IF($A354="","",SUMIFS($G$1:$G$349,$AS$1:$AS$349,$AS354,$C$1:$C$349,$C354))</f>
      </c>
      <c r="R354">
        <f>IF($A354="","",SUMIFS($H$1:$H$349,$AS$1:$AS$349,$AS354,$C$1:$C$349,$C354))</f>
      </c>
      <c r="S354">
        <f>IF($A354="","",SUMIFS($I$1:$I$349,$AS$1:$AS$349,$AS354,$C$1:$C$349,$C354))</f>
      </c>
      <c r="T354">
        <f>IF($A354="","",SUMIFS($G$1:$G$349,$AS$1:$AS$349,$AS354))</f>
      </c>
      <c r="U354">
        <f>IF($A354="","",SUMIFS($H$1:$H$349,$AS$1:$AS$349,$AS354))</f>
      </c>
      <c r="V354">
        <f>IF($A354="","",SUMIFS($I$1:$I$349,$AS$1:$AS$349,$AS354))</f>
      </c>
      <c r="W354">
        <f>IF($A354="","",Allocation!CD354)</f>
      </c>
      <c r="X354">
        <f>IF($A354="","",Allocation!CE354)</f>
      </c>
      <c r="Y354">
        <f>IF($A354="","",Allocation!CF354)</f>
      </c>
      <c r="Z354">
        <f>IF($A354="","",Allocation!CG354)</f>
      </c>
      <c r="AA354">
        <f>IF($A354="","",Allocation!CH354)</f>
      </c>
      <c r="AB354">
        <f>IF($A354="","",Allocation!CI354)</f>
      </c>
      <c r="AC354">
        <f>IF($A354="","",IF(Allocation!$N$4="VOL_EFF",$G354,IF(Allocation!$N$4="VOL_CLASS",$H354,$I354)))</f>
      </c>
      <c r="AD354">
        <f>IF($A354="","",IF(Allocation!$N$4="VOL_EFF",$L354,IF(Allocation!$N$4="VOL_CLASS",$M354,$N354)))</f>
      </c>
      <c r="AE354">
        <f>IF($A354="","",IF(Allocation!$N$3="VOL_EFF",$L354,IF(Allocation!$N$3="VOL_CLASS",$M354,$N354)))</f>
      </c>
      <c r="AF354">
        <f>IF($A354="","",IF(Allocation!$N$3="VOL_EFF",$Q354,IF(Allocation!$N$3="VOL_CLASS",$R354,$S354)))</f>
      </c>
      <c r="AG354">
        <f>IF($A354="","",IF(Allocation!$N$1="VOL_EFF",$Q354,IF(Allocation!$N$1="VOL_CLASS",$R354,$S354)))</f>
      </c>
      <c r="AH354">
        <f>IF($A354="","",IF(Allocation!$N$1="VOL_EFF",$T354,IF(Allocation!$N$1="VOL_CLASS",$U354,$V354)))</f>
      </c>
      <c r="AI354">
        <f>IF($A354="","",$W354*IFERROR($K354/$O354,0))</f>
      </c>
      <c r="AJ354">
        <f>IF($A354="","",$X354*IFERROR($K354/$O354,0))</f>
      </c>
      <c r="AK354">
        <f>IF($A354="","",$Y354*IFERROR($G354/$L354,0)+$Z354*IFERROR($J354/$P354,0))</f>
      </c>
      <c r="AL354">
        <f>IF($A354="","",$AA354*IFERROR($AC354/$AD354,0))</f>
      </c>
      <c r="AM354">
        <f>IF($A354="","",$AB354*IFERROR($AG354/$AH354,0)*IFERROR($AE354/$AF354,0)*IFERROR($AC354/$AD354,0))</f>
      </c>
      <c r="AN354">
        <f>IF($A354="","",$I354-($AI354+$AJ354+$AK354+$AL354+$AM354+$AR354))</f>
      </c>
      <c r="AO354">
        <f>IF($A354="","",Allocation!CJ354)</f>
      </c>
      <c r="AP354">
        <f>IF($A354="","",IF(Allocation!$N$2="VOL_EFF",$Q354,IF(Allocation!$N$2="VOL_CLASS",$R354,$S354)))</f>
      </c>
      <c r="AQ354">
        <f>IF($A354="","",IF(Allocation!$N$2="VOL_EFF",$T354,IF(Allocation!$N$2="VOL_CLASS",$U354,$V354)))</f>
      </c>
      <c r="AR354">
        <f>IF($A354="","",$AO354*IFERROR($AP354/$AQ354,0)*IFERROR($AE354/$AF354,0)*IFERROR($AC354/$AD354,0))</f>
      </c>
      <c r="AS354">
        <f>IF($A354="","",$A354&amp;"|"&amp;Allocation!BG354)</f>
      </c>
    </row>
    <row r="355" spans="1:45">
      <c r="A355">
        <f>IF(Allocation!BI355="","",Allocation!BI355)</f>
      </c>
      <c r="B355">
        <f>IF(Allocation!BJ355="","",Allocation!BJ355)</f>
      </c>
      <c r="C355">
        <f>IF(Allocation!BK355="","",Allocation!BK355)</f>
      </c>
      <c r="D355">
        <f>IF(Allocation!BL355="","",Allocation!BL355)</f>
      </c>
      <c r="E355">
        <f>IF(Allocation!BM355="","",Allocation!BM355)</f>
      </c>
      <c r="F355">
        <f>IF(Allocation!BN355="","",Allocation!BN355)</f>
      </c>
      <c r="G355">
        <f>IF(Allocation!BO355="","",Allocation!BO355)</f>
      </c>
      <c r="H355">
        <f>IF(Allocation!BP355="","",Allocation!BP355)</f>
      </c>
      <c r="I355">
        <f>IF(Allocation!BQ355="","",Allocation!BQ355)</f>
      </c>
      <c r="J355">
        <f>IF(Allocation!CC355="","",Allocation!CC355)</f>
      </c>
      <c r="K355">
        <f>IF($A355="","",$H355*IF(AND(LEFT($D355,3)="BAC",$F355="INIT"),600,IF(LEFT($D355,3)="BAC",480,IF(AND(LEFT($D355,3)="MAS",$F355="INIT"),520,IF(LEFT($D355,3)="MAS",420,IF($F355="INIT",1000,700))))))</f>
      </c>
      <c r="L355">
        <f>IF($A355="","",SUMIFS($G$1:$G$349,$AS$1:$AS$349,$AS355,$B$1:$B$349,$B355))</f>
      </c>
      <c r="M355">
        <f>IF($A355="","",SUMIFS($H$1:$H$349,$AS$1:$AS$349,$AS355,$B$1:$B$349,$B355))</f>
      </c>
      <c r="N355">
        <f>IF($A355="","",SUMIFS($I$1:$I$349,$AS$1:$AS$349,$AS355,$B$1:$B$349,$B355))</f>
      </c>
      <c r="O355">
        <f>IF($A355="","",SUMIFS($K$1:$K$349,$AS$1:$AS$349,$AS355,$B$1:$B$349,$B355))</f>
      </c>
      <c r="P355">
        <f>IF($A355="","",SUMIFS($J$1:$J$349,$AS$1:$AS$349,$AS355,$B$1:$B$349,$B355))</f>
      </c>
      <c r="Q355">
        <f>IF($A355="","",SUMIFS($G$1:$G$349,$AS$1:$AS$349,$AS355,$C$1:$C$349,$C355))</f>
      </c>
      <c r="R355">
        <f>IF($A355="","",SUMIFS($H$1:$H$349,$AS$1:$AS$349,$AS355,$C$1:$C$349,$C355))</f>
      </c>
      <c r="S355">
        <f>IF($A355="","",SUMIFS($I$1:$I$349,$AS$1:$AS$349,$AS355,$C$1:$C$349,$C355))</f>
      </c>
      <c r="T355">
        <f>IF($A355="","",SUMIFS($G$1:$G$349,$AS$1:$AS$349,$AS355))</f>
      </c>
      <c r="U355">
        <f>IF($A355="","",SUMIFS($H$1:$H$349,$AS$1:$AS$349,$AS355))</f>
      </c>
      <c r="V355">
        <f>IF($A355="","",SUMIFS($I$1:$I$349,$AS$1:$AS$349,$AS355))</f>
      </c>
      <c r="W355">
        <f>IF($A355="","",Allocation!CD355)</f>
      </c>
      <c r="X355">
        <f>IF($A355="","",Allocation!CE355)</f>
      </c>
      <c r="Y355">
        <f>IF($A355="","",Allocation!CF355)</f>
      </c>
      <c r="Z355">
        <f>IF($A355="","",Allocation!CG355)</f>
      </c>
      <c r="AA355">
        <f>IF($A355="","",Allocation!CH355)</f>
      </c>
      <c r="AB355">
        <f>IF($A355="","",Allocation!CI355)</f>
      </c>
      <c r="AC355">
        <f>IF($A355="","",IF(Allocation!$N$4="VOL_EFF",$G355,IF(Allocation!$N$4="VOL_CLASS",$H355,$I355)))</f>
      </c>
      <c r="AD355">
        <f>IF($A355="","",IF(Allocation!$N$4="VOL_EFF",$L355,IF(Allocation!$N$4="VOL_CLASS",$M355,$N355)))</f>
      </c>
      <c r="AE355">
        <f>IF($A355="","",IF(Allocation!$N$3="VOL_EFF",$L355,IF(Allocation!$N$3="VOL_CLASS",$M355,$N355)))</f>
      </c>
      <c r="AF355">
        <f>IF($A355="","",IF(Allocation!$N$3="VOL_EFF",$Q355,IF(Allocation!$N$3="VOL_CLASS",$R355,$S355)))</f>
      </c>
      <c r="AG355">
        <f>IF($A355="","",IF(Allocation!$N$1="VOL_EFF",$Q355,IF(Allocation!$N$1="VOL_CLASS",$R355,$S355)))</f>
      </c>
      <c r="AH355">
        <f>IF($A355="","",IF(Allocation!$N$1="VOL_EFF",$T355,IF(Allocation!$N$1="VOL_CLASS",$U355,$V355)))</f>
      </c>
      <c r="AI355">
        <f>IF($A355="","",$W355*IFERROR($K355/$O355,0))</f>
      </c>
      <c r="AJ355">
        <f>IF($A355="","",$X355*IFERROR($K355/$O355,0))</f>
      </c>
      <c r="AK355">
        <f>IF($A355="","",$Y355*IFERROR($G355/$L355,0)+$Z355*IFERROR($J355/$P355,0))</f>
      </c>
      <c r="AL355">
        <f>IF($A355="","",$AA355*IFERROR($AC355/$AD355,0))</f>
      </c>
      <c r="AM355">
        <f>IF($A355="","",$AB355*IFERROR($AG355/$AH355,0)*IFERROR($AE355/$AF355,0)*IFERROR($AC355/$AD355,0))</f>
      </c>
      <c r="AN355">
        <f>IF($A355="","",$I355-($AI355+$AJ355+$AK355+$AL355+$AM355+$AR355))</f>
      </c>
      <c r="AO355">
        <f>IF($A355="","",Allocation!CJ355)</f>
      </c>
      <c r="AP355">
        <f>IF($A355="","",IF(Allocation!$N$2="VOL_EFF",$Q355,IF(Allocation!$N$2="VOL_CLASS",$R355,$S355)))</f>
      </c>
      <c r="AQ355">
        <f>IF($A355="","",IF(Allocation!$N$2="VOL_EFF",$T355,IF(Allocation!$N$2="VOL_CLASS",$U355,$V355)))</f>
      </c>
      <c r="AR355">
        <f>IF($A355="","",$AO355*IFERROR($AP355/$AQ355,0)*IFERROR($AE355/$AF355,0)*IFERROR($AC355/$AD355,0))</f>
      </c>
      <c r="AS355">
        <f>IF($A355="","",$A355&amp;"|"&amp;Allocation!BG355)</f>
      </c>
    </row>
    <row r="356" spans="1:45">
      <c r="A356">
        <f>IF(Allocation!BI356="","",Allocation!BI356)</f>
      </c>
      <c r="B356">
        <f>IF(Allocation!BJ356="","",Allocation!BJ356)</f>
      </c>
      <c r="C356">
        <f>IF(Allocation!BK356="","",Allocation!BK356)</f>
      </c>
      <c r="D356">
        <f>IF(Allocation!BL356="","",Allocation!BL356)</f>
      </c>
      <c r="E356">
        <f>IF(Allocation!BM356="","",Allocation!BM356)</f>
      </c>
      <c r="F356">
        <f>IF(Allocation!BN356="","",Allocation!BN356)</f>
      </c>
      <c r="G356">
        <f>IF(Allocation!BO356="","",Allocation!BO356)</f>
      </c>
      <c r="H356">
        <f>IF(Allocation!BP356="","",Allocation!BP356)</f>
      </c>
      <c r="I356">
        <f>IF(Allocation!BQ356="","",Allocation!BQ356)</f>
      </c>
      <c r="J356">
        <f>IF(Allocation!CC356="","",Allocation!CC356)</f>
      </c>
      <c r="K356">
        <f>IF($A356="","",$H356*IF(AND(LEFT($D356,3)="BAC",$F356="INIT"),600,IF(LEFT($D356,3)="BAC",480,IF(AND(LEFT($D356,3)="MAS",$F356="INIT"),520,IF(LEFT($D356,3)="MAS",420,IF($F356="INIT",1000,700))))))</f>
      </c>
      <c r="L356">
        <f>IF($A356="","",SUMIFS($G$1:$G$349,$AS$1:$AS$349,$AS356,$B$1:$B$349,$B356))</f>
      </c>
      <c r="M356">
        <f>IF($A356="","",SUMIFS($H$1:$H$349,$AS$1:$AS$349,$AS356,$B$1:$B$349,$B356))</f>
      </c>
      <c r="N356">
        <f>IF($A356="","",SUMIFS($I$1:$I$349,$AS$1:$AS$349,$AS356,$B$1:$B$349,$B356))</f>
      </c>
      <c r="O356">
        <f>IF($A356="","",SUMIFS($K$1:$K$349,$AS$1:$AS$349,$AS356,$B$1:$B$349,$B356))</f>
      </c>
      <c r="P356">
        <f>IF($A356="","",SUMIFS($J$1:$J$349,$AS$1:$AS$349,$AS356,$B$1:$B$349,$B356))</f>
      </c>
      <c r="Q356">
        <f>IF($A356="","",SUMIFS($G$1:$G$349,$AS$1:$AS$349,$AS356,$C$1:$C$349,$C356))</f>
      </c>
      <c r="R356">
        <f>IF($A356="","",SUMIFS($H$1:$H$349,$AS$1:$AS$349,$AS356,$C$1:$C$349,$C356))</f>
      </c>
      <c r="S356">
        <f>IF($A356="","",SUMIFS($I$1:$I$349,$AS$1:$AS$349,$AS356,$C$1:$C$349,$C356))</f>
      </c>
      <c r="T356">
        <f>IF($A356="","",SUMIFS($G$1:$G$349,$AS$1:$AS$349,$AS356))</f>
      </c>
      <c r="U356">
        <f>IF($A356="","",SUMIFS($H$1:$H$349,$AS$1:$AS$349,$AS356))</f>
      </c>
      <c r="V356">
        <f>IF($A356="","",SUMIFS($I$1:$I$349,$AS$1:$AS$349,$AS356))</f>
      </c>
      <c r="W356">
        <f>IF($A356="","",Allocation!CD356)</f>
      </c>
      <c r="X356">
        <f>IF($A356="","",Allocation!CE356)</f>
      </c>
      <c r="Y356">
        <f>IF($A356="","",Allocation!CF356)</f>
      </c>
      <c r="Z356">
        <f>IF($A356="","",Allocation!CG356)</f>
      </c>
      <c r="AA356">
        <f>IF($A356="","",Allocation!CH356)</f>
      </c>
      <c r="AB356">
        <f>IF($A356="","",Allocation!CI356)</f>
      </c>
      <c r="AC356">
        <f>IF($A356="","",IF(Allocation!$N$4="VOL_EFF",$G356,IF(Allocation!$N$4="VOL_CLASS",$H356,$I356)))</f>
      </c>
      <c r="AD356">
        <f>IF($A356="","",IF(Allocation!$N$4="VOL_EFF",$L356,IF(Allocation!$N$4="VOL_CLASS",$M356,$N356)))</f>
      </c>
      <c r="AE356">
        <f>IF($A356="","",IF(Allocation!$N$3="VOL_EFF",$L356,IF(Allocation!$N$3="VOL_CLASS",$M356,$N356)))</f>
      </c>
      <c r="AF356">
        <f>IF($A356="","",IF(Allocation!$N$3="VOL_EFF",$Q356,IF(Allocation!$N$3="VOL_CLASS",$R356,$S356)))</f>
      </c>
      <c r="AG356">
        <f>IF($A356="","",IF(Allocation!$N$1="VOL_EFF",$Q356,IF(Allocation!$N$1="VOL_CLASS",$R356,$S356)))</f>
      </c>
      <c r="AH356">
        <f>IF($A356="","",IF(Allocation!$N$1="VOL_EFF",$T356,IF(Allocation!$N$1="VOL_CLASS",$U356,$V356)))</f>
      </c>
      <c r="AI356">
        <f>IF($A356="","",$W356*IFERROR($K356/$O356,0))</f>
      </c>
      <c r="AJ356">
        <f>IF($A356="","",$X356*IFERROR($K356/$O356,0))</f>
      </c>
      <c r="AK356">
        <f>IF($A356="","",$Y356*IFERROR($G356/$L356,0)+$Z356*IFERROR($J356/$P356,0))</f>
      </c>
      <c r="AL356">
        <f>IF($A356="","",$AA356*IFERROR($AC356/$AD356,0))</f>
      </c>
      <c r="AM356">
        <f>IF($A356="","",$AB356*IFERROR($AG356/$AH356,0)*IFERROR($AE356/$AF356,0)*IFERROR($AC356/$AD356,0))</f>
      </c>
      <c r="AN356">
        <f>IF($A356="","",$I356-($AI356+$AJ356+$AK356+$AL356+$AM356+$AR356))</f>
      </c>
      <c r="AO356">
        <f>IF($A356="","",Allocation!CJ356)</f>
      </c>
      <c r="AP356">
        <f>IF($A356="","",IF(Allocation!$N$2="VOL_EFF",$Q356,IF(Allocation!$N$2="VOL_CLASS",$R356,$S356)))</f>
      </c>
      <c r="AQ356">
        <f>IF($A356="","",IF(Allocation!$N$2="VOL_EFF",$T356,IF(Allocation!$N$2="VOL_CLASS",$U356,$V356)))</f>
      </c>
      <c r="AR356">
        <f>IF($A356="","",$AO356*IFERROR($AP356/$AQ356,0)*IFERROR($AE356/$AF356,0)*IFERROR($AC356/$AD356,0))</f>
      </c>
      <c r="AS356">
        <f>IF($A356="","",$A356&amp;"|"&amp;Allocation!BG356)</f>
      </c>
    </row>
    <row r="357" spans="1:45">
      <c r="A357">
        <f>IF(Allocation!BI357="","",Allocation!BI357)</f>
      </c>
      <c r="B357">
        <f>IF(Allocation!BJ357="","",Allocation!BJ357)</f>
      </c>
      <c r="C357">
        <f>IF(Allocation!BK357="","",Allocation!BK357)</f>
      </c>
      <c r="D357">
        <f>IF(Allocation!BL357="","",Allocation!BL357)</f>
      </c>
      <c r="E357">
        <f>IF(Allocation!BM357="","",Allocation!BM357)</f>
      </c>
      <c r="F357">
        <f>IF(Allocation!BN357="","",Allocation!BN357)</f>
      </c>
      <c r="G357">
        <f>IF(Allocation!BO357="","",Allocation!BO357)</f>
      </c>
      <c r="H357">
        <f>IF(Allocation!BP357="","",Allocation!BP357)</f>
      </c>
      <c r="I357">
        <f>IF(Allocation!BQ357="","",Allocation!BQ357)</f>
      </c>
      <c r="J357">
        <f>IF(Allocation!CC357="","",Allocation!CC357)</f>
      </c>
      <c r="K357">
        <f>IF($A357="","",$H357*IF(AND(LEFT($D357,3)="BAC",$F357="INIT"),600,IF(LEFT($D357,3)="BAC",480,IF(AND(LEFT($D357,3)="MAS",$F357="INIT"),520,IF(LEFT($D357,3)="MAS",420,IF($F357="INIT",1000,700))))))</f>
      </c>
      <c r="L357">
        <f>IF($A357="","",SUMIFS($G$1:$G$349,$AS$1:$AS$349,$AS357,$B$1:$B$349,$B357))</f>
      </c>
      <c r="M357">
        <f>IF($A357="","",SUMIFS($H$1:$H$349,$AS$1:$AS$349,$AS357,$B$1:$B$349,$B357))</f>
      </c>
      <c r="N357">
        <f>IF($A357="","",SUMIFS($I$1:$I$349,$AS$1:$AS$349,$AS357,$B$1:$B$349,$B357))</f>
      </c>
      <c r="O357">
        <f>IF($A357="","",SUMIFS($K$1:$K$349,$AS$1:$AS$349,$AS357,$B$1:$B$349,$B357))</f>
      </c>
      <c r="P357">
        <f>IF($A357="","",SUMIFS($J$1:$J$349,$AS$1:$AS$349,$AS357,$B$1:$B$349,$B357))</f>
      </c>
      <c r="Q357">
        <f>IF($A357="","",SUMIFS($G$1:$G$349,$AS$1:$AS$349,$AS357,$C$1:$C$349,$C357))</f>
      </c>
      <c r="R357">
        <f>IF($A357="","",SUMIFS($H$1:$H$349,$AS$1:$AS$349,$AS357,$C$1:$C$349,$C357))</f>
      </c>
      <c r="S357">
        <f>IF($A357="","",SUMIFS($I$1:$I$349,$AS$1:$AS$349,$AS357,$C$1:$C$349,$C357))</f>
      </c>
      <c r="T357">
        <f>IF($A357="","",SUMIFS($G$1:$G$349,$AS$1:$AS$349,$AS357))</f>
      </c>
      <c r="U357">
        <f>IF($A357="","",SUMIFS($H$1:$H$349,$AS$1:$AS$349,$AS357))</f>
      </c>
      <c r="V357">
        <f>IF($A357="","",SUMIFS($I$1:$I$349,$AS$1:$AS$349,$AS357))</f>
      </c>
      <c r="W357">
        <f>IF($A357="","",Allocation!CD357)</f>
      </c>
      <c r="X357">
        <f>IF($A357="","",Allocation!CE357)</f>
      </c>
      <c r="Y357">
        <f>IF($A357="","",Allocation!CF357)</f>
      </c>
      <c r="Z357">
        <f>IF($A357="","",Allocation!CG357)</f>
      </c>
      <c r="AA357">
        <f>IF($A357="","",Allocation!CH357)</f>
      </c>
      <c r="AB357">
        <f>IF($A357="","",Allocation!CI357)</f>
      </c>
      <c r="AC357">
        <f>IF($A357="","",IF(Allocation!$N$4="VOL_EFF",$G357,IF(Allocation!$N$4="VOL_CLASS",$H357,$I357)))</f>
      </c>
      <c r="AD357">
        <f>IF($A357="","",IF(Allocation!$N$4="VOL_EFF",$L357,IF(Allocation!$N$4="VOL_CLASS",$M357,$N357)))</f>
      </c>
      <c r="AE357">
        <f>IF($A357="","",IF(Allocation!$N$3="VOL_EFF",$L357,IF(Allocation!$N$3="VOL_CLASS",$M357,$N357)))</f>
      </c>
      <c r="AF357">
        <f>IF($A357="","",IF(Allocation!$N$3="VOL_EFF",$Q357,IF(Allocation!$N$3="VOL_CLASS",$R357,$S357)))</f>
      </c>
      <c r="AG357">
        <f>IF($A357="","",IF(Allocation!$N$1="VOL_EFF",$Q357,IF(Allocation!$N$1="VOL_CLASS",$R357,$S357)))</f>
      </c>
      <c r="AH357">
        <f>IF($A357="","",IF(Allocation!$N$1="VOL_EFF",$T357,IF(Allocation!$N$1="VOL_CLASS",$U357,$V357)))</f>
      </c>
      <c r="AI357">
        <f>IF($A357="","",$W357*IFERROR($K357/$O357,0))</f>
      </c>
      <c r="AJ357">
        <f>IF($A357="","",$X357*IFERROR($K357/$O357,0))</f>
      </c>
      <c r="AK357">
        <f>IF($A357="","",$Y357*IFERROR($G357/$L357,0)+$Z357*IFERROR($J357/$P357,0))</f>
      </c>
      <c r="AL357">
        <f>IF($A357="","",$AA357*IFERROR($AC357/$AD357,0))</f>
      </c>
      <c r="AM357">
        <f>IF($A357="","",$AB357*IFERROR($AG357/$AH357,0)*IFERROR($AE357/$AF357,0)*IFERROR($AC357/$AD357,0))</f>
      </c>
      <c r="AN357">
        <f>IF($A357="","",$I357-($AI357+$AJ357+$AK357+$AL357+$AM357+$AR357))</f>
      </c>
      <c r="AO357">
        <f>IF($A357="","",Allocation!CJ357)</f>
      </c>
      <c r="AP357">
        <f>IF($A357="","",IF(Allocation!$N$2="VOL_EFF",$Q357,IF(Allocation!$N$2="VOL_CLASS",$R357,$S357)))</f>
      </c>
      <c r="AQ357">
        <f>IF($A357="","",IF(Allocation!$N$2="VOL_EFF",$T357,IF(Allocation!$N$2="VOL_CLASS",$U357,$V357)))</f>
      </c>
      <c r="AR357">
        <f>IF($A357="","",$AO357*IFERROR($AP357/$AQ357,0)*IFERROR($AE357/$AF357,0)*IFERROR($AC357/$AD357,0))</f>
      </c>
      <c r="AS357">
        <f>IF($A357="","",$A357&amp;"|"&amp;Allocation!BG357)</f>
      </c>
    </row>
    <row r="358" spans="1:45">
      <c r="A358">
        <f>IF(Allocation!BI358="","",Allocation!BI358)</f>
      </c>
      <c r="B358">
        <f>IF(Allocation!BJ358="","",Allocation!BJ358)</f>
      </c>
      <c r="C358">
        <f>IF(Allocation!BK358="","",Allocation!BK358)</f>
      </c>
      <c r="D358">
        <f>IF(Allocation!BL358="","",Allocation!BL358)</f>
      </c>
      <c r="E358">
        <f>IF(Allocation!BM358="","",Allocation!BM358)</f>
      </c>
      <c r="F358">
        <f>IF(Allocation!BN358="","",Allocation!BN358)</f>
      </c>
      <c r="G358">
        <f>IF(Allocation!BO358="","",Allocation!BO358)</f>
      </c>
      <c r="H358">
        <f>IF(Allocation!BP358="","",Allocation!BP358)</f>
      </c>
      <c r="I358">
        <f>IF(Allocation!BQ358="","",Allocation!BQ358)</f>
      </c>
      <c r="J358">
        <f>IF(Allocation!CC358="","",Allocation!CC358)</f>
      </c>
      <c r="K358">
        <f>IF($A358="","",$H358*IF(AND(LEFT($D358,3)="BAC",$F358="INIT"),600,IF(LEFT($D358,3)="BAC",480,IF(AND(LEFT($D358,3)="MAS",$F358="INIT"),520,IF(LEFT($D358,3)="MAS",420,IF($F358="INIT",1000,700))))))</f>
      </c>
      <c r="L358">
        <f>IF($A358="","",SUMIFS($G$1:$G$349,$AS$1:$AS$349,$AS358,$B$1:$B$349,$B358))</f>
      </c>
      <c r="M358">
        <f>IF($A358="","",SUMIFS($H$1:$H$349,$AS$1:$AS$349,$AS358,$B$1:$B$349,$B358))</f>
      </c>
      <c r="N358">
        <f>IF($A358="","",SUMIFS($I$1:$I$349,$AS$1:$AS$349,$AS358,$B$1:$B$349,$B358))</f>
      </c>
      <c r="O358">
        <f>IF($A358="","",SUMIFS($K$1:$K$349,$AS$1:$AS$349,$AS358,$B$1:$B$349,$B358))</f>
      </c>
      <c r="P358">
        <f>IF($A358="","",SUMIFS($J$1:$J$349,$AS$1:$AS$349,$AS358,$B$1:$B$349,$B358))</f>
      </c>
      <c r="Q358">
        <f>IF($A358="","",SUMIFS($G$1:$G$349,$AS$1:$AS$349,$AS358,$C$1:$C$349,$C358))</f>
      </c>
      <c r="R358">
        <f>IF($A358="","",SUMIFS($H$1:$H$349,$AS$1:$AS$349,$AS358,$C$1:$C$349,$C358))</f>
      </c>
      <c r="S358">
        <f>IF($A358="","",SUMIFS($I$1:$I$349,$AS$1:$AS$349,$AS358,$C$1:$C$349,$C358))</f>
      </c>
      <c r="T358">
        <f>IF($A358="","",SUMIFS($G$1:$G$349,$AS$1:$AS$349,$AS358))</f>
      </c>
      <c r="U358">
        <f>IF($A358="","",SUMIFS($H$1:$H$349,$AS$1:$AS$349,$AS358))</f>
      </c>
      <c r="V358">
        <f>IF($A358="","",SUMIFS($I$1:$I$349,$AS$1:$AS$349,$AS358))</f>
      </c>
      <c r="W358">
        <f>IF($A358="","",Allocation!CD358)</f>
      </c>
      <c r="X358">
        <f>IF($A358="","",Allocation!CE358)</f>
      </c>
      <c r="Y358">
        <f>IF($A358="","",Allocation!CF358)</f>
      </c>
      <c r="Z358">
        <f>IF($A358="","",Allocation!CG358)</f>
      </c>
      <c r="AA358">
        <f>IF($A358="","",Allocation!CH358)</f>
      </c>
      <c r="AB358">
        <f>IF($A358="","",Allocation!CI358)</f>
      </c>
      <c r="AC358">
        <f>IF($A358="","",IF(Allocation!$N$4="VOL_EFF",$G358,IF(Allocation!$N$4="VOL_CLASS",$H358,$I358)))</f>
      </c>
      <c r="AD358">
        <f>IF($A358="","",IF(Allocation!$N$4="VOL_EFF",$L358,IF(Allocation!$N$4="VOL_CLASS",$M358,$N358)))</f>
      </c>
      <c r="AE358">
        <f>IF($A358="","",IF(Allocation!$N$3="VOL_EFF",$L358,IF(Allocation!$N$3="VOL_CLASS",$M358,$N358)))</f>
      </c>
      <c r="AF358">
        <f>IF($A358="","",IF(Allocation!$N$3="VOL_EFF",$Q358,IF(Allocation!$N$3="VOL_CLASS",$R358,$S358)))</f>
      </c>
      <c r="AG358">
        <f>IF($A358="","",IF(Allocation!$N$1="VOL_EFF",$Q358,IF(Allocation!$N$1="VOL_CLASS",$R358,$S358)))</f>
      </c>
      <c r="AH358">
        <f>IF($A358="","",IF(Allocation!$N$1="VOL_EFF",$T358,IF(Allocation!$N$1="VOL_CLASS",$U358,$V358)))</f>
      </c>
      <c r="AI358">
        <f>IF($A358="","",$W358*IFERROR($K358/$O358,0))</f>
      </c>
      <c r="AJ358">
        <f>IF($A358="","",$X358*IFERROR($K358/$O358,0))</f>
      </c>
      <c r="AK358">
        <f>IF($A358="","",$Y358*IFERROR($G358/$L358,0)+$Z358*IFERROR($J358/$P358,0))</f>
      </c>
      <c r="AL358">
        <f>IF($A358="","",$AA358*IFERROR($AC358/$AD358,0))</f>
      </c>
      <c r="AM358">
        <f>IF($A358="","",$AB358*IFERROR($AG358/$AH358,0)*IFERROR($AE358/$AF358,0)*IFERROR($AC358/$AD358,0))</f>
      </c>
      <c r="AN358">
        <f>IF($A358="","",$I358-($AI358+$AJ358+$AK358+$AL358+$AM358+$AR358))</f>
      </c>
      <c r="AO358">
        <f>IF($A358="","",Allocation!CJ358)</f>
      </c>
      <c r="AP358">
        <f>IF($A358="","",IF(Allocation!$N$2="VOL_EFF",$Q358,IF(Allocation!$N$2="VOL_CLASS",$R358,$S358)))</f>
      </c>
      <c r="AQ358">
        <f>IF($A358="","",IF(Allocation!$N$2="VOL_EFF",$T358,IF(Allocation!$N$2="VOL_CLASS",$U358,$V358)))</f>
      </c>
      <c r="AR358">
        <f>IF($A358="","",$AO358*IFERROR($AP358/$AQ358,0)*IFERROR($AE358/$AF358,0)*IFERROR($AC358/$AD358,0))</f>
      </c>
      <c r="AS358">
        <f>IF($A358="","",$A358&amp;"|"&amp;Allocation!BG358)</f>
      </c>
    </row>
    <row r="359" spans="1:45">
      <c r="A359">
        <f>IF(Allocation!BI359="","",Allocation!BI359)</f>
      </c>
      <c r="B359">
        <f>IF(Allocation!BJ359="","",Allocation!BJ359)</f>
      </c>
      <c r="C359">
        <f>IF(Allocation!BK359="","",Allocation!BK359)</f>
      </c>
      <c r="D359">
        <f>IF(Allocation!BL359="","",Allocation!BL359)</f>
      </c>
      <c r="E359">
        <f>IF(Allocation!BM359="","",Allocation!BM359)</f>
      </c>
      <c r="F359">
        <f>IF(Allocation!BN359="","",Allocation!BN359)</f>
      </c>
      <c r="G359">
        <f>IF(Allocation!BO359="","",Allocation!BO359)</f>
      </c>
      <c r="H359">
        <f>IF(Allocation!BP359="","",Allocation!BP359)</f>
      </c>
      <c r="I359">
        <f>IF(Allocation!BQ359="","",Allocation!BQ359)</f>
      </c>
      <c r="J359">
        <f>IF(Allocation!CC359="","",Allocation!CC359)</f>
      </c>
      <c r="K359">
        <f>IF($A359="","",$H359*IF(AND(LEFT($D359,3)="BAC",$F359="INIT"),600,IF(LEFT($D359,3)="BAC",480,IF(AND(LEFT($D359,3)="MAS",$F359="INIT"),520,IF(LEFT($D359,3)="MAS",420,IF($F359="INIT",1000,700))))))</f>
      </c>
      <c r="L359">
        <f>IF($A359="","",SUMIFS($G$1:$G$349,$AS$1:$AS$349,$AS359,$B$1:$B$349,$B359))</f>
      </c>
      <c r="M359">
        <f>IF($A359="","",SUMIFS($H$1:$H$349,$AS$1:$AS$349,$AS359,$B$1:$B$349,$B359))</f>
      </c>
      <c r="N359">
        <f>IF($A359="","",SUMIFS($I$1:$I$349,$AS$1:$AS$349,$AS359,$B$1:$B$349,$B359))</f>
      </c>
      <c r="O359">
        <f>IF($A359="","",SUMIFS($K$1:$K$349,$AS$1:$AS$349,$AS359,$B$1:$B$349,$B359))</f>
      </c>
      <c r="P359">
        <f>IF($A359="","",SUMIFS($J$1:$J$349,$AS$1:$AS$349,$AS359,$B$1:$B$349,$B359))</f>
      </c>
      <c r="Q359">
        <f>IF($A359="","",SUMIFS($G$1:$G$349,$AS$1:$AS$349,$AS359,$C$1:$C$349,$C359))</f>
      </c>
      <c r="R359">
        <f>IF($A359="","",SUMIFS($H$1:$H$349,$AS$1:$AS$349,$AS359,$C$1:$C$349,$C359))</f>
      </c>
      <c r="S359">
        <f>IF($A359="","",SUMIFS($I$1:$I$349,$AS$1:$AS$349,$AS359,$C$1:$C$349,$C359))</f>
      </c>
      <c r="T359">
        <f>IF($A359="","",SUMIFS($G$1:$G$349,$AS$1:$AS$349,$AS359))</f>
      </c>
      <c r="U359">
        <f>IF($A359="","",SUMIFS($H$1:$H$349,$AS$1:$AS$349,$AS359))</f>
      </c>
      <c r="V359">
        <f>IF($A359="","",SUMIFS($I$1:$I$349,$AS$1:$AS$349,$AS359))</f>
      </c>
      <c r="W359">
        <f>IF($A359="","",Allocation!CD359)</f>
      </c>
      <c r="X359">
        <f>IF($A359="","",Allocation!CE359)</f>
      </c>
      <c r="Y359">
        <f>IF($A359="","",Allocation!CF359)</f>
      </c>
      <c r="Z359">
        <f>IF($A359="","",Allocation!CG359)</f>
      </c>
      <c r="AA359">
        <f>IF($A359="","",Allocation!CH359)</f>
      </c>
      <c r="AB359">
        <f>IF($A359="","",Allocation!CI359)</f>
      </c>
      <c r="AC359">
        <f>IF($A359="","",IF(Allocation!$N$4="VOL_EFF",$G359,IF(Allocation!$N$4="VOL_CLASS",$H359,$I359)))</f>
      </c>
      <c r="AD359">
        <f>IF($A359="","",IF(Allocation!$N$4="VOL_EFF",$L359,IF(Allocation!$N$4="VOL_CLASS",$M359,$N359)))</f>
      </c>
      <c r="AE359">
        <f>IF($A359="","",IF(Allocation!$N$3="VOL_EFF",$L359,IF(Allocation!$N$3="VOL_CLASS",$M359,$N359)))</f>
      </c>
      <c r="AF359">
        <f>IF($A359="","",IF(Allocation!$N$3="VOL_EFF",$Q359,IF(Allocation!$N$3="VOL_CLASS",$R359,$S359)))</f>
      </c>
      <c r="AG359">
        <f>IF($A359="","",IF(Allocation!$N$1="VOL_EFF",$Q359,IF(Allocation!$N$1="VOL_CLASS",$R359,$S359)))</f>
      </c>
      <c r="AH359">
        <f>IF($A359="","",IF(Allocation!$N$1="VOL_EFF",$T359,IF(Allocation!$N$1="VOL_CLASS",$U359,$V359)))</f>
      </c>
      <c r="AI359">
        <f>IF($A359="","",$W359*IFERROR($K359/$O359,0))</f>
      </c>
      <c r="AJ359">
        <f>IF($A359="","",$X359*IFERROR($K359/$O359,0))</f>
      </c>
      <c r="AK359">
        <f>IF($A359="","",$Y359*IFERROR($G359/$L359,0)+$Z359*IFERROR($J359/$P359,0))</f>
      </c>
      <c r="AL359">
        <f>IF($A359="","",$AA359*IFERROR($AC359/$AD359,0))</f>
      </c>
      <c r="AM359">
        <f>IF($A359="","",$AB359*IFERROR($AG359/$AH359,0)*IFERROR($AE359/$AF359,0)*IFERROR($AC359/$AD359,0))</f>
      </c>
      <c r="AN359">
        <f>IF($A359="","",$I359-($AI359+$AJ359+$AK359+$AL359+$AM359+$AR359))</f>
      </c>
      <c r="AO359">
        <f>IF($A359="","",Allocation!CJ359)</f>
      </c>
      <c r="AP359">
        <f>IF($A359="","",IF(Allocation!$N$2="VOL_EFF",$Q359,IF(Allocation!$N$2="VOL_CLASS",$R359,$S359)))</f>
      </c>
      <c r="AQ359">
        <f>IF($A359="","",IF(Allocation!$N$2="VOL_EFF",$T359,IF(Allocation!$N$2="VOL_CLASS",$U359,$V359)))</f>
      </c>
      <c r="AR359">
        <f>IF($A359="","",$AO359*IFERROR($AP359/$AQ359,0)*IFERROR($AE359/$AF359,0)*IFERROR($AC359/$AD359,0))</f>
      </c>
      <c r="AS359">
        <f>IF($A359="","",$A359&amp;"|"&amp;Allocation!BG359)</f>
      </c>
    </row>
    <row r="360" spans="1:45">
      <c r="A360">
        <f>IF(Allocation!BI360="","",Allocation!BI360)</f>
      </c>
      <c r="B360">
        <f>IF(Allocation!BJ360="","",Allocation!BJ360)</f>
      </c>
      <c r="C360">
        <f>IF(Allocation!BK360="","",Allocation!BK360)</f>
      </c>
      <c r="D360">
        <f>IF(Allocation!BL360="","",Allocation!BL360)</f>
      </c>
      <c r="E360">
        <f>IF(Allocation!BM360="","",Allocation!BM360)</f>
      </c>
      <c r="F360">
        <f>IF(Allocation!BN360="","",Allocation!BN360)</f>
      </c>
      <c r="G360">
        <f>IF(Allocation!BO360="","",Allocation!BO360)</f>
      </c>
      <c r="H360">
        <f>IF(Allocation!BP360="","",Allocation!BP360)</f>
      </c>
      <c r="I360">
        <f>IF(Allocation!BQ360="","",Allocation!BQ360)</f>
      </c>
      <c r="J360">
        <f>IF(Allocation!CC360="","",Allocation!CC360)</f>
      </c>
      <c r="K360">
        <f>IF($A360="","",$H360*IF(AND(LEFT($D360,3)="BAC",$F360="INIT"),600,IF(LEFT($D360,3)="BAC",480,IF(AND(LEFT($D360,3)="MAS",$F360="INIT"),520,IF(LEFT($D360,3)="MAS",420,IF($F360="INIT",1000,700))))))</f>
      </c>
      <c r="L360">
        <f>IF($A360="","",SUMIFS($G$1:$G$349,$AS$1:$AS$349,$AS360,$B$1:$B$349,$B360))</f>
      </c>
      <c r="M360">
        <f>IF($A360="","",SUMIFS($H$1:$H$349,$AS$1:$AS$349,$AS360,$B$1:$B$349,$B360))</f>
      </c>
      <c r="N360">
        <f>IF($A360="","",SUMIFS($I$1:$I$349,$AS$1:$AS$349,$AS360,$B$1:$B$349,$B360))</f>
      </c>
      <c r="O360">
        <f>IF($A360="","",SUMIFS($K$1:$K$349,$AS$1:$AS$349,$AS360,$B$1:$B$349,$B360))</f>
      </c>
      <c r="P360">
        <f>IF($A360="","",SUMIFS($J$1:$J$349,$AS$1:$AS$349,$AS360,$B$1:$B$349,$B360))</f>
      </c>
      <c r="Q360">
        <f>IF($A360="","",SUMIFS($G$1:$G$349,$AS$1:$AS$349,$AS360,$C$1:$C$349,$C360))</f>
      </c>
      <c r="R360">
        <f>IF($A360="","",SUMIFS($H$1:$H$349,$AS$1:$AS$349,$AS360,$C$1:$C$349,$C360))</f>
      </c>
      <c r="S360">
        <f>IF($A360="","",SUMIFS($I$1:$I$349,$AS$1:$AS$349,$AS360,$C$1:$C$349,$C360))</f>
      </c>
      <c r="T360">
        <f>IF($A360="","",SUMIFS($G$1:$G$349,$AS$1:$AS$349,$AS360))</f>
      </c>
      <c r="U360">
        <f>IF($A360="","",SUMIFS($H$1:$H$349,$AS$1:$AS$349,$AS360))</f>
      </c>
      <c r="V360">
        <f>IF($A360="","",SUMIFS($I$1:$I$349,$AS$1:$AS$349,$AS360))</f>
      </c>
      <c r="W360">
        <f>IF($A360="","",Allocation!CD360)</f>
      </c>
      <c r="X360">
        <f>IF($A360="","",Allocation!CE360)</f>
      </c>
      <c r="Y360">
        <f>IF($A360="","",Allocation!CF360)</f>
      </c>
      <c r="Z360">
        <f>IF($A360="","",Allocation!CG360)</f>
      </c>
      <c r="AA360">
        <f>IF($A360="","",Allocation!CH360)</f>
      </c>
      <c r="AB360">
        <f>IF($A360="","",Allocation!CI360)</f>
      </c>
      <c r="AC360">
        <f>IF($A360="","",IF(Allocation!$N$4="VOL_EFF",$G360,IF(Allocation!$N$4="VOL_CLASS",$H360,$I360)))</f>
      </c>
      <c r="AD360">
        <f>IF($A360="","",IF(Allocation!$N$4="VOL_EFF",$L360,IF(Allocation!$N$4="VOL_CLASS",$M360,$N360)))</f>
      </c>
      <c r="AE360">
        <f>IF($A360="","",IF(Allocation!$N$3="VOL_EFF",$L360,IF(Allocation!$N$3="VOL_CLASS",$M360,$N360)))</f>
      </c>
      <c r="AF360">
        <f>IF($A360="","",IF(Allocation!$N$3="VOL_EFF",$Q360,IF(Allocation!$N$3="VOL_CLASS",$R360,$S360)))</f>
      </c>
      <c r="AG360">
        <f>IF($A360="","",IF(Allocation!$N$1="VOL_EFF",$Q360,IF(Allocation!$N$1="VOL_CLASS",$R360,$S360)))</f>
      </c>
      <c r="AH360">
        <f>IF($A360="","",IF(Allocation!$N$1="VOL_EFF",$T360,IF(Allocation!$N$1="VOL_CLASS",$U360,$V360)))</f>
      </c>
      <c r="AI360">
        <f>IF($A360="","",$W360*IFERROR($K360/$O360,0))</f>
      </c>
      <c r="AJ360">
        <f>IF($A360="","",$X360*IFERROR($K360/$O360,0))</f>
      </c>
      <c r="AK360">
        <f>IF($A360="","",$Y360*IFERROR($G360/$L360,0)+$Z360*IFERROR($J360/$P360,0))</f>
      </c>
      <c r="AL360">
        <f>IF($A360="","",$AA360*IFERROR($AC360/$AD360,0))</f>
      </c>
      <c r="AM360">
        <f>IF($A360="","",$AB360*IFERROR($AG360/$AH360,0)*IFERROR($AE360/$AF360,0)*IFERROR($AC360/$AD360,0))</f>
      </c>
      <c r="AN360">
        <f>IF($A360="","",$I360-($AI360+$AJ360+$AK360+$AL360+$AM360+$AR360))</f>
      </c>
      <c r="AO360">
        <f>IF($A360="","",Allocation!CJ360)</f>
      </c>
      <c r="AP360">
        <f>IF($A360="","",IF(Allocation!$N$2="VOL_EFF",$Q360,IF(Allocation!$N$2="VOL_CLASS",$R360,$S360)))</f>
      </c>
      <c r="AQ360">
        <f>IF($A360="","",IF(Allocation!$N$2="VOL_EFF",$T360,IF(Allocation!$N$2="VOL_CLASS",$U360,$V360)))</f>
      </c>
      <c r="AR360">
        <f>IF($A360="","",$AO360*IFERROR($AP360/$AQ360,0)*IFERROR($AE360/$AF360,0)*IFERROR($AC360/$AD360,0))</f>
      </c>
      <c r="AS360">
        <f>IF($A360="","",$A360&amp;"|"&amp;Allocation!BG360)</f>
      </c>
    </row>
    <row r="361" spans="1:45">
      <c r="A361">
        <f>IF(Allocation!BI361="","",Allocation!BI361)</f>
      </c>
      <c r="B361">
        <f>IF(Allocation!BJ361="","",Allocation!BJ361)</f>
      </c>
      <c r="C361">
        <f>IF(Allocation!BK361="","",Allocation!BK361)</f>
      </c>
      <c r="D361">
        <f>IF(Allocation!BL361="","",Allocation!BL361)</f>
      </c>
      <c r="E361">
        <f>IF(Allocation!BM361="","",Allocation!BM361)</f>
      </c>
      <c r="F361">
        <f>IF(Allocation!BN361="","",Allocation!BN361)</f>
      </c>
      <c r="G361">
        <f>IF(Allocation!BO361="","",Allocation!BO361)</f>
      </c>
      <c r="H361">
        <f>IF(Allocation!BP361="","",Allocation!BP361)</f>
      </c>
      <c r="I361">
        <f>IF(Allocation!BQ361="","",Allocation!BQ361)</f>
      </c>
      <c r="J361">
        <f>IF(Allocation!CC361="","",Allocation!CC361)</f>
      </c>
      <c r="K361">
        <f>IF($A361="","",$H361*IF(AND(LEFT($D361,3)="BAC",$F361="INIT"),600,IF(LEFT($D361,3)="BAC",480,IF(AND(LEFT($D361,3)="MAS",$F361="INIT"),520,IF(LEFT($D361,3)="MAS",420,IF($F361="INIT",1000,700))))))</f>
      </c>
      <c r="L361">
        <f>IF($A361="","",SUMIFS($G$1:$G$349,$AS$1:$AS$349,$AS361,$B$1:$B$349,$B361))</f>
      </c>
      <c r="M361">
        <f>IF($A361="","",SUMIFS($H$1:$H$349,$AS$1:$AS$349,$AS361,$B$1:$B$349,$B361))</f>
      </c>
      <c r="N361">
        <f>IF($A361="","",SUMIFS($I$1:$I$349,$AS$1:$AS$349,$AS361,$B$1:$B$349,$B361))</f>
      </c>
      <c r="O361">
        <f>IF($A361="","",SUMIFS($K$1:$K$349,$AS$1:$AS$349,$AS361,$B$1:$B$349,$B361))</f>
      </c>
      <c r="P361">
        <f>IF($A361="","",SUMIFS($J$1:$J$349,$AS$1:$AS$349,$AS361,$B$1:$B$349,$B361))</f>
      </c>
      <c r="Q361">
        <f>IF($A361="","",SUMIFS($G$1:$G$349,$AS$1:$AS$349,$AS361,$C$1:$C$349,$C361))</f>
      </c>
      <c r="R361">
        <f>IF($A361="","",SUMIFS($H$1:$H$349,$AS$1:$AS$349,$AS361,$C$1:$C$349,$C361))</f>
      </c>
      <c r="S361">
        <f>IF($A361="","",SUMIFS($I$1:$I$349,$AS$1:$AS$349,$AS361,$C$1:$C$349,$C361))</f>
      </c>
      <c r="T361">
        <f>IF($A361="","",SUMIFS($G$1:$G$349,$AS$1:$AS$349,$AS361))</f>
      </c>
      <c r="U361">
        <f>IF($A361="","",SUMIFS($H$1:$H$349,$AS$1:$AS$349,$AS361))</f>
      </c>
      <c r="V361">
        <f>IF($A361="","",SUMIFS($I$1:$I$349,$AS$1:$AS$349,$AS361))</f>
      </c>
      <c r="W361">
        <f>IF($A361="","",Allocation!CD361)</f>
      </c>
      <c r="X361">
        <f>IF($A361="","",Allocation!CE361)</f>
      </c>
      <c r="Y361">
        <f>IF($A361="","",Allocation!CF361)</f>
      </c>
      <c r="Z361">
        <f>IF($A361="","",Allocation!CG361)</f>
      </c>
      <c r="AA361">
        <f>IF($A361="","",Allocation!CH361)</f>
      </c>
      <c r="AB361">
        <f>IF($A361="","",Allocation!CI361)</f>
      </c>
      <c r="AC361">
        <f>IF($A361="","",IF(Allocation!$N$4="VOL_EFF",$G361,IF(Allocation!$N$4="VOL_CLASS",$H361,$I361)))</f>
      </c>
      <c r="AD361">
        <f>IF($A361="","",IF(Allocation!$N$4="VOL_EFF",$L361,IF(Allocation!$N$4="VOL_CLASS",$M361,$N361)))</f>
      </c>
      <c r="AE361">
        <f>IF($A361="","",IF(Allocation!$N$3="VOL_EFF",$L361,IF(Allocation!$N$3="VOL_CLASS",$M361,$N361)))</f>
      </c>
      <c r="AF361">
        <f>IF($A361="","",IF(Allocation!$N$3="VOL_EFF",$Q361,IF(Allocation!$N$3="VOL_CLASS",$R361,$S361)))</f>
      </c>
      <c r="AG361">
        <f>IF($A361="","",IF(Allocation!$N$1="VOL_EFF",$Q361,IF(Allocation!$N$1="VOL_CLASS",$R361,$S361)))</f>
      </c>
      <c r="AH361">
        <f>IF($A361="","",IF(Allocation!$N$1="VOL_EFF",$T361,IF(Allocation!$N$1="VOL_CLASS",$U361,$V361)))</f>
      </c>
      <c r="AI361">
        <f>IF($A361="","",$W361*IFERROR($K361/$O361,0))</f>
      </c>
      <c r="AJ361">
        <f>IF($A361="","",$X361*IFERROR($K361/$O361,0))</f>
      </c>
      <c r="AK361">
        <f>IF($A361="","",$Y361*IFERROR($G361/$L361,0)+$Z361*IFERROR($J361/$P361,0))</f>
      </c>
      <c r="AL361">
        <f>IF($A361="","",$AA361*IFERROR($AC361/$AD361,0))</f>
      </c>
      <c r="AM361">
        <f>IF($A361="","",$AB361*IFERROR($AG361/$AH361,0)*IFERROR($AE361/$AF361,0)*IFERROR($AC361/$AD361,0))</f>
      </c>
      <c r="AN361">
        <f>IF($A361="","",$I361-($AI361+$AJ361+$AK361+$AL361+$AM361+$AR361))</f>
      </c>
      <c r="AO361">
        <f>IF($A361="","",Allocation!CJ361)</f>
      </c>
      <c r="AP361">
        <f>IF($A361="","",IF(Allocation!$N$2="VOL_EFF",$Q361,IF(Allocation!$N$2="VOL_CLASS",$R361,$S361)))</f>
      </c>
      <c r="AQ361">
        <f>IF($A361="","",IF(Allocation!$N$2="VOL_EFF",$T361,IF(Allocation!$N$2="VOL_CLASS",$U361,$V361)))</f>
      </c>
      <c r="AR361">
        <f>IF($A361="","",$AO361*IFERROR($AP361/$AQ361,0)*IFERROR($AE361/$AF361,0)*IFERROR($AC361/$AD361,0))</f>
      </c>
      <c r="AS361">
        <f>IF($A361="","",$A361&amp;"|"&amp;Allocation!BG361)</f>
      </c>
    </row>
    <row r="362" spans="1:45">
      <c r="A362">
        <f>IF(Allocation!BI362="","",Allocation!BI362)</f>
      </c>
      <c r="B362">
        <f>IF(Allocation!BJ362="","",Allocation!BJ362)</f>
      </c>
      <c r="C362">
        <f>IF(Allocation!BK362="","",Allocation!BK362)</f>
      </c>
      <c r="D362">
        <f>IF(Allocation!BL362="","",Allocation!BL362)</f>
      </c>
      <c r="E362">
        <f>IF(Allocation!BM362="","",Allocation!BM362)</f>
      </c>
      <c r="F362">
        <f>IF(Allocation!BN362="","",Allocation!BN362)</f>
      </c>
      <c r="G362">
        <f>IF(Allocation!BO362="","",Allocation!BO362)</f>
      </c>
      <c r="H362">
        <f>IF(Allocation!BP362="","",Allocation!BP362)</f>
      </c>
      <c r="I362">
        <f>IF(Allocation!BQ362="","",Allocation!BQ362)</f>
      </c>
      <c r="J362">
        <f>IF(Allocation!CC362="","",Allocation!CC362)</f>
      </c>
      <c r="K362">
        <f>IF($A362="","",$H362*IF(AND(LEFT($D362,3)="BAC",$F362="INIT"),600,IF(LEFT($D362,3)="BAC",480,IF(AND(LEFT($D362,3)="MAS",$F362="INIT"),520,IF(LEFT($D362,3)="MAS",420,IF($F362="INIT",1000,700))))))</f>
      </c>
      <c r="L362">
        <f>IF($A362="","",SUMIFS($G$1:$G$349,$AS$1:$AS$349,$AS362,$B$1:$B$349,$B362))</f>
      </c>
      <c r="M362">
        <f>IF($A362="","",SUMIFS($H$1:$H$349,$AS$1:$AS$349,$AS362,$B$1:$B$349,$B362))</f>
      </c>
      <c r="N362">
        <f>IF($A362="","",SUMIFS($I$1:$I$349,$AS$1:$AS$349,$AS362,$B$1:$B$349,$B362))</f>
      </c>
      <c r="O362">
        <f>IF($A362="","",SUMIFS($K$1:$K$349,$AS$1:$AS$349,$AS362,$B$1:$B$349,$B362))</f>
      </c>
      <c r="P362">
        <f>IF($A362="","",SUMIFS($J$1:$J$349,$AS$1:$AS$349,$AS362,$B$1:$B$349,$B362))</f>
      </c>
      <c r="Q362">
        <f>IF($A362="","",SUMIFS($G$1:$G$349,$AS$1:$AS$349,$AS362,$C$1:$C$349,$C362))</f>
      </c>
      <c r="R362">
        <f>IF($A362="","",SUMIFS($H$1:$H$349,$AS$1:$AS$349,$AS362,$C$1:$C$349,$C362))</f>
      </c>
      <c r="S362">
        <f>IF($A362="","",SUMIFS($I$1:$I$349,$AS$1:$AS$349,$AS362,$C$1:$C$349,$C362))</f>
      </c>
      <c r="T362">
        <f>IF($A362="","",SUMIFS($G$1:$G$349,$AS$1:$AS$349,$AS362))</f>
      </c>
      <c r="U362">
        <f>IF($A362="","",SUMIFS($H$1:$H$349,$AS$1:$AS$349,$AS362))</f>
      </c>
      <c r="V362">
        <f>IF($A362="","",SUMIFS($I$1:$I$349,$AS$1:$AS$349,$AS362))</f>
      </c>
      <c r="W362">
        <f>IF($A362="","",Allocation!CD362)</f>
      </c>
      <c r="X362">
        <f>IF($A362="","",Allocation!CE362)</f>
      </c>
      <c r="Y362">
        <f>IF($A362="","",Allocation!CF362)</f>
      </c>
      <c r="Z362">
        <f>IF($A362="","",Allocation!CG362)</f>
      </c>
      <c r="AA362">
        <f>IF($A362="","",Allocation!CH362)</f>
      </c>
      <c r="AB362">
        <f>IF($A362="","",Allocation!CI362)</f>
      </c>
      <c r="AC362">
        <f>IF($A362="","",IF(Allocation!$N$4="VOL_EFF",$G362,IF(Allocation!$N$4="VOL_CLASS",$H362,$I362)))</f>
      </c>
      <c r="AD362">
        <f>IF($A362="","",IF(Allocation!$N$4="VOL_EFF",$L362,IF(Allocation!$N$4="VOL_CLASS",$M362,$N362)))</f>
      </c>
      <c r="AE362">
        <f>IF($A362="","",IF(Allocation!$N$3="VOL_EFF",$L362,IF(Allocation!$N$3="VOL_CLASS",$M362,$N362)))</f>
      </c>
      <c r="AF362">
        <f>IF($A362="","",IF(Allocation!$N$3="VOL_EFF",$Q362,IF(Allocation!$N$3="VOL_CLASS",$R362,$S362)))</f>
      </c>
      <c r="AG362">
        <f>IF($A362="","",IF(Allocation!$N$1="VOL_EFF",$Q362,IF(Allocation!$N$1="VOL_CLASS",$R362,$S362)))</f>
      </c>
      <c r="AH362">
        <f>IF($A362="","",IF(Allocation!$N$1="VOL_EFF",$T362,IF(Allocation!$N$1="VOL_CLASS",$U362,$V362)))</f>
      </c>
      <c r="AI362">
        <f>IF($A362="","",$W362*IFERROR($K362/$O362,0))</f>
      </c>
      <c r="AJ362">
        <f>IF($A362="","",$X362*IFERROR($K362/$O362,0))</f>
      </c>
      <c r="AK362">
        <f>IF($A362="","",$Y362*IFERROR($G362/$L362,0)+$Z362*IFERROR($J362/$P362,0))</f>
      </c>
      <c r="AL362">
        <f>IF($A362="","",$AA362*IFERROR($AC362/$AD362,0))</f>
      </c>
      <c r="AM362">
        <f>IF($A362="","",$AB362*IFERROR($AG362/$AH362,0)*IFERROR($AE362/$AF362,0)*IFERROR($AC362/$AD362,0))</f>
      </c>
      <c r="AN362">
        <f>IF($A362="","",$I362-($AI362+$AJ362+$AK362+$AL362+$AM362+$AR362))</f>
      </c>
      <c r="AO362">
        <f>IF($A362="","",Allocation!CJ362)</f>
      </c>
      <c r="AP362">
        <f>IF($A362="","",IF(Allocation!$N$2="VOL_EFF",$Q362,IF(Allocation!$N$2="VOL_CLASS",$R362,$S362)))</f>
      </c>
      <c r="AQ362">
        <f>IF($A362="","",IF(Allocation!$N$2="VOL_EFF",$T362,IF(Allocation!$N$2="VOL_CLASS",$U362,$V362)))</f>
      </c>
      <c r="AR362">
        <f>IF($A362="","",$AO362*IFERROR($AP362/$AQ362,0)*IFERROR($AE362/$AF362,0)*IFERROR($AC362/$AD362,0))</f>
      </c>
      <c r="AS362">
        <f>IF($A362="","",$A362&amp;"|"&amp;Allocation!BG362)</f>
      </c>
    </row>
    <row r="363" spans="1:45">
      <c r="A363">
        <f>IF(Allocation!BI363="","",Allocation!BI363)</f>
      </c>
      <c r="B363">
        <f>IF(Allocation!BJ363="","",Allocation!BJ363)</f>
      </c>
      <c r="C363">
        <f>IF(Allocation!BK363="","",Allocation!BK363)</f>
      </c>
      <c r="D363">
        <f>IF(Allocation!BL363="","",Allocation!BL363)</f>
      </c>
      <c r="E363">
        <f>IF(Allocation!BM363="","",Allocation!BM363)</f>
      </c>
      <c r="F363">
        <f>IF(Allocation!BN363="","",Allocation!BN363)</f>
      </c>
      <c r="G363">
        <f>IF(Allocation!BO363="","",Allocation!BO363)</f>
      </c>
      <c r="H363">
        <f>IF(Allocation!BP363="","",Allocation!BP363)</f>
      </c>
      <c r="I363">
        <f>IF(Allocation!BQ363="","",Allocation!BQ363)</f>
      </c>
      <c r="J363">
        <f>IF(Allocation!CC363="","",Allocation!CC363)</f>
      </c>
      <c r="K363">
        <f>IF($A363="","",$H363*IF(AND(LEFT($D363,3)="BAC",$F363="INIT"),600,IF(LEFT($D363,3)="BAC",480,IF(AND(LEFT($D363,3)="MAS",$F363="INIT"),520,IF(LEFT($D363,3)="MAS",420,IF($F363="INIT",1000,700))))))</f>
      </c>
      <c r="L363">
        <f>IF($A363="","",SUMIFS($G$1:$G$349,$AS$1:$AS$349,$AS363,$B$1:$B$349,$B363))</f>
      </c>
      <c r="M363">
        <f>IF($A363="","",SUMIFS($H$1:$H$349,$AS$1:$AS$349,$AS363,$B$1:$B$349,$B363))</f>
      </c>
      <c r="N363">
        <f>IF($A363="","",SUMIFS($I$1:$I$349,$AS$1:$AS$349,$AS363,$B$1:$B$349,$B363))</f>
      </c>
      <c r="O363">
        <f>IF($A363="","",SUMIFS($K$1:$K$349,$AS$1:$AS$349,$AS363,$B$1:$B$349,$B363))</f>
      </c>
      <c r="P363">
        <f>IF($A363="","",SUMIFS($J$1:$J$349,$AS$1:$AS$349,$AS363,$B$1:$B$349,$B363))</f>
      </c>
      <c r="Q363">
        <f>IF($A363="","",SUMIFS($G$1:$G$349,$AS$1:$AS$349,$AS363,$C$1:$C$349,$C363))</f>
      </c>
      <c r="R363">
        <f>IF($A363="","",SUMIFS($H$1:$H$349,$AS$1:$AS$349,$AS363,$C$1:$C$349,$C363))</f>
      </c>
      <c r="S363">
        <f>IF($A363="","",SUMIFS($I$1:$I$349,$AS$1:$AS$349,$AS363,$C$1:$C$349,$C363))</f>
      </c>
      <c r="T363">
        <f>IF($A363="","",SUMIFS($G$1:$G$349,$AS$1:$AS$349,$AS363))</f>
      </c>
      <c r="U363">
        <f>IF($A363="","",SUMIFS($H$1:$H$349,$AS$1:$AS$349,$AS363))</f>
      </c>
      <c r="V363">
        <f>IF($A363="","",SUMIFS($I$1:$I$349,$AS$1:$AS$349,$AS363))</f>
      </c>
      <c r="W363">
        <f>IF($A363="","",Allocation!CD363)</f>
      </c>
      <c r="X363">
        <f>IF($A363="","",Allocation!CE363)</f>
      </c>
      <c r="Y363">
        <f>IF($A363="","",Allocation!CF363)</f>
      </c>
      <c r="Z363">
        <f>IF($A363="","",Allocation!CG363)</f>
      </c>
      <c r="AA363">
        <f>IF($A363="","",Allocation!CH363)</f>
      </c>
      <c r="AB363">
        <f>IF($A363="","",Allocation!CI363)</f>
      </c>
      <c r="AC363">
        <f>IF($A363="","",IF(Allocation!$N$4="VOL_EFF",$G363,IF(Allocation!$N$4="VOL_CLASS",$H363,$I363)))</f>
      </c>
      <c r="AD363">
        <f>IF($A363="","",IF(Allocation!$N$4="VOL_EFF",$L363,IF(Allocation!$N$4="VOL_CLASS",$M363,$N363)))</f>
      </c>
      <c r="AE363">
        <f>IF($A363="","",IF(Allocation!$N$3="VOL_EFF",$L363,IF(Allocation!$N$3="VOL_CLASS",$M363,$N363)))</f>
      </c>
      <c r="AF363">
        <f>IF($A363="","",IF(Allocation!$N$3="VOL_EFF",$Q363,IF(Allocation!$N$3="VOL_CLASS",$R363,$S363)))</f>
      </c>
      <c r="AG363">
        <f>IF($A363="","",IF(Allocation!$N$1="VOL_EFF",$Q363,IF(Allocation!$N$1="VOL_CLASS",$R363,$S363)))</f>
      </c>
      <c r="AH363">
        <f>IF($A363="","",IF(Allocation!$N$1="VOL_EFF",$T363,IF(Allocation!$N$1="VOL_CLASS",$U363,$V363)))</f>
      </c>
      <c r="AI363">
        <f>IF($A363="","",$W363*IFERROR($K363/$O363,0))</f>
      </c>
      <c r="AJ363">
        <f>IF($A363="","",$X363*IFERROR($K363/$O363,0))</f>
      </c>
      <c r="AK363">
        <f>IF($A363="","",$Y363*IFERROR($G363/$L363,0)+$Z363*IFERROR($J363/$P363,0))</f>
      </c>
      <c r="AL363">
        <f>IF($A363="","",$AA363*IFERROR($AC363/$AD363,0))</f>
      </c>
      <c r="AM363">
        <f>IF($A363="","",$AB363*IFERROR($AG363/$AH363,0)*IFERROR($AE363/$AF363,0)*IFERROR($AC363/$AD363,0))</f>
      </c>
      <c r="AN363">
        <f>IF($A363="","",$I363-($AI363+$AJ363+$AK363+$AL363+$AM363+$AR363))</f>
      </c>
      <c r="AO363">
        <f>IF($A363="","",Allocation!CJ363)</f>
      </c>
      <c r="AP363">
        <f>IF($A363="","",IF(Allocation!$N$2="VOL_EFF",$Q363,IF(Allocation!$N$2="VOL_CLASS",$R363,$S363)))</f>
      </c>
      <c r="AQ363">
        <f>IF($A363="","",IF(Allocation!$N$2="VOL_EFF",$T363,IF(Allocation!$N$2="VOL_CLASS",$U363,$V363)))</f>
      </c>
      <c r="AR363">
        <f>IF($A363="","",$AO363*IFERROR($AP363/$AQ363,0)*IFERROR($AE363/$AF363,0)*IFERROR($AC363/$AD363,0))</f>
      </c>
      <c r="AS363">
        <f>IF($A363="","",$A363&amp;"|"&amp;Allocation!BG363)</f>
      </c>
    </row>
    <row r="364" spans="1:45">
      <c r="A364">
        <f>IF(Allocation!BI364="","",Allocation!BI364)</f>
      </c>
      <c r="B364">
        <f>IF(Allocation!BJ364="","",Allocation!BJ364)</f>
      </c>
      <c r="C364">
        <f>IF(Allocation!BK364="","",Allocation!BK364)</f>
      </c>
      <c r="D364">
        <f>IF(Allocation!BL364="","",Allocation!BL364)</f>
      </c>
      <c r="E364">
        <f>IF(Allocation!BM364="","",Allocation!BM364)</f>
      </c>
      <c r="F364">
        <f>IF(Allocation!BN364="","",Allocation!BN364)</f>
      </c>
      <c r="G364">
        <f>IF(Allocation!BO364="","",Allocation!BO364)</f>
      </c>
      <c r="H364">
        <f>IF(Allocation!BP364="","",Allocation!BP364)</f>
      </c>
      <c r="I364">
        <f>IF(Allocation!BQ364="","",Allocation!BQ364)</f>
      </c>
      <c r="J364">
        <f>IF(Allocation!CC364="","",Allocation!CC364)</f>
      </c>
      <c r="K364">
        <f>IF($A364="","",$H364*IF(AND(LEFT($D364,3)="BAC",$F364="INIT"),600,IF(LEFT($D364,3)="BAC",480,IF(AND(LEFT($D364,3)="MAS",$F364="INIT"),520,IF(LEFT($D364,3)="MAS",420,IF($F364="INIT",1000,700))))))</f>
      </c>
      <c r="L364">
        <f>IF($A364="","",SUMIFS($G$1:$G$349,$AS$1:$AS$349,$AS364,$B$1:$B$349,$B364))</f>
      </c>
      <c r="M364">
        <f>IF($A364="","",SUMIFS($H$1:$H$349,$AS$1:$AS$349,$AS364,$B$1:$B$349,$B364))</f>
      </c>
      <c r="N364">
        <f>IF($A364="","",SUMIFS($I$1:$I$349,$AS$1:$AS$349,$AS364,$B$1:$B$349,$B364))</f>
      </c>
      <c r="O364">
        <f>IF($A364="","",SUMIFS($K$1:$K$349,$AS$1:$AS$349,$AS364,$B$1:$B$349,$B364))</f>
      </c>
      <c r="P364">
        <f>IF($A364="","",SUMIFS($J$1:$J$349,$AS$1:$AS$349,$AS364,$B$1:$B$349,$B364))</f>
      </c>
      <c r="Q364">
        <f>IF($A364="","",SUMIFS($G$1:$G$349,$AS$1:$AS$349,$AS364,$C$1:$C$349,$C364))</f>
      </c>
      <c r="R364">
        <f>IF($A364="","",SUMIFS($H$1:$H$349,$AS$1:$AS$349,$AS364,$C$1:$C$349,$C364))</f>
      </c>
      <c r="S364">
        <f>IF($A364="","",SUMIFS($I$1:$I$349,$AS$1:$AS$349,$AS364,$C$1:$C$349,$C364))</f>
      </c>
      <c r="T364">
        <f>IF($A364="","",SUMIFS($G$1:$G$349,$AS$1:$AS$349,$AS364))</f>
      </c>
      <c r="U364">
        <f>IF($A364="","",SUMIFS($H$1:$H$349,$AS$1:$AS$349,$AS364))</f>
      </c>
      <c r="V364">
        <f>IF($A364="","",SUMIFS($I$1:$I$349,$AS$1:$AS$349,$AS364))</f>
      </c>
      <c r="W364">
        <f>IF($A364="","",Allocation!CD364)</f>
      </c>
      <c r="X364">
        <f>IF($A364="","",Allocation!CE364)</f>
      </c>
      <c r="Y364">
        <f>IF($A364="","",Allocation!CF364)</f>
      </c>
      <c r="Z364">
        <f>IF($A364="","",Allocation!CG364)</f>
      </c>
      <c r="AA364">
        <f>IF($A364="","",Allocation!CH364)</f>
      </c>
      <c r="AB364">
        <f>IF($A364="","",Allocation!CI364)</f>
      </c>
      <c r="AC364">
        <f>IF($A364="","",IF(Allocation!$N$4="VOL_EFF",$G364,IF(Allocation!$N$4="VOL_CLASS",$H364,$I364)))</f>
      </c>
      <c r="AD364">
        <f>IF($A364="","",IF(Allocation!$N$4="VOL_EFF",$L364,IF(Allocation!$N$4="VOL_CLASS",$M364,$N364)))</f>
      </c>
      <c r="AE364">
        <f>IF($A364="","",IF(Allocation!$N$3="VOL_EFF",$L364,IF(Allocation!$N$3="VOL_CLASS",$M364,$N364)))</f>
      </c>
      <c r="AF364">
        <f>IF($A364="","",IF(Allocation!$N$3="VOL_EFF",$Q364,IF(Allocation!$N$3="VOL_CLASS",$R364,$S364)))</f>
      </c>
      <c r="AG364">
        <f>IF($A364="","",IF(Allocation!$N$1="VOL_EFF",$Q364,IF(Allocation!$N$1="VOL_CLASS",$R364,$S364)))</f>
      </c>
      <c r="AH364">
        <f>IF($A364="","",IF(Allocation!$N$1="VOL_EFF",$T364,IF(Allocation!$N$1="VOL_CLASS",$U364,$V364)))</f>
      </c>
      <c r="AI364">
        <f>IF($A364="","",$W364*IFERROR($K364/$O364,0))</f>
      </c>
      <c r="AJ364">
        <f>IF($A364="","",$X364*IFERROR($K364/$O364,0))</f>
      </c>
      <c r="AK364">
        <f>IF($A364="","",$Y364*IFERROR($G364/$L364,0)+$Z364*IFERROR($J364/$P364,0))</f>
      </c>
      <c r="AL364">
        <f>IF($A364="","",$AA364*IFERROR($AC364/$AD364,0))</f>
      </c>
      <c r="AM364">
        <f>IF($A364="","",$AB364*IFERROR($AG364/$AH364,0)*IFERROR($AE364/$AF364,0)*IFERROR($AC364/$AD364,0))</f>
      </c>
      <c r="AN364">
        <f>IF($A364="","",$I364-($AI364+$AJ364+$AK364+$AL364+$AM364+$AR364))</f>
      </c>
      <c r="AO364">
        <f>IF($A364="","",Allocation!CJ364)</f>
      </c>
      <c r="AP364">
        <f>IF($A364="","",IF(Allocation!$N$2="VOL_EFF",$Q364,IF(Allocation!$N$2="VOL_CLASS",$R364,$S364)))</f>
      </c>
      <c r="AQ364">
        <f>IF($A364="","",IF(Allocation!$N$2="VOL_EFF",$T364,IF(Allocation!$N$2="VOL_CLASS",$U364,$V364)))</f>
      </c>
      <c r="AR364">
        <f>IF($A364="","",$AO364*IFERROR($AP364/$AQ364,0)*IFERROR($AE364/$AF364,0)*IFERROR($AC364/$AD364,0))</f>
      </c>
      <c r="AS364">
        <f>IF($A364="","",$A364&amp;"|"&amp;Allocation!BG364)</f>
      </c>
    </row>
    <row r="365" spans="1:45">
      <c r="A365">
        <f>IF(Allocation!BI365="","",Allocation!BI365)</f>
      </c>
      <c r="B365">
        <f>IF(Allocation!BJ365="","",Allocation!BJ365)</f>
      </c>
      <c r="C365">
        <f>IF(Allocation!BK365="","",Allocation!BK365)</f>
      </c>
      <c r="D365">
        <f>IF(Allocation!BL365="","",Allocation!BL365)</f>
      </c>
      <c r="E365">
        <f>IF(Allocation!BM365="","",Allocation!BM365)</f>
      </c>
      <c r="F365">
        <f>IF(Allocation!BN365="","",Allocation!BN365)</f>
      </c>
      <c r="G365">
        <f>IF(Allocation!BO365="","",Allocation!BO365)</f>
      </c>
      <c r="H365">
        <f>IF(Allocation!BP365="","",Allocation!BP365)</f>
      </c>
      <c r="I365">
        <f>IF(Allocation!BQ365="","",Allocation!BQ365)</f>
      </c>
      <c r="J365">
        <f>IF(Allocation!CC365="","",Allocation!CC365)</f>
      </c>
      <c r="K365">
        <f>IF($A365="","",$H365*IF(AND(LEFT($D365,3)="BAC",$F365="INIT"),600,IF(LEFT($D365,3)="BAC",480,IF(AND(LEFT($D365,3)="MAS",$F365="INIT"),520,IF(LEFT($D365,3)="MAS",420,IF($F365="INIT",1000,700))))))</f>
      </c>
      <c r="L365">
        <f>IF($A365="","",SUMIFS($G$1:$G$349,$AS$1:$AS$349,$AS365,$B$1:$B$349,$B365))</f>
      </c>
      <c r="M365">
        <f>IF($A365="","",SUMIFS($H$1:$H$349,$AS$1:$AS$349,$AS365,$B$1:$B$349,$B365))</f>
      </c>
      <c r="N365">
        <f>IF($A365="","",SUMIFS($I$1:$I$349,$AS$1:$AS$349,$AS365,$B$1:$B$349,$B365))</f>
      </c>
      <c r="O365">
        <f>IF($A365="","",SUMIFS($K$1:$K$349,$AS$1:$AS$349,$AS365,$B$1:$B$349,$B365))</f>
      </c>
      <c r="P365">
        <f>IF($A365="","",SUMIFS($J$1:$J$349,$AS$1:$AS$349,$AS365,$B$1:$B$349,$B365))</f>
      </c>
      <c r="Q365">
        <f>IF($A365="","",SUMIFS($G$1:$G$349,$AS$1:$AS$349,$AS365,$C$1:$C$349,$C365))</f>
      </c>
      <c r="R365">
        <f>IF($A365="","",SUMIFS($H$1:$H$349,$AS$1:$AS$349,$AS365,$C$1:$C$349,$C365))</f>
      </c>
      <c r="S365">
        <f>IF($A365="","",SUMIFS($I$1:$I$349,$AS$1:$AS$349,$AS365,$C$1:$C$349,$C365))</f>
      </c>
      <c r="T365">
        <f>IF($A365="","",SUMIFS($G$1:$G$349,$AS$1:$AS$349,$AS365))</f>
      </c>
      <c r="U365">
        <f>IF($A365="","",SUMIFS($H$1:$H$349,$AS$1:$AS$349,$AS365))</f>
      </c>
      <c r="V365">
        <f>IF($A365="","",SUMIFS($I$1:$I$349,$AS$1:$AS$349,$AS365))</f>
      </c>
      <c r="W365">
        <f>IF($A365="","",Allocation!CD365)</f>
      </c>
      <c r="X365">
        <f>IF($A365="","",Allocation!CE365)</f>
      </c>
      <c r="Y365">
        <f>IF($A365="","",Allocation!CF365)</f>
      </c>
      <c r="Z365">
        <f>IF($A365="","",Allocation!CG365)</f>
      </c>
      <c r="AA365">
        <f>IF($A365="","",Allocation!CH365)</f>
      </c>
      <c r="AB365">
        <f>IF($A365="","",Allocation!CI365)</f>
      </c>
      <c r="AC365">
        <f>IF($A365="","",IF(Allocation!$N$4="VOL_EFF",$G365,IF(Allocation!$N$4="VOL_CLASS",$H365,$I365)))</f>
      </c>
      <c r="AD365">
        <f>IF($A365="","",IF(Allocation!$N$4="VOL_EFF",$L365,IF(Allocation!$N$4="VOL_CLASS",$M365,$N365)))</f>
      </c>
      <c r="AE365">
        <f>IF($A365="","",IF(Allocation!$N$3="VOL_EFF",$L365,IF(Allocation!$N$3="VOL_CLASS",$M365,$N365)))</f>
      </c>
      <c r="AF365">
        <f>IF($A365="","",IF(Allocation!$N$3="VOL_EFF",$Q365,IF(Allocation!$N$3="VOL_CLASS",$R365,$S365)))</f>
      </c>
      <c r="AG365">
        <f>IF($A365="","",IF(Allocation!$N$1="VOL_EFF",$Q365,IF(Allocation!$N$1="VOL_CLASS",$R365,$S365)))</f>
      </c>
      <c r="AH365">
        <f>IF($A365="","",IF(Allocation!$N$1="VOL_EFF",$T365,IF(Allocation!$N$1="VOL_CLASS",$U365,$V365)))</f>
      </c>
      <c r="AI365">
        <f>IF($A365="","",$W365*IFERROR($K365/$O365,0))</f>
      </c>
      <c r="AJ365">
        <f>IF($A365="","",$X365*IFERROR($K365/$O365,0))</f>
      </c>
      <c r="AK365">
        <f>IF($A365="","",$Y365*IFERROR($G365/$L365,0)+$Z365*IFERROR($J365/$P365,0))</f>
      </c>
      <c r="AL365">
        <f>IF($A365="","",$AA365*IFERROR($AC365/$AD365,0))</f>
      </c>
      <c r="AM365">
        <f>IF($A365="","",$AB365*IFERROR($AG365/$AH365,0)*IFERROR($AE365/$AF365,0)*IFERROR($AC365/$AD365,0))</f>
      </c>
      <c r="AN365">
        <f>IF($A365="","",$I365-($AI365+$AJ365+$AK365+$AL365+$AM365+$AR365))</f>
      </c>
      <c r="AO365">
        <f>IF($A365="","",Allocation!CJ365)</f>
      </c>
      <c r="AP365">
        <f>IF($A365="","",IF(Allocation!$N$2="VOL_EFF",$Q365,IF(Allocation!$N$2="VOL_CLASS",$R365,$S365)))</f>
      </c>
      <c r="AQ365">
        <f>IF($A365="","",IF(Allocation!$N$2="VOL_EFF",$T365,IF(Allocation!$N$2="VOL_CLASS",$U365,$V365)))</f>
      </c>
      <c r="AR365">
        <f>IF($A365="","",$AO365*IFERROR($AP365/$AQ365,0)*IFERROR($AE365/$AF365,0)*IFERROR($AC365/$AD365,0))</f>
      </c>
      <c r="AS365">
        <f>IF($A365="","",$A365&amp;"|"&amp;Allocation!BG365)</f>
      </c>
    </row>
    <row r="366" spans="1:45">
      <c r="A366">
        <f>IF(Allocation!BI366="","",Allocation!BI366)</f>
      </c>
      <c r="B366">
        <f>IF(Allocation!BJ366="","",Allocation!BJ366)</f>
      </c>
      <c r="C366">
        <f>IF(Allocation!BK366="","",Allocation!BK366)</f>
      </c>
      <c r="D366">
        <f>IF(Allocation!BL366="","",Allocation!BL366)</f>
      </c>
      <c r="E366">
        <f>IF(Allocation!BM366="","",Allocation!BM366)</f>
      </c>
      <c r="F366">
        <f>IF(Allocation!BN366="","",Allocation!BN366)</f>
      </c>
      <c r="G366">
        <f>IF(Allocation!BO366="","",Allocation!BO366)</f>
      </c>
      <c r="H366">
        <f>IF(Allocation!BP366="","",Allocation!BP366)</f>
      </c>
      <c r="I366">
        <f>IF(Allocation!BQ366="","",Allocation!BQ366)</f>
      </c>
      <c r="J366">
        <f>IF(Allocation!CC366="","",Allocation!CC366)</f>
      </c>
      <c r="K366">
        <f>IF($A366="","",$H366*IF(AND(LEFT($D366,3)="BAC",$F366="INIT"),600,IF(LEFT($D366,3)="BAC",480,IF(AND(LEFT($D366,3)="MAS",$F366="INIT"),520,IF(LEFT($D366,3)="MAS",420,IF($F366="INIT",1000,700))))))</f>
      </c>
      <c r="L366">
        <f>IF($A366="","",SUMIFS($G$1:$G$349,$AS$1:$AS$349,$AS366,$B$1:$B$349,$B366))</f>
      </c>
      <c r="M366">
        <f>IF($A366="","",SUMIFS($H$1:$H$349,$AS$1:$AS$349,$AS366,$B$1:$B$349,$B366))</f>
      </c>
      <c r="N366">
        <f>IF($A366="","",SUMIFS($I$1:$I$349,$AS$1:$AS$349,$AS366,$B$1:$B$349,$B366))</f>
      </c>
      <c r="O366">
        <f>IF($A366="","",SUMIFS($K$1:$K$349,$AS$1:$AS$349,$AS366,$B$1:$B$349,$B366))</f>
      </c>
      <c r="P366">
        <f>IF($A366="","",SUMIFS($J$1:$J$349,$AS$1:$AS$349,$AS366,$B$1:$B$349,$B366))</f>
      </c>
      <c r="Q366">
        <f>IF($A366="","",SUMIFS($G$1:$G$349,$AS$1:$AS$349,$AS366,$C$1:$C$349,$C366))</f>
      </c>
      <c r="R366">
        <f>IF($A366="","",SUMIFS($H$1:$H$349,$AS$1:$AS$349,$AS366,$C$1:$C$349,$C366))</f>
      </c>
      <c r="S366">
        <f>IF($A366="","",SUMIFS($I$1:$I$349,$AS$1:$AS$349,$AS366,$C$1:$C$349,$C366))</f>
      </c>
      <c r="T366">
        <f>IF($A366="","",SUMIFS($G$1:$G$349,$AS$1:$AS$349,$AS366))</f>
      </c>
      <c r="U366">
        <f>IF($A366="","",SUMIFS($H$1:$H$349,$AS$1:$AS$349,$AS366))</f>
      </c>
      <c r="V366">
        <f>IF($A366="","",SUMIFS($I$1:$I$349,$AS$1:$AS$349,$AS366))</f>
      </c>
      <c r="W366">
        <f>IF($A366="","",Allocation!CD366)</f>
      </c>
      <c r="X366">
        <f>IF($A366="","",Allocation!CE366)</f>
      </c>
      <c r="Y366">
        <f>IF($A366="","",Allocation!CF366)</f>
      </c>
      <c r="Z366">
        <f>IF($A366="","",Allocation!CG366)</f>
      </c>
      <c r="AA366">
        <f>IF($A366="","",Allocation!CH366)</f>
      </c>
      <c r="AB366">
        <f>IF($A366="","",Allocation!CI366)</f>
      </c>
      <c r="AC366">
        <f>IF($A366="","",IF(Allocation!$N$4="VOL_EFF",$G366,IF(Allocation!$N$4="VOL_CLASS",$H366,$I366)))</f>
      </c>
      <c r="AD366">
        <f>IF($A366="","",IF(Allocation!$N$4="VOL_EFF",$L366,IF(Allocation!$N$4="VOL_CLASS",$M366,$N366)))</f>
      </c>
      <c r="AE366">
        <f>IF($A366="","",IF(Allocation!$N$3="VOL_EFF",$L366,IF(Allocation!$N$3="VOL_CLASS",$M366,$N366)))</f>
      </c>
      <c r="AF366">
        <f>IF($A366="","",IF(Allocation!$N$3="VOL_EFF",$Q366,IF(Allocation!$N$3="VOL_CLASS",$R366,$S366)))</f>
      </c>
      <c r="AG366">
        <f>IF($A366="","",IF(Allocation!$N$1="VOL_EFF",$Q366,IF(Allocation!$N$1="VOL_CLASS",$R366,$S366)))</f>
      </c>
      <c r="AH366">
        <f>IF($A366="","",IF(Allocation!$N$1="VOL_EFF",$T366,IF(Allocation!$N$1="VOL_CLASS",$U366,$V366)))</f>
      </c>
      <c r="AI366">
        <f>IF($A366="","",$W366*IFERROR($K366/$O366,0))</f>
      </c>
      <c r="AJ366">
        <f>IF($A366="","",$X366*IFERROR($K366/$O366,0))</f>
      </c>
      <c r="AK366">
        <f>IF($A366="","",$Y366*IFERROR($G366/$L366,0)+$Z366*IFERROR($J366/$P366,0))</f>
      </c>
      <c r="AL366">
        <f>IF($A366="","",$AA366*IFERROR($AC366/$AD366,0))</f>
      </c>
      <c r="AM366">
        <f>IF($A366="","",$AB366*IFERROR($AG366/$AH366,0)*IFERROR($AE366/$AF366,0)*IFERROR($AC366/$AD366,0))</f>
      </c>
      <c r="AN366">
        <f>IF($A366="","",$I366-($AI366+$AJ366+$AK366+$AL366+$AM366+$AR366))</f>
      </c>
      <c r="AO366">
        <f>IF($A366="","",Allocation!CJ366)</f>
      </c>
      <c r="AP366">
        <f>IF($A366="","",IF(Allocation!$N$2="VOL_EFF",$Q366,IF(Allocation!$N$2="VOL_CLASS",$R366,$S366)))</f>
      </c>
      <c r="AQ366">
        <f>IF($A366="","",IF(Allocation!$N$2="VOL_EFF",$T366,IF(Allocation!$N$2="VOL_CLASS",$U366,$V366)))</f>
      </c>
      <c r="AR366">
        <f>IF($A366="","",$AO366*IFERROR($AP366/$AQ366,0)*IFERROR($AE366/$AF366,0)*IFERROR($AC366/$AD366,0))</f>
      </c>
      <c r="AS366">
        <f>IF($A366="","",$A366&amp;"|"&amp;Allocation!BG366)</f>
      </c>
    </row>
    <row r="367" spans="1:45">
      <c r="A367">
        <f>IF(Allocation!BI367="","",Allocation!BI367)</f>
      </c>
      <c r="B367">
        <f>IF(Allocation!BJ367="","",Allocation!BJ367)</f>
      </c>
      <c r="C367">
        <f>IF(Allocation!BK367="","",Allocation!BK367)</f>
      </c>
      <c r="D367">
        <f>IF(Allocation!BL367="","",Allocation!BL367)</f>
      </c>
      <c r="E367">
        <f>IF(Allocation!BM367="","",Allocation!BM367)</f>
      </c>
      <c r="F367">
        <f>IF(Allocation!BN367="","",Allocation!BN367)</f>
      </c>
      <c r="G367">
        <f>IF(Allocation!BO367="","",Allocation!BO367)</f>
      </c>
      <c r="H367">
        <f>IF(Allocation!BP367="","",Allocation!BP367)</f>
      </c>
      <c r="I367">
        <f>IF(Allocation!BQ367="","",Allocation!BQ367)</f>
      </c>
      <c r="J367">
        <f>IF(Allocation!CC367="","",Allocation!CC367)</f>
      </c>
      <c r="K367">
        <f>IF($A367="","",$H367*IF(AND(LEFT($D367,3)="BAC",$F367="INIT"),600,IF(LEFT($D367,3)="BAC",480,IF(AND(LEFT($D367,3)="MAS",$F367="INIT"),520,IF(LEFT($D367,3)="MAS",420,IF($F367="INIT",1000,700))))))</f>
      </c>
      <c r="L367">
        <f>IF($A367="","",SUMIFS($G$1:$G$349,$AS$1:$AS$349,$AS367,$B$1:$B$349,$B367))</f>
      </c>
      <c r="M367">
        <f>IF($A367="","",SUMIFS($H$1:$H$349,$AS$1:$AS$349,$AS367,$B$1:$B$349,$B367))</f>
      </c>
      <c r="N367">
        <f>IF($A367="","",SUMIFS($I$1:$I$349,$AS$1:$AS$349,$AS367,$B$1:$B$349,$B367))</f>
      </c>
      <c r="O367">
        <f>IF($A367="","",SUMIFS($K$1:$K$349,$AS$1:$AS$349,$AS367,$B$1:$B$349,$B367))</f>
      </c>
      <c r="P367">
        <f>IF($A367="","",SUMIFS($J$1:$J$349,$AS$1:$AS$349,$AS367,$B$1:$B$349,$B367))</f>
      </c>
      <c r="Q367">
        <f>IF($A367="","",SUMIFS($G$1:$G$349,$AS$1:$AS$349,$AS367,$C$1:$C$349,$C367))</f>
      </c>
      <c r="R367">
        <f>IF($A367="","",SUMIFS($H$1:$H$349,$AS$1:$AS$349,$AS367,$C$1:$C$349,$C367))</f>
      </c>
      <c r="S367">
        <f>IF($A367="","",SUMIFS($I$1:$I$349,$AS$1:$AS$349,$AS367,$C$1:$C$349,$C367))</f>
      </c>
      <c r="T367">
        <f>IF($A367="","",SUMIFS($G$1:$G$349,$AS$1:$AS$349,$AS367))</f>
      </c>
      <c r="U367">
        <f>IF($A367="","",SUMIFS($H$1:$H$349,$AS$1:$AS$349,$AS367))</f>
      </c>
      <c r="V367">
        <f>IF($A367="","",SUMIFS($I$1:$I$349,$AS$1:$AS$349,$AS367))</f>
      </c>
      <c r="W367">
        <f>IF($A367="","",Allocation!CD367)</f>
      </c>
      <c r="X367">
        <f>IF($A367="","",Allocation!CE367)</f>
      </c>
      <c r="Y367">
        <f>IF($A367="","",Allocation!CF367)</f>
      </c>
      <c r="Z367">
        <f>IF($A367="","",Allocation!CG367)</f>
      </c>
      <c r="AA367">
        <f>IF($A367="","",Allocation!CH367)</f>
      </c>
      <c r="AB367">
        <f>IF($A367="","",Allocation!CI367)</f>
      </c>
      <c r="AC367">
        <f>IF($A367="","",IF(Allocation!$N$4="VOL_EFF",$G367,IF(Allocation!$N$4="VOL_CLASS",$H367,$I367)))</f>
      </c>
      <c r="AD367">
        <f>IF($A367="","",IF(Allocation!$N$4="VOL_EFF",$L367,IF(Allocation!$N$4="VOL_CLASS",$M367,$N367)))</f>
      </c>
      <c r="AE367">
        <f>IF($A367="","",IF(Allocation!$N$3="VOL_EFF",$L367,IF(Allocation!$N$3="VOL_CLASS",$M367,$N367)))</f>
      </c>
      <c r="AF367">
        <f>IF($A367="","",IF(Allocation!$N$3="VOL_EFF",$Q367,IF(Allocation!$N$3="VOL_CLASS",$R367,$S367)))</f>
      </c>
      <c r="AG367">
        <f>IF($A367="","",IF(Allocation!$N$1="VOL_EFF",$Q367,IF(Allocation!$N$1="VOL_CLASS",$R367,$S367)))</f>
      </c>
      <c r="AH367">
        <f>IF($A367="","",IF(Allocation!$N$1="VOL_EFF",$T367,IF(Allocation!$N$1="VOL_CLASS",$U367,$V367)))</f>
      </c>
      <c r="AI367">
        <f>IF($A367="","",$W367*IFERROR($K367/$O367,0))</f>
      </c>
      <c r="AJ367">
        <f>IF($A367="","",$X367*IFERROR($K367/$O367,0))</f>
      </c>
      <c r="AK367">
        <f>IF($A367="","",$Y367*IFERROR($G367/$L367,0)+$Z367*IFERROR($J367/$P367,0))</f>
      </c>
      <c r="AL367">
        <f>IF($A367="","",$AA367*IFERROR($AC367/$AD367,0))</f>
      </c>
      <c r="AM367">
        <f>IF($A367="","",$AB367*IFERROR($AG367/$AH367,0)*IFERROR($AE367/$AF367,0)*IFERROR($AC367/$AD367,0))</f>
      </c>
      <c r="AN367">
        <f>IF($A367="","",$I367-($AI367+$AJ367+$AK367+$AL367+$AM367+$AR367))</f>
      </c>
      <c r="AO367">
        <f>IF($A367="","",Allocation!CJ367)</f>
      </c>
      <c r="AP367">
        <f>IF($A367="","",IF(Allocation!$N$2="VOL_EFF",$Q367,IF(Allocation!$N$2="VOL_CLASS",$R367,$S367)))</f>
      </c>
      <c r="AQ367">
        <f>IF($A367="","",IF(Allocation!$N$2="VOL_EFF",$T367,IF(Allocation!$N$2="VOL_CLASS",$U367,$V367)))</f>
      </c>
      <c r="AR367">
        <f>IF($A367="","",$AO367*IFERROR($AP367/$AQ367,0)*IFERROR($AE367/$AF367,0)*IFERROR($AC367/$AD367,0))</f>
      </c>
      <c r="AS367">
        <f>IF($A367="","",$A367&amp;"|"&amp;Allocation!BG367)</f>
      </c>
    </row>
    <row r="368" spans="1:45">
      <c r="A368">
        <f>IF(Allocation!BI368="","",Allocation!BI368)</f>
      </c>
      <c r="B368">
        <f>IF(Allocation!BJ368="","",Allocation!BJ368)</f>
      </c>
      <c r="C368">
        <f>IF(Allocation!BK368="","",Allocation!BK368)</f>
      </c>
      <c r="D368">
        <f>IF(Allocation!BL368="","",Allocation!BL368)</f>
      </c>
      <c r="E368">
        <f>IF(Allocation!BM368="","",Allocation!BM368)</f>
      </c>
      <c r="F368">
        <f>IF(Allocation!BN368="","",Allocation!BN368)</f>
      </c>
      <c r="G368">
        <f>IF(Allocation!BO368="","",Allocation!BO368)</f>
      </c>
      <c r="H368">
        <f>IF(Allocation!BP368="","",Allocation!BP368)</f>
      </c>
      <c r="I368">
        <f>IF(Allocation!BQ368="","",Allocation!BQ368)</f>
      </c>
      <c r="J368">
        <f>IF(Allocation!CC368="","",Allocation!CC368)</f>
      </c>
      <c r="K368">
        <f>IF($A368="","",$H368*IF(AND(LEFT($D368,3)="BAC",$F368="INIT"),600,IF(LEFT($D368,3)="BAC",480,IF(AND(LEFT($D368,3)="MAS",$F368="INIT"),520,IF(LEFT($D368,3)="MAS",420,IF($F368="INIT",1000,700))))))</f>
      </c>
      <c r="L368">
        <f>IF($A368="","",SUMIFS($G$1:$G$349,$AS$1:$AS$349,$AS368,$B$1:$B$349,$B368))</f>
      </c>
      <c r="M368">
        <f>IF($A368="","",SUMIFS($H$1:$H$349,$AS$1:$AS$349,$AS368,$B$1:$B$349,$B368))</f>
      </c>
      <c r="N368">
        <f>IF($A368="","",SUMIFS($I$1:$I$349,$AS$1:$AS$349,$AS368,$B$1:$B$349,$B368))</f>
      </c>
      <c r="O368">
        <f>IF($A368="","",SUMIFS($K$1:$K$349,$AS$1:$AS$349,$AS368,$B$1:$B$349,$B368))</f>
      </c>
      <c r="P368">
        <f>IF($A368="","",SUMIFS($J$1:$J$349,$AS$1:$AS$349,$AS368,$B$1:$B$349,$B368))</f>
      </c>
      <c r="Q368">
        <f>IF($A368="","",SUMIFS($G$1:$G$349,$AS$1:$AS$349,$AS368,$C$1:$C$349,$C368))</f>
      </c>
      <c r="R368">
        <f>IF($A368="","",SUMIFS($H$1:$H$349,$AS$1:$AS$349,$AS368,$C$1:$C$349,$C368))</f>
      </c>
      <c r="S368">
        <f>IF($A368="","",SUMIFS($I$1:$I$349,$AS$1:$AS$349,$AS368,$C$1:$C$349,$C368))</f>
      </c>
      <c r="T368">
        <f>IF($A368="","",SUMIFS($G$1:$G$349,$AS$1:$AS$349,$AS368))</f>
      </c>
      <c r="U368">
        <f>IF($A368="","",SUMIFS($H$1:$H$349,$AS$1:$AS$349,$AS368))</f>
      </c>
      <c r="V368">
        <f>IF($A368="","",SUMIFS($I$1:$I$349,$AS$1:$AS$349,$AS368))</f>
      </c>
      <c r="W368">
        <f>IF($A368="","",Allocation!CD368)</f>
      </c>
      <c r="X368">
        <f>IF($A368="","",Allocation!CE368)</f>
      </c>
      <c r="Y368">
        <f>IF($A368="","",Allocation!CF368)</f>
      </c>
      <c r="Z368">
        <f>IF($A368="","",Allocation!CG368)</f>
      </c>
      <c r="AA368">
        <f>IF($A368="","",Allocation!CH368)</f>
      </c>
      <c r="AB368">
        <f>IF($A368="","",Allocation!CI368)</f>
      </c>
      <c r="AC368">
        <f>IF($A368="","",IF(Allocation!$N$4="VOL_EFF",$G368,IF(Allocation!$N$4="VOL_CLASS",$H368,$I368)))</f>
      </c>
      <c r="AD368">
        <f>IF($A368="","",IF(Allocation!$N$4="VOL_EFF",$L368,IF(Allocation!$N$4="VOL_CLASS",$M368,$N368)))</f>
      </c>
      <c r="AE368">
        <f>IF($A368="","",IF(Allocation!$N$3="VOL_EFF",$L368,IF(Allocation!$N$3="VOL_CLASS",$M368,$N368)))</f>
      </c>
      <c r="AF368">
        <f>IF($A368="","",IF(Allocation!$N$3="VOL_EFF",$Q368,IF(Allocation!$N$3="VOL_CLASS",$R368,$S368)))</f>
      </c>
      <c r="AG368">
        <f>IF($A368="","",IF(Allocation!$N$1="VOL_EFF",$Q368,IF(Allocation!$N$1="VOL_CLASS",$R368,$S368)))</f>
      </c>
      <c r="AH368">
        <f>IF($A368="","",IF(Allocation!$N$1="VOL_EFF",$T368,IF(Allocation!$N$1="VOL_CLASS",$U368,$V368)))</f>
      </c>
      <c r="AI368">
        <f>IF($A368="","",$W368*IFERROR($K368/$O368,0))</f>
      </c>
      <c r="AJ368">
        <f>IF($A368="","",$X368*IFERROR($K368/$O368,0))</f>
      </c>
      <c r="AK368">
        <f>IF($A368="","",$Y368*IFERROR($G368/$L368,0)+$Z368*IFERROR($J368/$P368,0))</f>
      </c>
      <c r="AL368">
        <f>IF($A368="","",$AA368*IFERROR($AC368/$AD368,0))</f>
      </c>
      <c r="AM368">
        <f>IF($A368="","",$AB368*IFERROR($AG368/$AH368,0)*IFERROR($AE368/$AF368,0)*IFERROR($AC368/$AD368,0))</f>
      </c>
      <c r="AN368">
        <f>IF($A368="","",$I368-($AI368+$AJ368+$AK368+$AL368+$AM368+$AR368))</f>
      </c>
      <c r="AO368">
        <f>IF($A368="","",Allocation!CJ368)</f>
      </c>
      <c r="AP368">
        <f>IF($A368="","",IF(Allocation!$N$2="VOL_EFF",$Q368,IF(Allocation!$N$2="VOL_CLASS",$R368,$S368)))</f>
      </c>
      <c r="AQ368">
        <f>IF($A368="","",IF(Allocation!$N$2="VOL_EFF",$T368,IF(Allocation!$N$2="VOL_CLASS",$U368,$V368)))</f>
      </c>
      <c r="AR368">
        <f>IF($A368="","",$AO368*IFERROR($AP368/$AQ368,0)*IFERROR($AE368/$AF368,0)*IFERROR($AC368/$AD368,0))</f>
      </c>
      <c r="AS368">
        <f>IF($A368="","",$A368&amp;"|"&amp;Allocation!BG368)</f>
      </c>
    </row>
    <row r="369" spans="1:45">
      <c r="A369">
        <f>IF(Allocation!BI369="","",Allocation!BI369)</f>
      </c>
      <c r="B369">
        <f>IF(Allocation!BJ369="","",Allocation!BJ369)</f>
      </c>
      <c r="C369">
        <f>IF(Allocation!BK369="","",Allocation!BK369)</f>
      </c>
      <c r="D369">
        <f>IF(Allocation!BL369="","",Allocation!BL369)</f>
      </c>
      <c r="E369">
        <f>IF(Allocation!BM369="","",Allocation!BM369)</f>
      </c>
      <c r="F369">
        <f>IF(Allocation!BN369="","",Allocation!BN369)</f>
      </c>
      <c r="G369">
        <f>IF(Allocation!BO369="","",Allocation!BO369)</f>
      </c>
      <c r="H369">
        <f>IF(Allocation!BP369="","",Allocation!BP369)</f>
      </c>
      <c r="I369">
        <f>IF(Allocation!BQ369="","",Allocation!BQ369)</f>
      </c>
      <c r="J369">
        <f>IF(Allocation!CC369="","",Allocation!CC369)</f>
      </c>
      <c r="K369">
        <f>IF($A369="","",$H369*IF(AND(LEFT($D369,3)="BAC",$F369="INIT"),600,IF(LEFT($D369,3)="BAC",480,IF(AND(LEFT($D369,3)="MAS",$F369="INIT"),520,IF(LEFT($D369,3)="MAS",420,IF($F369="INIT",1000,700))))))</f>
      </c>
      <c r="L369">
        <f>IF($A369="","",SUMIFS($G$1:$G$349,$AS$1:$AS$349,$AS369,$B$1:$B$349,$B369))</f>
      </c>
      <c r="M369">
        <f>IF($A369="","",SUMIFS($H$1:$H$349,$AS$1:$AS$349,$AS369,$B$1:$B$349,$B369))</f>
      </c>
      <c r="N369">
        <f>IF($A369="","",SUMIFS($I$1:$I$349,$AS$1:$AS$349,$AS369,$B$1:$B$349,$B369))</f>
      </c>
      <c r="O369">
        <f>IF($A369="","",SUMIFS($K$1:$K$349,$AS$1:$AS$349,$AS369,$B$1:$B$349,$B369))</f>
      </c>
      <c r="P369">
        <f>IF($A369="","",SUMIFS($J$1:$J$349,$AS$1:$AS$349,$AS369,$B$1:$B$349,$B369))</f>
      </c>
      <c r="Q369">
        <f>IF($A369="","",SUMIFS($G$1:$G$349,$AS$1:$AS$349,$AS369,$C$1:$C$349,$C369))</f>
      </c>
      <c r="R369">
        <f>IF($A369="","",SUMIFS($H$1:$H$349,$AS$1:$AS$349,$AS369,$C$1:$C$349,$C369))</f>
      </c>
      <c r="S369">
        <f>IF($A369="","",SUMIFS($I$1:$I$349,$AS$1:$AS$349,$AS369,$C$1:$C$349,$C369))</f>
      </c>
      <c r="T369">
        <f>IF($A369="","",SUMIFS($G$1:$G$349,$AS$1:$AS$349,$AS369))</f>
      </c>
      <c r="U369">
        <f>IF($A369="","",SUMIFS($H$1:$H$349,$AS$1:$AS$349,$AS369))</f>
      </c>
      <c r="V369">
        <f>IF($A369="","",SUMIFS($I$1:$I$349,$AS$1:$AS$349,$AS369))</f>
      </c>
      <c r="W369">
        <f>IF($A369="","",Allocation!CD369)</f>
      </c>
      <c r="X369">
        <f>IF($A369="","",Allocation!CE369)</f>
      </c>
      <c r="Y369">
        <f>IF($A369="","",Allocation!CF369)</f>
      </c>
      <c r="Z369">
        <f>IF($A369="","",Allocation!CG369)</f>
      </c>
      <c r="AA369">
        <f>IF($A369="","",Allocation!CH369)</f>
      </c>
      <c r="AB369">
        <f>IF($A369="","",Allocation!CI369)</f>
      </c>
      <c r="AC369">
        <f>IF($A369="","",IF(Allocation!$N$4="VOL_EFF",$G369,IF(Allocation!$N$4="VOL_CLASS",$H369,$I369)))</f>
      </c>
      <c r="AD369">
        <f>IF($A369="","",IF(Allocation!$N$4="VOL_EFF",$L369,IF(Allocation!$N$4="VOL_CLASS",$M369,$N369)))</f>
      </c>
      <c r="AE369">
        <f>IF($A369="","",IF(Allocation!$N$3="VOL_EFF",$L369,IF(Allocation!$N$3="VOL_CLASS",$M369,$N369)))</f>
      </c>
      <c r="AF369">
        <f>IF($A369="","",IF(Allocation!$N$3="VOL_EFF",$Q369,IF(Allocation!$N$3="VOL_CLASS",$R369,$S369)))</f>
      </c>
      <c r="AG369">
        <f>IF($A369="","",IF(Allocation!$N$1="VOL_EFF",$Q369,IF(Allocation!$N$1="VOL_CLASS",$R369,$S369)))</f>
      </c>
      <c r="AH369">
        <f>IF($A369="","",IF(Allocation!$N$1="VOL_EFF",$T369,IF(Allocation!$N$1="VOL_CLASS",$U369,$V369)))</f>
      </c>
      <c r="AI369">
        <f>IF($A369="","",$W369*IFERROR($K369/$O369,0))</f>
      </c>
      <c r="AJ369">
        <f>IF($A369="","",$X369*IFERROR($K369/$O369,0))</f>
      </c>
      <c r="AK369">
        <f>IF($A369="","",$Y369*IFERROR($G369/$L369,0)+$Z369*IFERROR($J369/$P369,0))</f>
      </c>
      <c r="AL369">
        <f>IF($A369="","",$AA369*IFERROR($AC369/$AD369,0))</f>
      </c>
      <c r="AM369">
        <f>IF($A369="","",$AB369*IFERROR($AG369/$AH369,0)*IFERROR($AE369/$AF369,0)*IFERROR($AC369/$AD369,0))</f>
      </c>
      <c r="AN369">
        <f>IF($A369="","",$I369-($AI369+$AJ369+$AK369+$AL369+$AM369+$AR369))</f>
      </c>
      <c r="AO369">
        <f>IF($A369="","",Allocation!CJ369)</f>
      </c>
      <c r="AP369">
        <f>IF($A369="","",IF(Allocation!$N$2="VOL_EFF",$Q369,IF(Allocation!$N$2="VOL_CLASS",$R369,$S369)))</f>
      </c>
      <c r="AQ369">
        <f>IF($A369="","",IF(Allocation!$N$2="VOL_EFF",$T369,IF(Allocation!$N$2="VOL_CLASS",$U369,$V369)))</f>
      </c>
      <c r="AR369">
        <f>IF($A369="","",$AO369*IFERROR($AP369/$AQ369,0)*IFERROR($AE369/$AF369,0)*IFERROR($AC369/$AD369,0))</f>
      </c>
      <c r="AS369">
        <f>IF($A369="","",$A369&amp;"|"&amp;Allocation!BG369)</f>
      </c>
    </row>
    <row r="370" spans="1:45">
      <c r="A370">
        <f>IF(Allocation!BI370="","",Allocation!BI370)</f>
      </c>
      <c r="B370">
        <f>IF(Allocation!BJ370="","",Allocation!BJ370)</f>
      </c>
      <c r="C370">
        <f>IF(Allocation!BK370="","",Allocation!BK370)</f>
      </c>
      <c r="D370">
        <f>IF(Allocation!BL370="","",Allocation!BL370)</f>
      </c>
      <c r="E370">
        <f>IF(Allocation!BM370="","",Allocation!BM370)</f>
      </c>
      <c r="F370">
        <f>IF(Allocation!BN370="","",Allocation!BN370)</f>
      </c>
      <c r="G370">
        <f>IF(Allocation!BO370="","",Allocation!BO370)</f>
      </c>
      <c r="H370">
        <f>IF(Allocation!BP370="","",Allocation!BP370)</f>
      </c>
      <c r="I370">
        <f>IF(Allocation!BQ370="","",Allocation!BQ370)</f>
      </c>
      <c r="J370">
        <f>IF(Allocation!CC370="","",Allocation!CC370)</f>
      </c>
      <c r="K370">
        <f>IF($A370="","",$H370*IF(AND(LEFT($D370,3)="BAC",$F370="INIT"),600,IF(LEFT($D370,3)="BAC",480,IF(AND(LEFT($D370,3)="MAS",$F370="INIT"),520,IF(LEFT($D370,3)="MAS",420,IF($F370="INIT",1000,700))))))</f>
      </c>
      <c r="L370">
        <f>IF($A370="","",SUMIFS($G$1:$G$349,$AS$1:$AS$349,$AS370,$B$1:$B$349,$B370))</f>
      </c>
      <c r="M370">
        <f>IF($A370="","",SUMIFS($H$1:$H$349,$AS$1:$AS$349,$AS370,$B$1:$B$349,$B370))</f>
      </c>
      <c r="N370">
        <f>IF($A370="","",SUMIFS($I$1:$I$349,$AS$1:$AS$349,$AS370,$B$1:$B$349,$B370))</f>
      </c>
      <c r="O370">
        <f>IF($A370="","",SUMIFS($K$1:$K$349,$AS$1:$AS$349,$AS370,$B$1:$B$349,$B370))</f>
      </c>
      <c r="P370">
        <f>IF($A370="","",SUMIFS($J$1:$J$349,$AS$1:$AS$349,$AS370,$B$1:$B$349,$B370))</f>
      </c>
      <c r="Q370">
        <f>IF($A370="","",SUMIFS($G$1:$G$349,$AS$1:$AS$349,$AS370,$C$1:$C$349,$C370))</f>
      </c>
      <c r="R370">
        <f>IF($A370="","",SUMIFS($H$1:$H$349,$AS$1:$AS$349,$AS370,$C$1:$C$349,$C370))</f>
      </c>
      <c r="S370">
        <f>IF($A370="","",SUMIFS($I$1:$I$349,$AS$1:$AS$349,$AS370,$C$1:$C$349,$C370))</f>
      </c>
      <c r="T370">
        <f>IF($A370="","",SUMIFS($G$1:$G$349,$AS$1:$AS$349,$AS370))</f>
      </c>
      <c r="U370">
        <f>IF($A370="","",SUMIFS($H$1:$H$349,$AS$1:$AS$349,$AS370))</f>
      </c>
      <c r="V370">
        <f>IF($A370="","",SUMIFS($I$1:$I$349,$AS$1:$AS$349,$AS370))</f>
      </c>
      <c r="W370">
        <f>IF($A370="","",Allocation!CD370)</f>
      </c>
      <c r="X370">
        <f>IF($A370="","",Allocation!CE370)</f>
      </c>
      <c r="Y370">
        <f>IF($A370="","",Allocation!CF370)</f>
      </c>
      <c r="Z370">
        <f>IF($A370="","",Allocation!CG370)</f>
      </c>
      <c r="AA370">
        <f>IF($A370="","",Allocation!CH370)</f>
      </c>
      <c r="AB370">
        <f>IF($A370="","",Allocation!CI370)</f>
      </c>
      <c r="AC370">
        <f>IF($A370="","",IF(Allocation!$N$4="VOL_EFF",$G370,IF(Allocation!$N$4="VOL_CLASS",$H370,$I370)))</f>
      </c>
      <c r="AD370">
        <f>IF($A370="","",IF(Allocation!$N$4="VOL_EFF",$L370,IF(Allocation!$N$4="VOL_CLASS",$M370,$N370)))</f>
      </c>
      <c r="AE370">
        <f>IF($A370="","",IF(Allocation!$N$3="VOL_EFF",$L370,IF(Allocation!$N$3="VOL_CLASS",$M370,$N370)))</f>
      </c>
      <c r="AF370">
        <f>IF($A370="","",IF(Allocation!$N$3="VOL_EFF",$Q370,IF(Allocation!$N$3="VOL_CLASS",$R370,$S370)))</f>
      </c>
      <c r="AG370">
        <f>IF($A370="","",IF(Allocation!$N$1="VOL_EFF",$Q370,IF(Allocation!$N$1="VOL_CLASS",$R370,$S370)))</f>
      </c>
      <c r="AH370">
        <f>IF($A370="","",IF(Allocation!$N$1="VOL_EFF",$T370,IF(Allocation!$N$1="VOL_CLASS",$U370,$V370)))</f>
      </c>
      <c r="AI370">
        <f>IF($A370="","",$W370*IFERROR($K370/$O370,0))</f>
      </c>
      <c r="AJ370">
        <f>IF($A370="","",$X370*IFERROR($K370/$O370,0))</f>
      </c>
      <c r="AK370">
        <f>IF($A370="","",$Y370*IFERROR($G370/$L370,0)+$Z370*IFERROR($J370/$P370,0))</f>
      </c>
      <c r="AL370">
        <f>IF($A370="","",$AA370*IFERROR($AC370/$AD370,0))</f>
      </c>
      <c r="AM370">
        <f>IF($A370="","",$AB370*IFERROR($AG370/$AH370,0)*IFERROR($AE370/$AF370,0)*IFERROR($AC370/$AD370,0))</f>
      </c>
      <c r="AN370">
        <f>IF($A370="","",$I370-($AI370+$AJ370+$AK370+$AL370+$AM370+$AR370))</f>
      </c>
      <c r="AO370">
        <f>IF($A370="","",Allocation!CJ370)</f>
      </c>
      <c r="AP370">
        <f>IF($A370="","",IF(Allocation!$N$2="VOL_EFF",$Q370,IF(Allocation!$N$2="VOL_CLASS",$R370,$S370)))</f>
      </c>
      <c r="AQ370">
        <f>IF($A370="","",IF(Allocation!$N$2="VOL_EFF",$T370,IF(Allocation!$N$2="VOL_CLASS",$U370,$V370)))</f>
      </c>
      <c r="AR370">
        <f>IF($A370="","",$AO370*IFERROR($AP370/$AQ370,0)*IFERROR($AE370/$AF370,0)*IFERROR($AC370/$AD370,0))</f>
      </c>
      <c r="AS370">
        <f>IF($A370="","",$A370&amp;"|"&amp;Allocation!BG370)</f>
      </c>
    </row>
    <row r="371" spans="1:45">
      <c r="A371">
        <f>IF(Allocation!BI371="","",Allocation!BI371)</f>
      </c>
      <c r="B371">
        <f>IF(Allocation!BJ371="","",Allocation!BJ371)</f>
      </c>
      <c r="C371">
        <f>IF(Allocation!BK371="","",Allocation!BK371)</f>
      </c>
      <c r="D371">
        <f>IF(Allocation!BL371="","",Allocation!BL371)</f>
      </c>
      <c r="E371">
        <f>IF(Allocation!BM371="","",Allocation!BM371)</f>
      </c>
      <c r="F371">
        <f>IF(Allocation!BN371="","",Allocation!BN371)</f>
      </c>
      <c r="G371">
        <f>IF(Allocation!BO371="","",Allocation!BO371)</f>
      </c>
      <c r="H371">
        <f>IF(Allocation!BP371="","",Allocation!BP371)</f>
      </c>
      <c r="I371">
        <f>IF(Allocation!BQ371="","",Allocation!BQ371)</f>
      </c>
      <c r="J371">
        <f>IF(Allocation!CC371="","",Allocation!CC371)</f>
      </c>
      <c r="K371">
        <f>IF($A371="","",$H371*IF(AND(LEFT($D371,3)="BAC",$F371="INIT"),600,IF(LEFT($D371,3)="BAC",480,IF(AND(LEFT($D371,3)="MAS",$F371="INIT"),520,IF(LEFT($D371,3)="MAS",420,IF($F371="INIT",1000,700))))))</f>
      </c>
      <c r="L371">
        <f>IF($A371="","",SUMIFS($G$1:$G$349,$AS$1:$AS$349,$AS371,$B$1:$B$349,$B371))</f>
      </c>
      <c r="M371">
        <f>IF($A371="","",SUMIFS($H$1:$H$349,$AS$1:$AS$349,$AS371,$B$1:$B$349,$B371))</f>
      </c>
      <c r="N371">
        <f>IF($A371="","",SUMIFS($I$1:$I$349,$AS$1:$AS$349,$AS371,$B$1:$B$349,$B371))</f>
      </c>
      <c r="O371">
        <f>IF($A371="","",SUMIFS($K$1:$K$349,$AS$1:$AS$349,$AS371,$B$1:$B$349,$B371))</f>
      </c>
      <c r="P371">
        <f>IF($A371="","",SUMIFS($J$1:$J$349,$AS$1:$AS$349,$AS371,$B$1:$B$349,$B371))</f>
      </c>
      <c r="Q371">
        <f>IF($A371="","",SUMIFS($G$1:$G$349,$AS$1:$AS$349,$AS371,$C$1:$C$349,$C371))</f>
      </c>
      <c r="R371">
        <f>IF($A371="","",SUMIFS($H$1:$H$349,$AS$1:$AS$349,$AS371,$C$1:$C$349,$C371))</f>
      </c>
      <c r="S371">
        <f>IF($A371="","",SUMIFS($I$1:$I$349,$AS$1:$AS$349,$AS371,$C$1:$C$349,$C371))</f>
      </c>
      <c r="T371">
        <f>IF($A371="","",SUMIFS($G$1:$G$349,$AS$1:$AS$349,$AS371))</f>
      </c>
      <c r="U371">
        <f>IF($A371="","",SUMIFS($H$1:$H$349,$AS$1:$AS$349,$AS371))</f>
      </c>
      <c r="V371">
        <f>IF($A371="","",SUMIFS($I$1:$I$349,$AS$1:$AS$349,$AS371))</f>
      </c>
      <c r="W371">
        <f>IF($A371="","",Allocation!CD371)</f>
      </c>
      <c r="X371">
        <f>IF($A371="","",Allocation!CE371)</f>
      </c>
      <c r="Y371">
        <f>IF($A371="","",Allocation!CF371)</f>
      </c>
      <c r="Z371">
        <f>IF($A371="","",Allocation!CG371)</f>
      </c>
      <c r="AA371">
        <f>IF($A371="","",Allocation!CH371)</f>
      </c>
      <c r="AB371">
        <f>IF($A371="","",Allocation!CI371)</f>
      </c>
      <c r="AC371">
        <f>IF($A371="","",IF(Allocation!$N$4="VOL_EFF",$G371,IF(Allocation!$N$4="VOL_CLASS",$H371,$I371)))</f>
      </c>
      <c r="AD371">
        <f>IF($A371="","",IF(Allocation!$N$4="VOL_EFF",$L371,IF(Allocation!$N$4="VOL_CLASS",$M371,$N371)))</f>
      </c>
      <c r="AE371">
        <f>IF($A371="","",IF(Allocation!$N$3="VOL_EFF",$L371,IF(Allocation!$N$3="VOL_CLASS",$M371,$N371)))</f>
      </c>
      <c r="AF371">
        <f>IF($A371="","",IF(Allocation!$N$3="VOL_EFF",$Q371,IF(Allocation!$N$3="VOL_CLASS",$R371,$S371)))</f>
      </c>
      <c r="AG371">
        <f>IF($A371="","",IF(Allocation!$N$1="VOL_EFF",$Q371,IF(Allocation!$N$1="VOL_CLASS",$R371,$S371)))</f>
      </c>
      <c r="AH371">
        <f>IF($A371="","",IF(Allocation!$N$1="VOL_EFF",$T371,IF(Allocation!$N$1="VOL_CLASS",$U371,$V371)))</f>
      </c>
      <c r="AI371">
        <f>IF($A371="","",$W371*IFERROR($K371/$O371,0))</f>
      </c>
      <c r="AJ371">
        <f>IF($A371="","",$X371*IFERROR($K371/$O371,0))</f>
      </c>
      <c r="AK371">
        <f>IF($A371="","",$Y371*IFERROR($G371/$L371,0)+$Z371*IFERROR($J371/$P371,0))</f>
      </c>
      <c r="AL371">
        <f>IF($A371="","",$AA371*IFERROR($AC371/$AD371,0))</f>
      </c>
      <c r="AM371">
        <f>IF($A371="","",$AB371*IFERROR($AG371/$AH371,0)*IFERROR($AE371/$AF371,0)*IFERROR($AC371/$AD371,0))</f>
      </c>
      <c r="AN371">
        <f>IF($A371="","",$I371-($AI371+$AJ371+$AK371+$AL371+$AM371+$AR371))</f>
      </c>
      <c r="AO371">
        <f>IF($A371="","",Allocation!CJ371)</f>
      </c>
      <c r="AP371">
        <f>IF($A371="","",IF(Allocation!$N$2="VOL_EFF",$Q371,IF(Allocation!$N$2="VOL_CLASS",$R371,$S371)))</f>
      </c>
      <c r="AQ371">
        <f>IF($A371="","",IF(Allocation!$N$2="VOL_EFF",$T371,IF(Allocation!$N$2="VOL_CLASS",$U371,$V371)))</f>
      </c>
      <c r="AR371">
        <f>IF($A371="","",$AO371*IFERROR($AP371/$AQ371,0)*IFERROR($AE371/$AF371,0)*IFERROR($AC371/$AD371,0))</f>
      </c>
      <c r="AS371">
        <f>IF($A371="","",$A371&amp;"|"&amp;Allocation!BG371)</f>
      </c>
    </row>
    <row r="372" spans="1:45">
      <c r="A372">
        <f>IF(Allocation!BI372="","",Allocation!BI372)</f>
      </c>
      <c r="B372">
        <f>IF(Allocation!BJ372="","",Allocation!BJ372)</f>
      </c>
      <c r="C372">
        <f>IF(Allocation!BK372="","",Allocation!BK372)</f>
      </c>
      <c r="D372">
        <f>IF(Allocation!BL372="","",Allocation!BL372)</f>
      </c>
      <c r="E372">
        <f>IF(Allocation!BM372="","",Allocation!BM372)</f>
      </c>
      <c r="F372">
        <f>IF(Allocation!BN372="","",Allocation!BN372)</f>
      </c>
      <c r="G372">
        <f>IF(Allocation!BO372="","",Allocation!BO372)</f>
      </c>
      <c r="H372">
        <f>IF(Allocation!BP372="","",Allocation!BP372)</f>
      </c>
      <c r="I372">
        <f>IF(Allocation!BQ372="","",Allocation!BQ372)</f>
      </c>
      <c r="J372">
        <f>IF(Allocation!CC372="","",Allocation!CC372)</f>
      </c>
      <c r="K372">
        <f>IF($A372="","",$H372*IF(AND(LEFT($D372,3)="BAC",$F372="INIT"),600,IF(LEFT($D372,3)="BAC",480,IF(AND(LEFT($D372,3)="MAS",$F372="INIT"),520,IF(LEFT($D372,3)="MAS",420,IF($F372="INIT",1000,700))))))</f>
      </c>
      <c r="L372">
        <f>IF($A372="","",SUMIFS($G$1:$G$349,$AS$1:$AS$349,$AS372,$B$1:$B$349,$B372))</f>
      </c>
      <c r="M372">
        <f>IF($A372="","",SUMIFS($H$1:$H$349,$AS$1:$AS$349,$AS372,$B$1:$B$349,$B372))</f>
      </c>
      <c r="N372">
        <f>IF($A372="","",SUMIFS($I$1:$I$349,$AS$1:$AS$349,$AS372,$B$1:$B$349,$B372))</f>
      </c>
      <c r="O372">
        <f>IF($A372="","",SUMIFS($K$1:$K$349,$AS$1:$AS$349,$AS372,$B$1:$B$349,$B372))</f>
      </c>
      <c r="P372">
        <f>IF($A372="","",SUMIFS($J$1:$J$349,$AS$1:$AS$349,$AS372,$B$1:$B$349,$B372))</f>
      </c>
      <c r="Q372">
        <f>IF($A372="","",SUMIFS($G$1:$G$349,$AS$1:$AS$349,$AS372,$C$1:$C$349,$C372))</f>
      </c>
      <c r="R372">
        <f>IF($A372="","",SUMIFS($H$1:$H$349,$AS$1:$AS$349,$AS372,$C$1:$C$349,$C372))</f>
      </c>
      <c r="S372">
        <f>IF($A372="","",SUMIFS($I$1:$I$349,$AS$1:$AS$349,$AS372,$C$1:$C$349,$C372))</f>
      </c>
      <c r="T372">
        <f>IF($A372="","",SUMIFS($G$1:$G$349,$AS$1:$AS$349,$AS372))</f>
      </c>
      <c r="U372">
        <f>IF($A372="","",SUMIFS($H$1:$H$349,$AS$1:$AS$349,$AS372))</f>
      </c>
      <c r="V372">
        <f>IF($A372="","",SUMIFS($I$1:$I$349,$AS$1:$AS$349,$AS372))</f>
      </c>
      <c r="W372">
        <f>IF($A372="","",Allocation!CD372)</f>
      </c>
      <c r="X372">
        <f>IF($A372="","",Allocation!CE372)</f>
      </c>
      <c r="Y372">
        <f>IF($A372="","",Allocation!CF372)</f>
      </c>
      <c r="Z372">
        <f>IF($A372="","",Allocation!CG372)</f>
      </c>
      <c r="AA372">
        <f>IF($A372="","",Allocation!CH372)</f>
      </c>
      <c r="AB372">
        <f>IF($A372="","",Allocation!CI372)</f>
      </c>
      <c r="AC372">
        <f>IF($A372="","",IF(Allocation!$N$4="VOL_EFF",$G372,IF(Allocation!$N$4="VOL_CLASS",$H372,$I372)))</f>
      </c>
      <c r="AD372">
        <f>IF($A372="","",IF(Allocation!$N$4="VOL_EFF",$L372,IF(Allocation!$N$4="VOL_CLASS",$M372,$N372)))</f>
      </c>
      <c r="AE372">
        <f>IF($A372="","",IF(Allocation!$N$3="VOL_EFF",$L372,IF(Allocation!$N$3="VOL_CLASS",$M372,$N372)))</f>
      </c>
      <c r="AF372">
        <f>IF($A372="","",IF(Allocation!$N$3="VOL_EFF",$Q372,IF(Allocation!$N$3="VOL_CLASS",$R372,$S372)))</f>
      </c>
      <c r="AG372">
        <f>IF($A372="","",IF(Allocation!$N$1="VOL_EFF",$Q372,IF(Allocation!$N$1="VOL_CLASS",$R372,$S372)))</f>
      </c>
      <c r="AH372">
        <f>IF($A372="","",IF(Allocation!$N$1="VOL_EFF",$T372,IF(Allocation!$N$1="VOL_CLASS",$U372,$V372)))</f>
      </c>
      <c r="AI372">
        <f>IF($A372="","",$W372*IFERROR($K372/$O372,0))</f>
      </c>
      <c r="AJ372">
        <f>IF($A372="","",$X372*IFERROR($K372/$O372,0))</f>
      </c>
      <c r="AK372">
        <f>IF($A372="","",$Y372*IFERROR($G372/$L372,0)+$Z372*IFERROR($J372/$P372,0))</f>
      </c>
      <c r="AL372">
        <f>IF($A372="","",$AA372*IFERROR($AC372/$AD372,0))</f>
      </c>
      <c r="AM372">
        <f>IF($A372="","",$AB372*IFERROR($AG372/$AH372,0)*IFERROR($AE372/$AF372,0)*IFERROR($AC372/$AD372,0))</f>
      </c>
      <c r="AN372">
        <f>IF($A372="","",$I372-($AI372+$AJ372+$AK372+$AL372+$AM372+$AR372))</f>
      </c>
      <c r="AO372">
        <f>IF($A372="","",Allocation!CJ372)</f>
      </c>
      <c r="AP372">
        <f>IF($A372="","",IF(Allocation!$N$2="VOL_EFF",$Q372,IF(Allocation!$N$2="VOL_CLASS",$R372,$S372)))</f>
      </c>
      <c r="AQ372">
        <f>IF($A372="","",IF(Allocation!$N$2="VOL_EFF",$T372,IF(Allocation!$N$2="VOL_CLASS",$U372,$V372)))</f>
      </c>
      <c r="AR372">
        <f>IF($A372="","",$AO372*IFERROR($AP372/$AQ372,0)*IFERROR($AE372/$AF372,0)*IFERROR($AC372/$AD372,0))</f>
      </c>
      <c r="AS372">
        <f>IF($A372="","",$A372&amp;"|"&amp;Allocation!BG372)</f>
      </c>
    </row>
    <row r="373" spans="1:45">
      <c r="A373">
        <f>IF(Allocation!BI373="","",Allocation!BI373)</f>
      </c>
      <c r="B373">
        <f>IF(Allocation!BJ373="","",Allocation!BJ373)</f>
      </c>
      <c r="C373">
        <f>IF(Allocation!BK373="","",Allocation!BK373)</f>
      </c>
      <c r="D373">
        <f>IF(Allocation!BL373="","",Allocation!BL373)</f>
      </c>
      <c r="E373">
        <f>IF(Allocation!BM373="","",Allocation!BM373)</f>
      </c>
      <c r="F373">
        <f>IF(Allocation!BN373="","",Allocation!BN373)</f>
      </c>
      <c r="G373">
        <f>IF(Allocation!BO373="","",Allocation!BO373)</f>
      </c>
      <c r="H373">
        <f>IF(Allocation!BP373="","",Allocation!BP373)</f>
      </c>
      <c r="I373">
        <f>IF(Allocation!BQ373="","",Allocation!BQ373)</f>
      </c>
      <c r="J373">
        <f>IF(Allocation!CC373="","",Allocation!CC373)</f>
      </c>
      <c r="K373">
        <f>IF($A373="","",$H373*IF(AND(LEFT($D373,3)="BAC",$F373="INIT"),600,IF(LEFT($D373,3)="BAC",480,IF(AND(LEFT($D373,3)="MAS",$F373="INIT"),520,IF(LEFT($D373,3)="MAS",420,IF($F373="INIT",1000,700))))))</f>
      </c>
      <c r="L373">
        <f>IF($A373="","",SUMIFS($G$1:$G$349,$AS$1:$AS$349,$AS373,$B$1:$B$349,$B373))</f>
      </c>
      <c r="M373">
        <f>IF($A373="","",SUMIFS($H$1:$H$349,$AS$1:$AS$349,$AS373,$B$1:$B$349,$B373))</f>
      </c>
      <c r="N373">
        <f>IF($A373="","",SUMIFS($I$1:$I$349,$AS$1:$AS$349,$AS373,$B$1:$B$349,$B373))</f>
      </c>
      <c r="O373">
        <f>IF($A373="","",SUMIFS($K$1:$K$349,$AS$1:$AS$349,$AS373,$B$1:$B$349,$B373))</f>
      </c>
      <c r="P373">
        <f>IF($A373="","",SUMIFS($J$1:$J$349,$AS$1:$AS$349,$AS373,$B$1:$B$349,$B373))</f>
      </c>
      <c r="Q373">
        <f>IF($A373="","",SUMIFS($G$1:$G$349,$AS$1:$AS$349,$AS373,$C$1:$C$349,$C373))</f>
      </c>
      <c r="R373">
        <f>IF($A373="","",SUMIFS($H$1:$H$349,$AS$1:$AS$349,$AS373,$C$1:$C$349,$C373))</f>
      </c>
      <c r="S373">
        <f>IF($A373="","",SUMIFS($I$1:$I$349,$AS$1:$AS$349,$AS373,$C$1:$C$349,$C373))</f>
      </c>
      <c r="T373">
        <f>IF($A373="","",SUMIFS($G$1:$G$349,$AS$1:$AS$349,$AS373))</f>
      </c>
      <c r="U373">
        <f>IF($A373="","",SUMIFS($H$1:$H$349,$AS$1:$AS$349,$AS373))</f>
      </c>
      <c r="V373">
        <f>IF($A373="","",SUMIFS($I$1:$I$349,$AS$1:$AS$349,$AS373))</f>
      </c>
      <c r="W373">
        <f>IF($A373="","",Allocation!CD373)</f>
      </c>
      <c r="X373">
        <f>IF($A373="","",Allocation!CE373)</f>
      </c>
      <c r="Y373">
        <f>IF($A373="","",Allocation!CF373)</f>
      </c>
      <c r="Z373">
        <f>IF($A373="","",Allocation!CG373)</f>
      </c>
      <c r="AA373">
        <f>IF($A373="","",Allocation!CH373)</f>
      </c>
      <c r="AB373">
        <f>IF($A373="","",Allocation!CI373)</f>
      </c>
      <c r="AC373">
        <f>IF($A373="","",IF(Allocation!$N$4="VOL_EFF",$G373,IF(Allocation!$N$4="VOL_CLASS",$H373,$I373)))</f>
      </c>
      <c r="AD373">
        <f>IF($A373="","",IF(Allocation!$N$4="VOL_EFF",$L373,IF(Allocation!$N$4="VOL_CLASS",$M373,$N373)))</f>
      </c>
      <c r="AE373">
        <f>IF($A373="","",IF(Allocation!$N$3="VOL_EFF",$L373,IF(Allocation!$N$3="VOL_CLASS",$M373,$N373)))</f>
      </c>
      <c r="AF373">
        <f>IF($A373="","",IF(Allocation!$N$3="VOL_EFF",$Q373,IF(Allocation!$N$3="VOL_CLASS",$R373,$S373)))</f>
      </c>
      <c r="AG373">
        <f>IF($A373="","",IF(Allocation!$N$1="VOL_EFF",$Q373,IF(Allocation!$N$1="VOL_CLASS",$R373,$S373)))</f>
      </c>
      <c r="AH373">
        <f>IF($A373="","",IF(Allocation!$N$1="VOL_EFF",$T373,IF(Allocation!$N$1="VOL_CLASS",$U373,$V373)))</f>
      </c>
      <c r="AI373">
        <f>IF($A373="","",$W373*IFERROR($K373/$O373,0))</f>
      </c>
      <c r="AJ373">
        <f>IF($A373="","",$X373*IFERROR($K373/$O373,0))</f>
      </c>
      <c r="AK373">
        <f>IF($A373="","",$Y373*IFERROR($G373/$L373,0)+$Z373*IFERROR($J373/$P373,0))</f>
      </c>
      <c r="AL373">
        <f>IF($A373="","",$AA373*IFERROR($AC373/$AD373,0))</f>
      </c>
      <c r="AM373">
        <f>IF($A373="","",$AB373*IFERROR($AG373/$AH373,0)*IFERROR($AE373/$AF373,0)*IFERROR($AC373/$AD373,0))</f>
      </c>
      <c r="AN373">
        <f>IF($A373="","",$I373-($AI373+$AJ373+$AK373+$AL373+$AM373+$AR373))</f>
      </c>
      <c r="AO373">
        <f>IF($A373="","",Allocation!CJ373)</f>
      </c>
      <c r="AP373">
        <f>IF($A373="","",IF(Allocation!$N$2="VOL_EFF",$Q373,IF(Allocation!$N$2="VOL_CLASS",$R373,$S373)))</f>
      </c>
      <c r="AQ373">
        <f>IF($A373="","",IF(Allocation!$N$2="VOL_EFF",$T373,IF(Allocation!$N$2="VOL_CLASS",$U373,$V373)))</f>
      </c>
      <c r="AR373">
        <f>IF($A373="","",$AO373*IFERROR($AP373/$AQ373,0)*IFERROR($AE373/$AF373,0)*IFERROR($AC373/$AD373,0))</f>
      </c>
      <c r="AS373">
        <f>IF($A373="","",$A373&amp;"|"&amp;Allocation!BG373)</f>
      </c>
    </row>
    <row r="374" spans="1:45">
      <c r="A374">
        <f>IF(Allocation!BI374="","",Allocation!BI374)</f>
      </c>
      <c r="B374">
        <f>IF(Allocation!BJ374="","",Allocation!BJ374)</f>
      </c>
      <c r="C374">
        <f>IF(Allocation!BK374="","",Allocation!BK374)</f>
      </c>
      <c r="D374">
        <f>IF(Allocation!BL374="","",Allocation!BL374)</f>
      </c>
      <c r="E374">
        <f>IF(Allocation!BM374="","",Allocation!BM374)</f>
      </c>
      <c r="F374">
        <f>IF(Allocation!BN374="","",Allocation!BN374)</f>
      </c>
      <c r="G374">
        <f>IF(Allocation!BO374="","",Allocation!BO374)</f>
      </c>
      <c r="H374">
        <f>IF(Allocation!BP374="","",Allocation!BP374)</f>
      </c>
      <c r="I374">
        <f>IF(Allocation!BQ374="","",Allocation!BQ374)</f>
      </c>
      <c r="J374">
        <f>IF(Allocation!CC374="","",Allocation!CC374)</f>
      </c>
      <c r="K374">
        <f>IF($A374="","",$H374*IF(AND(LEFT($D374,3)="BAC",$F374="INIT"),600,IF(LEFT($D374,3)="BAC",480,IF(AND(LEFT($D374,3)="MAS",$F374="INIT"),520,IF(LEFT($D374,3)="MAS",420,IF($F374="INIT",1000,700))))))</f>
      </c>
      <c r="L374">
        <f>IF($A374="","",SUMIFS($G$1:$G$349,$AS$1:$AS$349,$AS374,$B$1:$B$349,$B374))</f>
      </c>
      <c r="M374">
        <f>IF($A374="","",SUMIFS($H$1:$H$349,$AS$1:$AS$349,$AS374,$B$1:$B$349,$B374))</f>
      </c>
      <c r="N374">
        <f>IF($A374="","",SUMIFS($I$1:$I$349,$AS$1:$AS$349,$AS374,$B$1:$B$349,$B374))</f>
      </c>
      <c r="O374">
        <f>IF($A374="","",SUMIFS($K$1:$K$349,$AS$1:$AS$349,$AS374,$B$1:$B$349,$B374))</f>
      </c>
      <c r="P374">
        <f>IF($A374="","",SUMIFS($J$1:$J$349,$AS$1:$AS$349,$AS374,$B$1:$B$349,$B374))</f>
      </c>
      <c r="Q374">
        <f>IF($A374="","",SUMIFS($G$1:$G$349,$AS$1:$AS$349,$AS374,$C$1:$C$349,$C374))</f>
      </c>
      <c r="R374">
        <f>IF($A374="","",SUMIFS($H$1:$H$349,$AS$1:$AS$349,$AS374,$C$1:$C$349,$C374))</f>
      </c>
      <c r="S374">
        <f>IF($A374="","",SUMIFS($I$1:$I$349,$AS$1:$AS$349,$AS374,$C$1:$C$349,$C374))</f>
      </c>
      <c r="T374">
        <f>IF($A374="","",SUMIFS($G$1:$G$349,$AS$1:$AS$349,$AS374))</f>
      </c>
      <c r="U374">
        <f>IF($A374="","",SUMIFS($H$1:$H$349,$AS$1:$AS$349,$AS374))</f>
      </c>
      <c r="V374">
        <f>IF($A374="","",SUMIFS($I$1:$I$349,$AS$1:$AS$349,$AS374))</f>
      </c>
      <c r="W374">
        <f>IF($A374="","",Allocation!CD374)</f>
      </c>
      <c r="X374">
        <f>IF($A374="","",Allocation!CE374)</f>
      </c>
      <c r="Y374">
        <f>IF($A374="","",Allocation!CF374)</f>
      </c>
      <c r="Z374">
        <f>IF($A374="","",Allocation!CG374)</f>
      </c>
      <c r="AA374">
        <f>IF($A374="","",Allocation!CH374)</f>
      </c>
      <c r="AB374">
        <f>IF($A374="","",Allocation!CI374)</f>
      </c>
      <c r="AC374">
        <f>IF($A374="","",IF(Allocation!$N$4="VOL_EFF",$G374,IF(Allocation!$N$4="VOL_CLASS",$H374,$I374)))</f>
      </c>
      <c r="AD374">
        <f>IF($A374="","",IF(Allocation!$N$4="VOL_EFF",$L374,IF(Allocation!$N$4="VOL_CLASS",$M374,$N374)))</f>
      </c>
      <c r="AE374">
        <f>IF($A374="","",IF(Allocation!$N$3="VOL_EFF",$L374,IF(Allocation!$N$3="VOL_CLASS",$M374,$N374)))</f>
      </c>
      <c r="AF374">
        <f>IF($A374="","",IF(Allocation!$N$3="VOL_EFF",$Q374,IF(Allocation!$N$3="VOL_CLASS",$R374,$S374)))</f>
      </c>
      <c r="AG374">
        <f>IF($A374="","",IF(Allocation!$N$1="VOL_EFF",$Q374,IF(Allocation!$N$1="VOL_CLASS",$R374,$S374)))</f>
      </c>
      <c r="AH374">
        <f>IF($A374="","",IF(Allocation!$N$1="VOL_EFF",$T374,IF(Allocation!$N$1="VOL_CLASS",$U374,$V374)))</f>
      </c>
      <c r="AI374">
        <f>IF($A374="","",$W374*IFERROR($K374/$O374,0))</f>
      </c>
      <c r="AJ374">
        <f>IF($A374="","",$X374*IFERROR($K374/$O374,0))</f>
      </c>
      <c r="AK374">
        <f>IF($A374="","",$Y374*IFERROR($G374/$L374,0)+$Z374*IFERROR($J374/$P374,0))</f>
      </c>
      <c r="AL374">
        <f>IF($A374="","",$AA374*IFERROR($AC374/$AD374,0))</f>
      </c>
      <c r="AM374">
        <f>IF($A374="","",$AB374*IFERROR($AG374/$AH374,0)*IFERROR($AE374/$AF374,0)*IFERROR($AC374/$AD374,0))</f>
      </c>
      <c r="AN374">
        <f>IF($A374="","",$I374-($AI374+$AJ374+$AK374+$AL374+$AM374+$AR374))</f>
      </c>
      <c r="AO374">
        <f>IF($A374="","",Allocation!CJ374)</f>
      </c>
      <c r="AP374">
        <f>IF($A374="","",IF(Allocation!$N$2="VOL_EFF",$Q374,IF(Allocation!$N$2="VOL_CLASS",$R374,$S374)))</f>
      </c>
      <c r="AQ374">
        <f>IF($A374="","",IF(Allocation!$N$2="VOL_EFF",$T374,IF(Allocation!$N$2="VOL_CLASS",$U374,$V374)))</f>
      </c>
      <c r="AR374">
        <f>IF($A374="","",$AO374*IFERROR($AP374/$AQ374,0)*IFERROR($AE374/$AF374,0)*IFERROR($AC374/$AD374,0))</f>
      </c>
      <c r="AS374">
        <f>IF($A374="","",$A374&amp;"|"&amp;Allocation!BG374)</f>
      </c>
    </row>
    <row r="375" spans="1:45">
      <c r="A375">
        <f>IF(Allocation!BI375="","",Allocation!BI375)</f>
      </c>
      <c r="B375">
        <f>IF(Allocation!BJ375="","",Allocation!BJ375)</f>
      </c>
      <c r="C375">
        <f>IF(Allocation!BK375="","",Allocation!BK375)</f>
      </c>
      <c r="D375">
        <f>IF(Allocation!BL375="","",Allocation!BL375)</f>
      </c>
      <c r="E375">
        <f>IF(Allocation!BM375="","",Allocation!BM375)</f>
      </c>
      <c r="F375">
        <f>IF(Allocation!BN375="","",Allocation!BN375)</f>
      </c>
      <c r="G375">
        <f>IF(Allocation!BO375="","",Allocation!BO375)</f>
      </c>
      <c r="H375">
        <f>IF(Allocation!BP375="","",Allocation!BP375)</f>
      </c>
      <c r="I375">
        <f>IF(Allocation!BQ375="","",Allocation!BQ375)</f>
      </c>
      <c r="J375">
        <f>IF(Allocation!CC375="","",Allocation!CC375)</f>
      </c>
      <c r="K375">
        <f>IF($A375="","",$H375*IF(AND(LEFT($D375,3)="BAC",$F375="INIT"),600,IF(LEFT($D375,3)="BAC",480,IF(AND(LEFT($D375,3)="MAS",$F375="INIT"),520,IF(LEFT($D375,3)="MAS",420,IF($F375="INIT",1000,700))))))</f>
      </c>
      <c r="L375">
        <f>IF($A375="","",SUMIFS($G$1:$G$349,$AS$1:$AS$349,$AS375,$B$1:$B$349,$B375))</f>
      </c>
      <c r="M375">
        <f>IF($A375="","",SUMIFS($H$1:$H$349,$AS$1:$AS$349,$AS375,$B$1:$B$349,$B375))</f>
      </c>
      <c r="N375">
        <f>IF($A375="","",SUMIFS($I$1:$I$349,$AS$1:$AS$349,$AS375,$B$1:$B$349,$B375))</f>
      </c>
      <c r="O375">
        <f>IF($A375="","",SUMIFS($K$1:$K$349,$AS$1:$AS$349,$AS375,$B$1:$B$349,$B375))</f>
      </c>
      <c r="P375">
        <f>IF($A375="","",SUMIFS($J$1:$J$349,$AS$1:$AS$349,$AS375,$B$1:$B$349,$B375))</f>
      </c>
      <c r="Q375">
        <f>IF($A375="","",SUMIFS($G$1:$G$349,$AS$1:$AS$349,$AS375,$C$1:$C$349,$C375))</f>
      </c>
      <c r="R375">
        <f>IF($A375="","",SUMIFS($H$1:$H$349,$AS$1:$AS$349,$AS375,$C$1:$C$349,$C375))</f>
      </c>
      <c r="S375">
        <f>IF($A375="","",SUMIFS($I$1:$I$349,$AS$1:$AS$349,$AS375,$C$1:$C$349,$C375))</f>
      </c>
      <c r="T375">
        <f>IF($A375="","",SUMIFS($G$1:$G$349,$AS$1:$AS$349,$AS375))</f>
      </c>
      <c r="U375">
        <f>IF($A375="","",SUMIFS($H$1:$H$349,$AS$1:$AS$349,$AS375))</f>
      </c>
      <c r="V375">
        <f>IF($A375="","",SUMIFS($I$1:$I$349,$AS$1:$AS$349,$AS375))</f>
      </c>
      <c r="W375">
        <f>IF($A375="","",Allocation!CD375)</f>
      </c>
      <c r="X375">
        <f>IF($A375="","",Allocation!CE375)</f>
      </c>
      <c r="Y375">
        <f>IF($A375="","",Allocation!CF375)</f>
      </c>
      <c r="Z375">
        <f>IF($A375="","",Allocation!CG375)</f>
      </c>
      <c r="AA375">
        <f>IF($A375="","",Allocation!CH375)</f>
      </c>
      <c r="AB375">
        <f>IF($A375="","",Allocation!CI375)</f>
      </c>
      <c r="AC375">
        <f>IF($A375="","",IF(Allocation!$N$4="VOL_EFF",$G375,IF(Allocation!$N$4="VOL_CLASS",$H375,$I375)))</f>
      </c>
      <c r="AD375">
        <f>IF($A375="","",IF(Allocation!$N$4="VOL_EFF",$L375,IF(Allocation!$N$4="VOL_CLASS",$M375,$N375)))</f>
      </c>
      <c r="AE375">
        <f>IF($A375="","",IF(Allocation!$N$3="VOL_EFF",$L375,IF(Allocation!$N$3="VOL_CLASS",$M375,$N375)))</f>
      </c>
      <c r="AF375">
        <f>IF($A375="","",IF(Allocation!$N$3="VOL_EFF",$Q375,IF(Allocation!$N$3="VOL_CLASS",$R375,$S375)))</f>
      </c>
      <c r="AG375">
        <f>IF($A375="","",IF(Allocation!$N$1="VOL_EFF",$Q375,IF(Allocation!$N$1="VOL_CLASS",$R375,$S375)))</f>
      </c>
      <c r="AH375">
        <f>IF($A375="","",IF(Allocation!$N$1="VOL_EFF",$T375,IF(Allocation!$N$1="VOL_CLASS",$U375,$V375)))</f>
      </c>
      <c r="AI375">
        <f>IF($A375="","",$W375*IFERROR($K375/$O375,0))</f>
      </c>
      <c r="AJ375">
        <f>IF($A375="","",$X375*IFERROR($K375/$O375,0))</f>
      </c>
      <c r="AK375">
        <f>IF($A375="","",$Y375*IFERROR($G375/$L375,0)+$Z375*IFERROR($J375/$P375,0))</f>
      </c>
      <c r="AL375">
        <f>IF($A375="","",$AA375*IFERROR($AC375/$AD375,0))</f>
      </c>
      <c r="AM375">
        <f>IF($A375="","",$AB375*IFERROR($AG375/$AH375,0)*IFERROR($AE375/$AF375,0)*IFERROR($AC375/$AD375,0))</f>
      </c>
      <c r="AN375">
        <f>IF($A375="","",$I375-($AI375+$AJ375+$AK375+$AL375+$AM375+$AR375))</f>
      </c>
      <c r="AO375">
        <f>IF($A375="","",Allocation!CJ375)</f>
      </c>
      <c r="AP375">
        <f>IF($A375="","",IF(Allocation!$N$2="VOL_EFF",$Q375,IF(Allocation!$N$2="VOL_CLASS",$R375,$S375)))</f>
      </c>
      <c r="AQ375">
        <f>IF($A375="","",IF(Allocation!$N$2="VOL_EFF",$T375,IF(Allocation!$N$2="VOL_CLASS",$U375,$V375)))</f>
      </c>
      <c r="AR375">
        <f>IF($A375="","",$AO375*IFERROR($AP375/$AQ375,0)*IFERROR($AE375/$AF375,0)*IFERROR($AC375/$AD375,0))</f>
      </c>
      <c r="AS375">
        <f>IF($A375="","",$A375&amp;"|"&amp;Allocation!BG375)</f>
      </c>
    </row>
    <row r="376" spans="1:45">
      <c r="A376">
        <f>IF(Allocation!BI376="","",Allocation!BI376)</f>
      </c>
      <c r="B376">
        <f>IF(Allocation!BJ376="","",Allocation!BJ376)</f>
      </c>
      <c r="C376">
        <f>IF(Allocation!BK376="","",Allocation!BK376)</f>
      </c>
      <c r="D376">
        <f>IF(Allocation!BL376="","",Allocation!BL376)</f>
      </c>
      <c r="E376">
        <f>IF(Allocation!BM376="","",Allocation!BM376)</f>
      </c>
      <c r="F376">
        <f>IF(Allocation!BN376="","",Allocation!BN376)</f>
      </c>
      <c r="G376">
        <f>IF(Allocation!BO376="","",Allocation!BO376)</f>
      </c>
      <c r="H376">
        <f>IF(Allocation!BP376="","",Allocation!BP376)</f>
      </c>
      <c r="I376">
        <f>IF(Allocation!BQ376="","",Allocation!BQ376)</f>
      </c>
      <c r="J376">
        <f>IF(Allocation!CC376="","",Allocation!CC376)</f>
      </c>
      <c r="K376">
        <f>IF($A376="","",$H376*IF(AND(LEFT($D376,3)="BAC",$F376="INIT"),600,IF(LEFT($D376,3)="BAC",480,IF(AND(LEFT($D376,3)="MAS",$F376="INIT"),520,IF(LEFT($D376,3)="MAS",420,IF($F376="INIT",1000,700))))))</f>
      </c>
      <c r="L376">
        <f>IF($A376="","",SUMIFS($G$1:$G$349,$AS$1:$AS$349,$AS376,$B$1:$B$349,$B376))</f>
      </c>
      <c r="M376">
        <f>IF($A376="","",SUMIFS($H$1:$H$349,$AS$1:$AS$349,$AS376,$B$1:$B$349,$B376))</f>
      </c>
      <c r="N376">
        <f>IF($A376="","",SUMIFS($I$1:$I$349,$AS$1:$AS$349,$AS376,$B$1:$B$349,$B376))</f>
      </c>
      <c r="O376">
        <f>IF($A376="","",SUMIFS($K$1:$K$349,$AS$1:$AS$349,$AS376,$B$1:$B$349,$B376))</f>
      </c>
      <c r="P376">
        <f>IF($A376="","",SUMIFS($J$1:$J$349,$AS$1:$AS$349,$AS376,$B$1:$B$349,$B376))</f>
      </c>
      <c r="Q376">
        <f>IF($A376="","",SUMIFS($G$1:$G$349,$AS$1:$AS$349,$AS376,$C$1:$C$349,$C376))</f>
      </c>
      <c r="R376">
        <f>IF($A376="","",SUMIFS($H$1:$H$349,$AS$1:$AS$349,$AS376,$C$1:$C$349,$C376))</f>
      </c>
      <c r="S376">
        <f>IF($A376="","",SUMIFS($I$1:$I$349,$AS$1:$AS$349,$AS376,$C$1:$C$349,$C376))</f>
      </c>
      <c r="T376">
        <f>IF($A376="","",SUMIFS($G$1:$G$349,$AS$1:$AS$349,$AS376))</f>
      </c>
      <c r="U376">
        <f>IF($A376="","",SUMIFS($H$1:$H$349,$AS$1:$AS$349,$AS376))</f>
      </c>
      <c r="V376">
        <f>IF($A376="","",SUMIFS($I$1:$I$349,$AS$1:$AS$349,$AS376))</f>
      </c>
      <c r="W376">
        <f>IF($A376="","",Allocation!CD376)</f>
      </c>
      <c r="X376">
        <f>IF($A376="","",Allocation!CE376)</f>
      </c>
      <c r="Y376">
        <f>IF($A376="","",Allocation!CF376)</f>
      </c>
      <c r="Z376">
        <f>IF($A376="","",Allocation!CG376)</f>
      </c>
      <c r="AA376">
        <f>IF($A376="","",Allocation!CH376)</f>
      </c>
      <c r="AB376">
        <f>IF($A376="","",Allocation!CI376)</f>
      </c>
      <c r="AC376">
        <f>IF($A376="","",IF(Allocation!$N$4="VOL_EFF",$G376,IF(Allocation!$N$4="VOL_CLASS",$H376,$I376)))</f>
      </c>
      <c r="AD376">
        <f>IF($A376="","",IF(Allocation!$N$4="VOL_EFF",$L376,IF(Allocation!$N$4="VOL_CLASS",$M376,$N376)))</f>
      </c>
      <c r="AE376">
        <f>IF($A376="","",IF(Allocation!$N$3="VOL_EFF",$L376,IF(Allocation!$N$3="VOL_CLASS",$M376,$N376)))</f>
      </c>
      <c r="AF376">
        <f>IF($A376="","",IF(Allocation!$N$3="VOL_EFF",$Q376,IF(Allocation!$N$3="VOL_CLASS",$R376,$S376)))</f>
      </c>
      <c r="AG376">
        <f>IF($A376="","",IF(Allocation!$N$1="VOL_EFF",$Q376,IF(Allocation!$N$1="VOL_CLASS",$R376,$S376)))</f>
      </c>
      <c r="AH376">
        <f>IF($A376="","",IF(Allocation!$N$1="VOL_EFF",$T376,IF(Allocation!$N$1="VOL_CLASS",$U376,$V376)))</f>
      </c>
      <c r="AI376">
        <f>IF($A376="","",$W376*IFERROR($K376/$O376,0))</f>
      </c>
      <c r="AJ376">
        <f>IF($A376="","",$X376*IFERROR($K376/$O376,0))</f>
      </c>
      <c r="AK376">
        <f>IF($A376="","",$Y376*IFERROR($G376/$L376,0)+$Z376*IFERROR($J376/$P376,0))</f>
      </c>
      <c r="AL376">
        <f>IF($A376="","",$AA376*IFERROR($AC376/$AD376,0))</f>
      </c>
      <c r="AM376">
        <f>IF($A376="","",$AB376*IFERROR($AG376/$AH376,0)*IFERROR($AE376/$AF376,0)*IFERROR($AC376/$AD376,0))</f>
      </c>
      <c r="AN376">
        <f>IF($A376="","",$I376-($AI376+$AJ376+$AK376+$AL376+$AM376+$AR376))</f>
      </c>
      <c r="AO376">
        <f>IF($A376="","",Allocation!CJ376)</f>
      </c>
      <c r="AP376">
        <f>IF($A376="","",IF(Allocation!$N$2="VOL_EFF",$Q376,IF(Allocation!$N$2="VOL_CLASS",$R376,$S376)))</f>
      </c>
      <c r="AQ376">
        <f>IF($A376="","",IF(Allocation!$N$2="VOL_EFF",$T376,IF(Allocation!$N$2="VOL_CLASS",$U376,$V376)))</f>
      </c>
      <c r="AR376">
        <f>IF($A376="","",$AO376*IFERROR($AP376/$AQ376,0)*IFERROR($AE376/$AF376,0)*IFERROR($AC376/$AD376,0))</f>
      </c>
      <c r="AS376">
        <f>IF($A376="","",$A376&amp;"|"&amp;Allocation!BG376)</f>
      </c>
    </row>
    <row r="377" spans="1:45">
      <c r="A377">
        <f>IF(Allocation!BI377="","",Allocation!BI377)</f>
      </c>
      <c r="B377">
        <f>IF(Allocation!BJ377="","",Allocation!BJ377)</f>
      </c>
      <c r="C377">
        <f>IF(Allocation!BK377="","",Allocation!BK377)</f>
      </c>
      <c r="D377">
        <f>IF(Allocation!BL377="","",Allocation!BL377)</f>
      </c>
      <c r="E377">
        <f>IF(Allocation!BM377="","",Allocation!BM377)</f>
      </c>
      <c r="F377">
        <f>IF(Allocation!BN377="","",Allocation!BN377)</f>
      </c>
      <c r="G377">
        <f>IF(Allocation!BO377="","",Allocation!BO377)</f>
      </c>
      <c r="H377">
        <f>IF(Allocation!BP377="","",Allocation!BP377)</f>
      </c>
      <c r="I377">
        <f>IF(Allocation!BQ377="","",Allocation!BQ377)</f>
      </c>
      <c r="J377">
        <f>IF(Allocation!CC377="","",Allocation!CC377)</f>
      </c>
      <c r="K377">
        <f>IF($A377="","",$H377*IF(AND(LEFT($D377,3)="BAC",$F377="INIT"),600,IF(LEFT($D377,3)="BAC",480,IF(AND(LEFT($D377,3)="MAS",$F377="INIT"),520,IF(LEFT($D377,3)="MAS",420,IF($F377="INIT",1000,700))))))</f>
      </c>
      <c r="L377">
        <f>IF($A377="","",SUMIFS($G$1:$G$349,$AS$1:$AS$349,$AS377,$B$1:$B$349,$B377))</f>
      </c>
      <c r="M377">
        <f>IF($A377="","",SUMIFS($H$1:$H$349,$AS$1:$AS$349,$AS377,$B$1:$B$349,$B377))</f>
      </c>
      <c r="N377">
        <f>IF($A377="","",SUMIFS($I$1:$I$349,$AS$1:$AS$349,$AS377,$B$1:$B$349,$B377))</f>
      </c>
      <c r="O377">
        <f>IF($A377="","",SUMIFS($K$1:$K$349,$AS$1:$AS$349,$AS377,$B$1:$B$349,$B377))</f>
      </c>
      <c r="P377">
        <f>IF($A377="","",SUMIFS($J$1:$J$349,$AS$1:$AS$349,$AS377,$B$1:$B$349,$B377))</f>
      </c>
      <c r="Q377">
        <f>IF($A377="","",SUMIFS($G$1:$G$349,$AS$1:$AS$349,$AS377,$C$1:$C$349,$C377))</f>
      </c>
      <c r="R377">
        <f>IF($A377="","",SUMIFS($H$1:$H$349,$AS$1:$AS$349,$AS377,$C$1:$C$349,$C377))</f>
      </c>
      <c r="S377">
        <f>IF($A377="","",SUMIFS($I$1:$I$349,$AS$1:$AS$349,$AS377,$C$1:$C$349,$C377))</f>
      </c>
      <c r="T377">
        <f>IF($A377="","",SUMIFS($G$1:$G$349,$AS$1:$AS$349,$AS377))</f>
      </c>
      <c r="U377">
        <f>IF($A377="","",SUMIFS($H$1:$H$349,$AS$1:$AS$349,$AS377))</f>
      </c>
      <c r="V377">
        <f>IF($A377="","",SUMIFS($I$1:$I$349,$AS$1:$AS$349,$AS377))</f>
      </c>
      <c r="W377">
        <f>IF($A377="","",Allocation!CD377)</f>
      </c>
      <c r="X377">
        <f>IF($A377="","",Allocation!CE377)</f>
      </c>
      <c r="Y377">
        <f>IF($A377="","",Allocation!CF377)</f>
      </c>
      <c r="Z377">
        <f>IF($A377="","",Allocation!CG377)</f>
      </c>
      <c r="AA377">
        <f>IF($A377="","",Allocation!CH377)</f>
      </c>
      <c r="AB377">
        <f>IF($A377="","",Allocation!CI377)</f>
      </c>
      <c r="AC377">
        <f>IF($A377="","",IF(Allocation!$N$4="VOL_EFF",$G377,IF(Allocation!$N$4="VOL_CLASS",$H377,$I377)))</f>
      </c>
      <c r="AD377">
        <f>IF($A377="","",IF(Allocation!$N$4="VOL_EFF",$L377,IF(Allocation!$N$4="VOL_CLASS",$M377,$N377)))</f>
      </c>
      <c r="AE377">
        <f>IF($A377="","",IF(Allocation!$N$3="VOL_EFF",$L377,IF(Allocation!$N$3="VOL_CLASS",$M377,$N377)))</f>
      </c>
      <c r="AF377">
        <f>IF($A377="","",IF(Allocation!$N$3="VOL_EFF",$Q377,IF(Allocation!$N$3="VOL_CLASS",$R377,$S377)))</f>
      </c>
      <c r="AG377">
        <f>IF($A377="","",IF(Allocation!$N$1="VOL_EFF",$Q377,IF(Allocation!$N$1="VOL_CLASS",$R377,$S377)))</f>
      </c>
      <c r="AH377">
        <f>IF($A377="","",IF(Allocation!$N$1="VOL_EFF",$T377,IF(Allocation!$N$1="VOL_CLASS",$U377,$V377)))</f>
      </c>
      <c r="AI377">
        <f>IF($A377="","",$W377*IFERROR($K377/$O377,0))</f>
      </c>
      <c r="AJ377">
        <f>IF($A377="","",$X377*IFERROR($K377/$O377,0))</f>
      </c>
      <c r="AK377">
        <f>IF($A377="","",$Y377*IFERROR($G377/$L377,0)+$Z377*IFERROR($J377/$P377,0))</f>
      </c>
      <c r="AL377">
        <f>IF($A377="","",$AA377*IFERROR($AC377/$AD377,0))</f>
      </c>
      <c r="AM377">
        <f>IF($A377="","",$AB377*IFERROR($AG377/$AH377,0)*IFERROR($AE377/$AF377,0)*IFERROR($AC377/$AD377,0))</f>
      </c>
      <c r="AN377">
        <f>IF($A377="","",$I377-($AI377+$AJ377+$AK377+$AL377+$AM377+$AR377))</f>
      </c>
      <c r="AO377">
        <f>IF($A377="","",Allocation!CJ377)</f>
      </c>
      <c r="AP377">
        <f>IF($A377="","",IF(Allocation!$N$2="VOL_EFF",$Q377,IF(Allocation!$N$2="VOL_CLASS",$R377,$S377)))</f>
      </c>
      <c r="AQ377">
        <f>IF($A377="","",IF(Allocation!$N$2="VOL_EFF",$T377,IF(Allocation!$N$2="VOL_CLASS",$U377,$V377)))</f>
      </c>
      <c r="AR377">
        <f>IF($A377="","",$AO377*IFERROR($AP377/$AQ377,0)*IFERROR($AE377/$AF377,0)*IFERROR($AC377/$AD377,0))</f>
      </c>
      <c r="AS377">
        <f>IF($A377="","",$A377&amp;"|"&amp;Allocation!BG377)</f>
      </c>
    </row>
    <row r="378" spans="1:45">
      <c r="A378">
        <f>IF(Allocation!BI378="","",Allocation!BI378)</f>
      </c>
      <c r="B378">
        <f>IF(Allocation!BJ378="","",Allocation!BJ378)</f>
      </c>
      <c r="C378">
        <f>IF(Allocation!BK378="","",Allocation!BK378)</f>
      </c>
      <c r="D378">
        <f>IF(Allocation!BL378="","",Allocation!BL378)</f>
      </c>
      <c r="E378">
        <f>IF(Allocation!BM378="","",Allocation!BM378)</f>
      </c>
      <c r="F378">
        <f>IF(Allocation!BN378="","",Allocation!BN378)</f>
      </c>
      <c r="G378">
        <f>IF(Allocation!BO378="","",Allocation!BO378)</f>
      </c>
      <c r="H378">
        <f>IF(Allocation!BP378="","",Allocation!BP378)</f>
      </c>
      <c r="I378">
        <f>IF(Allocation!BQ378="","",Allocation!BQ378)</f>
      </c>
      <c r="J378">
        <f>IF(Allocation!CC378="","",Allocation!CC378)</f>
      </c>
      <c r="K378">
        <f>IF($A378="","",$H378*IF(AND(LEFT($D378,3)="BAC",$F378="INIT"),600,IF(LEFT($D378,3)="BAC",480,IF(AND(LEFT($D378,3)="MAS",$F378="INIT"),520,IF(LEFT($D378,3)="MAS",420,IF($F378="INIT",1000,700))))))</f>
      </c>
      <c r="L378">
        <f>IF($A378="","",SUMIFS($G$1:$G$349,$AS$1:$AS$349,$AS378,$B$1:$B$349,$B378))</f>
      </c>
      <c r="M378">
        <f>IF($A378="","",SUMIFS($H$1:$H$349,$AS$1:$AS$349,$AS378,$B$1:$B$349,$B378))</f>
      </c>
      <c r="N378">
        <f>IF($A378="","",SUMIFS($I$1:$I$349,$AS$1:$AS$349,$AS378,$B$1:$B$349,$B378))</f>
      </c>
      <c r="O378">
        <f>IF($A378="","",SUMIFS($K$1:$K$349,$AS$1:$AS$349,$AS378,$B$1:$B$349,$B378))</f>
      </c>
      <c r="P378">
        <f>IF($A378="","",SUMIFS($J$1:$J$349,$AS$1:$AS$349,$AS378,$B$1:$B$349,$B378))</f>
      </c>
      <c r="Q378">
        <f>IF($A378="","",SUMIFS($G$1:$G$349,$AS$1:$AS$349,$AS378,$C$1:$C$349,$C378))</f>
      </c>
      <c r="R378">
        <f>IF($A378="","",SUMIFS($H$1:$H$349,$AS$1:$AS$349,$AS378,$C$1:$C$349,$C378))</f>
      </c>
      <c r="S378">
        <f>IF($A378="","",SUMIFS($I$1:$I$349,$AS$1:$AS$349,$AS378,$C$1:$C$349,$C378))</f>
      </c>
      <c r="T378">
        <f>IF($A378="","",SUMIFS($G$1:$G$349,$AS$1:$AS$349,$AS378))</f>
      </c>
      <c r="U378">
        <f>IF($A378="","",SUMIFS($H$1:$H$349,$AS$1:$AS$349,$AS378))</f>
      </c>
      <c r="V378">
        <f>IF($A378="","",SUMIFS($I$1:$I$349,$AS$1:$AS$349,$AS378))</f>
      </c>
      <c r="W378">
        <f>IF($A378="","",Allocation!CD378)</f>
      </c>
      <c r="X378">
        <f>IF($A378="","",Allocation!CE378)</f>
      </c>
      <c r="Y378">
        <f>IF($A378="","",Allocation!CF378)</f>
      </c>
      <c r="Z378">
        <f>IF($A378="","",Allocation!CG378)</f>
      </c>
      <c r="AA378">
        <f>IF($A378="","",Allocation!CH378)</f>
      </c>
      <c r="AB378">
        <f>IF($A378="","",Allocation!CI378)</f>
      </c>
      <c r="AC378">
        <f>IF($A378="","",IF(Allocation!$N$4="VOL_EFF",$G378,IF(Allocation!$N$4="VOL_CLASS",$H378,$I378)))</f>
      </c>
      <c r="AD378">
        <f>IF($A378="","",IF(Allocation!$N$4="VOL_EFF",$L378,IF(Allocation!$N$4="VOL_CLASS",$M378,$N378)))</f>
      </c>
      <c r="AE378">
        <f>IF($A378="","",IF(Allocation!$N$3="VOL_EFF",$L378,IF(Allocation!$N$3="VOL_CLASS",$M378,$N378)))</f>
      </c>
      <c r="AF378">
        <f>IF($A378="","",IF(Allocation!$N$3="VOL_EFF",$Q378,IF(Allocation!$N$3="VOL_CLASS",$R378,$S378)))</f>
      </c>
      <c r="AG378">
        <f>IF($A378="","",IF(Allocation!$N$1="VOL_EFF",$Q378,IF(Allocation!$N$1="VOL_CLASS",$R378,$S378)))</f>
      </c>
      <c r="AH378">
        <f>IF($A378="","",IF(Allocation!$N$1="VOL_EFF",$T378,IF(Allocation!$N$1="VOL_CLASS",$U378,$V378)))</f>
      </c>
      <c r="AI378">
        <f>IF($A378="","",$W378*IFERROR($K378/$O378,0))</f>
      </c>
      <c r="AJ378">
        <f>IF($A378="","",$X378*IFERROR($K378/$O378,0))</f>
      </c>
      <c r="AK378">
        <f>IF($A378="","",$Y378*IFERROR($G378/$L378,0)+$Z378*IFERROR($J378/$P378,0))</f>
      </c>
      <c r="AL378">
        <f>IF($A378="","",$AA378*IFERROR($AC378/$AD378,0))</f>
      </c>
      <c r="AM378">
        <f>IF($A378="","",$AB378*IFERROR($AG378/$AH378,0)*IFERROR($AE378/$AF378,0)*IFERROR($AC378/$AD378,0))</f>
      </c>
      <c r="AN378">
        <f>IF($A378="","",$I378-($AI378+$AJ378+$AK378+$AL378+$AM378+$AR378))</f>
      </c>
      <c r="AO378">
        <f>IF($A378="","",Allocation!CJ378)</f>
      </c>
      <c r="AP378">
        <f>IF($A378="","",IF(Allocation!$N$2="VOL_EFF",$Q378,IF(Allocation!$N$2="VOL_CLASS",$R378,$S378)))</f>
      </c>
      <c r="AQ378">
        <f>IF($A378="","",IF(Allocation!$N$2="VOL_EFF",$T378,IF(Allocation!$N$2="VOL_CLASS",$U378,$V378)))</f>
      </c>
      <c r="AR378">
        <f>IF($A378="","",$AO378*IFERROR($AP378/$AQ378,0)*IFERROR($AE378/$AF378,0)*IFERROR($AC378/$AD378,0))</f>
      </c>
      <c r="AS378">
        <f>IF($A378="","",$A378&amp;"|"&amp;Allocation!BG378)</f>
      </c>
    </row>
    <row r="379" spans="1:45">
      <c r="A379">
        <f>IF(Allocation!BI379="","",Allocation!BI379)</f>
      </c>
      <c r="B379">
        <f>IF(Allocation!BJ379="","",Allocation!BJ379)</f>
      </c>
      <c r="C379">
        <f>IF(Allocation!BK379="","",Allocation!BK379)</f>
      </c>
      <c r="D379">
        <f>IF(Allocation!BL379="","",Allocation!BL379)</f>
      </c>
      <c r="E379">
        <f>IF(Allocation!BM379="","",Allocation!BM379)</f>
      </c>
      <c r="F379">
        <f>IF(Allocation!BN379="","",Allocation!BN379)</f>
      </c>
      <c r="G379">
        <f>IF(Allocation!BO379="","",Allocation!BO379)</f>
      </c>
      <c r="H379">
        <f>IF(Allocation!BP379="","",Allocation!BP379)</f>
      </c>
      <c r="I379">
        <f>IF(Allocation!BQ379="","",Allocation!BQ379)</f>
      </c>
      <c r="J379">
        <f>IF(Allocation!CC379="","",Allocation!CC379)</f>
      </c>
      <c r="K379">
        <f>IF($A379="","",$H379*IF(AND(LEFT($D379,3)="BAC",$F379="INIT"),600,IF(LEFT($D379,3)="BAC",480,IF(AND(LEFT($D379,3)="MAS",$F379="INIT"),520,IF(LEFT($D379,3)="MAS",420,IF($F379="INIT",1000,700))))))</f>
      </c>
      <c r="L379">
        <f>IF($A379="","",SUMIFS($G$1:$G$349,$AS$1:$AS$349,$AS379,$B$1:$B$349,$B379))</f>
      </c>
      <c r="M379">
        <f>IF($A379="","",SUMIFS($H$1:$H$349,$AS$1:$AS$349,$AS379,$B$1:$B$349,$B379))</f>
      </c>
      <c r="N379">
        <f>IF($A379="","",SUMIFS($I$1:$I$349,$AS$1:$AS$349,$AS379,$B$1:$B$349,$B379))</f>
      </c>
      <c r="O379">
        <f>IF($A379="","",SUMIFS($K$1:$K$349,$AS$1:$AS$349,$AS379,$B$1:$B$349,$B379))</f>
      </c>
      <c r="P379">
        <f>IF($A379="","",SUMIFS($J$1:$J$349,$AS$1:$AS$349,$AS379,$B$1:$B$349,$B379))</f>
      </c>
      <c r="Q379">
        <f>IF($A379="","",SUMIFS($G$1:$G$349,$AS$1:$AS$349,$AS379,$C$1:$C$349,$C379))</f>
      </c>
      <c r="R379">
        <f>IF($A379="","",SUMIFS($H$1:$H$349,$AS$1:$AS$349,$AS379,$C$1:$C$349,$C379))</f>
      </c>
      <c r="S379">
        <f>IF($A379="","",SUMIFS($I$1:$I$349,$AS$1:$AS$349,$AS379,$C$1:$C$349,$C379))</f>
      </c>
      <c r="T379">
        <f>IF($A379="","",SUMIFS($G$1:$G$349,$AS$1:$AS$349,$AS379))</f>
      </c>
      <c r="U379">
        <f>IF($A379="","",SUMIFS($H$1:$H$349,$AS$1:$AS$349,$AS379))</f>
      </c>
      <c r="V379">
        <f>IF($A379="","",SUMIFS($I$1:$I$349,$AS$1:$AS$349,$AS379))</f>
      </c>
      <c r="W379">
        <f>IF($A379="","",Allocation!CD379)</f>
      </c>
      <c r="X379">
        <f>IF($A379="","",Allocation!CE379)</f>
      </c>
      <c r="Y379">
        <f>IF($A379="","",Allocation!CF379)</f>
      </c>
      <c r="Z379">
        <f>IF($A379="","",Allocation!CG379)</f>
      </c>
      <c r="AA379">
        <f>IF($A379="","",Allocation!CH379)</f>
      </c>
      <c r="AB379">
        <f>IF($A379="","",Allocation!CI379)</f>
      </c>
      <c r="AC379">
        <f>IF($A379="","",IF(Allocation!$N$4="VOL_EFF",$G379,IF(Allocation!$N$4="VOL_CLASS",$H379,$I379)))</f>
      </c>
      <c r="AD379">
        <f>IF($A379="","",IF(Allocation!$N$4="VOL_EFF",$L379,IF(Allocation!$N$4="VOL_CLASS",$M379,$N379)))</f>
      </c>
      <c r="AE379">
        <f>IF($A379="","",IF(Allocation!$N$3="VOL_EFF",$L379,IF(Allocation!$N$3="VOL_CLASS",$M379,$N379)))</f>
      </c>
      <c r="AF379">
        <f>IF($A379="","",IF(Allocation!$N$3="VOL_EFF",$Q379,IF(Allocation!$N$3="VOL_CLASS",$R379,$S379)))</f>
      </c>
      <c r="AG379">
        <f>IF($A379="","",IF(Allocation!$N$1="VOL_EFF",$Q379,IF(Allocation!$N$1="VOL_CLASS",$R379,$S379)))</f>
      </c>
      <c r="AH379">
        <f>IF($A379="","",IF(Allocation!$N$1="VOL_EFF",$T379,IF(Allocation!$N$1="VOL_CLASS",$U379,$V379)))</f>
      </c>
      <c r="AI379">
        <f>IF($A379="","",$W379*IFERROR($K379/$O379,0))</f>
      </c>
      <c r="AJ379">
        <f>IF($A379="","",$X379*IFERROR($K379/$O379,0))</f>
      </c>
      <c r="AK379">
        <f>IF($A379="","",$Y379*IFERROR($G379/$L379,0)+$Z379*IFERROR($J379/$P379,0))</f>
      </c>
      <c r="AL379">
        <f>IF($A379="","",$AA379*IFERROR($AC379/$AD379,0))</f>
      </c>
      <c r="AM379">
        <f>IF($A379="","",$AB379*IFERROR($AG379/$AH379,0)*IFERROR($AE379/$AF379,0)*IFERROR($AC379/$AD379,0))</f>
      </c>
      <c r="AN379">
        <f>IF($A379="","",$I379-($AI379+$AJ379+$AK379+$AL379+$AM379+$AR379))</f>
      </c>
      <c r="AO379">
        <f>IF($A379="","",Allocation!CJ379)</f>
      </c>
      <c r="AP379">
        <f>IF($A379="","",IF(Allocation!$N$2="VOL_EFF",$Q379,IF(Allocation!$N$2="VOL_CLASS",$R379,$S379)))</f>
      </c>
      <c r="AQ379">
        <f>IF($A379="","",IF(Allocation!$N$2="VOL_EFF",$T379,IF(Allocation!$N$2="VOL_CLASS",$U379,$V379)))</f>
      </c>
      <c r="AR379">
        <f>IF($A379="","",$AO379*IFERROR($AP379/$AQ379,0)*IFERROR($AE379/$AF379,0)*IFERROR($AC379/$AD379,0))</f>
      </c>
      <c r="AS379">
        <f>IF($A379="","",$A379&amp;"|"&amp;Allocation!BG379)</f>
      </c>
    </row>
    <row r="380" spans="1:45">
      <c r="A380">
        <f>IF(Allocation!BI380="","",Allocation!BI380)</f>
      </c>
      <c r="B380">
        <f>IF(Allocation!BJ380="","",Allocation!BJ380)</f>
      </c>
      <c r="C380">
        <f>IF(Allocation!BK380="","",Allocation!BK380)</f>
      </c>
      <c r="D380">
        <f>IF(Allocation!BL380="","",Allocation!BL380)</f>
      </c>
      <c r="E380">
        <f>IF(Allocation!BM380="","",Allocation!BM380)</f>
      </c>
      <c r="F380">
        <f>IF(Allocation!BN380="","",Allocation!BN380)</f>
      </c>
      <c r="G380">
        <f>IF(Allocation!BO380="","",Allocation!BO380)</f>
      </c>
      <c r="H380">
        <f>IF(Allocation!BP380="","",Allocation!BP380)</f>
      </c>
      <c r="I380">
        <f>IF(Allocation!BQ380="","",Allocation!BQ380)</f>
      </c>
      <c r="J380">
        <f>IF(Allocation!CC380="","",Allocation!CC380)</f>
      </c>
      <c r="K380">
        <f>IF($A380="","",$H380*IF(AND(LEFT($D380,3)="BAC",$F380="INIT"),600,IF(LEFT($D380,3)="BAC",480,IF(AND(LEFT($D380,3)="MAS",$F380="INIT"),520,IF(LEFT($D380,3)="MAS",420,IF($F380="INIT",1000,700))))))</f>
      </c>
      <c r="L380">
        <f>IF($A380="","",SUMIFS($G$1:$G$349,$AS$1:$AS$349,$AS380,$B$1:$B$349,$B380))</f>
      </c>
      <c r="M380">
        <f>IF($A380="","",SUMIFS($H$1:$H$349,$AS$1:$AS$349,$AS380,$B$1:$B$349,$B380))</f>
      </c>
      <c r="N380">
        <f>IF($A380="","",SUMIFS($I$1:$I$349,$AS$1:$AS$349,$AS380,$B$1:$B$349,$B380))</f>
      </c>
      <c r="O380">
        <f>IF($A380="","",SUMIFS($K$1:$K$349,$AS$1:$AS$349,$AS380,$B$1:$B$349,$B380))</f>
      </c>
      <c r="P380">
        <f>IF($A380="","",SUMIFS($J$1:$J$349,$AS$1:$AS$349,$AS380,$B$1:$B$349,$B380))</f>
      </c>
      <c r="Q380">
        <f>IF($A380="","",SUMIFS($G$1:$G$349,$AS$1:$AS$349,$AS380,$C$1:$C$349,$C380))</f>
      </c>
      <c r="R380">
        <f>IF($A380="","",SUMIFS($H$1:$H$349,$AS$1:$AS$349,$AS380,$C$1:$C$349,$C380))</f>
      </c>
      <c r="S380">
        <f>IF($A380="","",SUMIFS($I$1:$I$349,$AS$1:$AS$349,$AS380,$C$1:$C$349,$C380))</f>
      </c>
      <c r="T380">
        <f>IF($A380="","",SUMIFS($G$1:$G$349,$AS$1:$AS$349,$AS380))</f>
      </c>
      <c r="U380">
        <f>IF($A380="","",SUMIFS($H$1:$H$349,$AS$1:$AS$349,$AS380))</f>
      </c>
      <c r="V380">
        <f>IF($A380="","",SUMIFS($I$1:$I$349,$AS$1:$AS$349,$AS380))</f>
      </c>
      <c r="W380">
        <f>IF($A380="","",Allocation!CD380)</f>
      </c>
      <c r="X380">
        <f>IF($A380="","",Allocation!CE380)</f>
      </c>
      <c r="Y380">
        <f>IF($A380="","",Allocation!CF380)</f>
      </c>
      <c r="Z380">
        <f>IF($A380="","",Allocation!CG380)</f>
      </c>
      <c r="AA380">
        <f>IF($A380="","",Allocation!CH380)</f>
      </c>
      <c r="AB380">
        <f>IF($A380="","",Allocation!CI380)</f>
      </c>
      <c r="AC380">
        <f>IF($A380="","",IF(Allocation!$N$4="VOL_EFF",$G380,IF(Allocation!$N$4="VOL_CLASS",$H380,$I380)))</f>
      </c>
      <c r="AD380">
        <f>IF($A380="","",IF(Allocation!$N$4="VOL_EFF",$L380,IF(Allocation!$N$4="VOL_CLASS",$M380,$N380)))</f>
      </c>
      <c r="AE380">
        <f>IF($A380="","",IF(Allocation!$N$3="VOL_EFF",$L380,IF(Allocation!$N$3="VOL_CLASS",$M380,$N380)))</f>
      </c>
      <c r="AF380">
        <f>IF($A380="","",IF(Allocation!$N$3="VOL_EFF",$Q380,IF(Allocation!$N$3="VOL_CLASS",$R380,$S380)))</f>
      </c>
      <c r="AG380">
        <f>IF($A380="","",IF(Allocation!$N$1="VOL_EFF",$Q380,IF(Allocation!$N$1="VOL_CLASS",$R380,$S380)))</f>
      </c>
      <c r="AH380">
        <f>IF($A380="","",IF(Allocation!$N$1="VOL_EFF",$T380,IF(Allocation!$N$1="VOL_CLASS",$U380,$V380)))</f>
      </c>
      <c r="AI380">
        <f>IF($A380="","",$W380*IFERROR($K380/$O380,0))</f>
      </c>
      <c r="AJ380">
        <f>IF($A380="","",$X380*IFERROR($K380/$O380,0))</f>
      </c>
      <c r="AK380">
        <f>IF($A380="","",$Y380*IFERROR($G380/$L380,0)+$Z380*IFERROR($J380/$P380,0))</f>
      </c>
      <c r="AL380">
        <f>IF($A380="","",$AA380*IFERROR($AC380/$AD380,0))</f>
      </c>
      <c r="AM380">
        <f>IF($A380="","",$AB380*IFERROR($AG380/$AH380,0)*IFERROR($AE380/$AF380,0)*IFERROR($AC380/$AD380,0))</f>
      </c>
      <c r="AN380">
        <f>IF($A380="","",$I380-($AI380+$AJ380+$AK380+$AL380+$AM380+$AR380))</f>
      </c>
      <c r="AO380">
        <f>IF($A380="","",Allocation!CJ380)</f>
      </c>
      <c r="AP380">
        <f>IF($A380="","",IF(Allocation!$N$2="VOL_EFF",$Q380,IF(Allocation!$N$2="VOL_CLASS",$R380,$S380)))</f>
      </c>
      <c r="AQ380">
        <f>IF($A380="","",IF(Allocation!$N$2="VOL_EFF",$T380,IF(Allocation!$N$2="VOL_CLASS",$U380,$V380)))</f>
      </c>
      <c r="AR380">
        <f>IF($A380="","",$AO380*IFERROR($AP380/$AQ380,0)*IFERROR($AE380/$AF380,0)*IFERROR($AC380/$AD380,0))</f>
      </c>
      <c r="AS380">
        <f>IF($A380="","",$A380&amp;"|"&amp;Allocation!BG380)</f>
      </c>
    </row>
    <row r="381" spans="1:45">
      <c r="A381">
        <f>IF(Allocation!BI381="","",Allocation!BI381)</f>
      </c>
      <c r="B381">
        <f>IF(Allocation!BJ381="","",Allocation!BJ381)</f>
      </c>
      <c r="C381">
        <f>IF(Allocation!BK381="","",Allocation!BK381)</f>
      </c>
      <c r="D381">
        <f>IF(Allocation!BL381="","",Allocation!BL381)</f>
      </c>
      <c r="E381">
        <f>IF(Allocation!BM381="","",Allocation!BM381)</f>
      </c>
      <c r="F381">
        <f>IF(Allocation!BN381="","",Allocation!BN381)</f>
      </c>
      <c r="G381">
        <f>IF(Allocation!BO381="","",Allocation!BO381)</f>
      </c>
      <c r="H381">
        <f>IF(Allocation!BP381="","",Allocation!BP381)</f>
      </c>
      <c r="I381">
        <f>IF(Allocation!BQ381="","",Allocation!BQ381)</f>
      </c>
      <c r="J381">
        <f>IF(Allocation!CC381="","",Allocation!CC381)</f>
      </c>
      <c r="K381">
        <f>IF($A381="","",$H381*IF(AND(LEFT($D381,3)="BAC",$F381="INIT"),600,IF(LEFT($D381,3)="BAC",480,IF(AND(LEFT($D381,3)="MAS",$F381="INIT"),520,IF(LEFT($D381,3)="MAS",420,IF($F381="INIT",1000,700))))))</f>
      </c>
      <c r="L381">
        <f>IF($A381="","",SUMIFS($G$1:$G$349,$AS$1:$AS$349,$AS381,$B$1:$B$349,$B381))</f>
      </c>
      <c r="M381">
        <f>IF($A381="","",SUMIFS($H$1:$H$349,$AS$1:$AS$349,$AS381,$B$1:$B$349,$B381))</f>
      </c>
      <c r="N381">
        <f>IF($A381="","",SUMIFS($I$1:$I$349,$AS$1:$AS$349,$AS381,$B$1:$B$349,$B381))</f>
      </c>
      <c r="O381">
        <f>IF($A381="","",SUMIFS($K$1:$K$349,$AS$1:$AS$349,$AS381,$B$1:$B$349,$B381))</f>
      </c>
      <c r="P381">
        <f>IF($A381="","",SUMIFS($J$1:$J$349,$AS$1:$AS$349,$AS381,$B$1:$B$349,$B381))</f>
      </c>
      <c r="Q381">
        <f>IF($A381="","",SUMIFS($G$1:$G$349,$AS$1:$AS$349,$AS381,$C$1:$C$349,$C381))</f>
      </c>
      <c r="R381">
        <f>IF($A381="","",SUMIFS($H$1:$H$349,$AS$1:$AS$349,$AS381,$C$1:$C$349,$C381))</f>
      </c>
      <c r="S381">
        <f>IF($A381="","",SUMIFS($I$1:$I$349,$AS$1:$AS$349,$AS381,$C$1:$C$349,$C381))</f>
      </c>
      <c r="T381">
        <f>IF($A381="","",SUMIFS($G$1:$G$349,$AS$1:$AS$349,$AS381))</f>
      </c>
      <c r="U381">
        <f>IF($A381="","",SUMIFS($H$1:$H$349,$AS$1:$AS$349,$AS381))</f>
      </c>
      <c r="V381">
        <f>IF($A381="","",SUMIFS($I$1:$I$349,$AS$1:$AS$349,$AS381))</f>
      </c>
      <c r="W381">
        <f>IF($A381="","",Allocation!CD381)</f>
      </c>
      <c r="X381">
        <f>IF($A381="","",Allocation!CE381)</f>
      </c>
      <c r="Y381">
        <f>IF($A381="","",Allocation!CF381)</f>
      </c>
      <c r="Z381">
        <f>IF($A381="","",Allocation!CG381)</f>
      </c>
      <c r="AA381">
        <f>IF($A381="","",Allocation!CH381)</f>
      </c>
      <c r="AB381">
        <f>IF($A381="","",Allocation!CI381)</f>
      </c>
      <c r="AC381">
        <f>IF($A381="","",IF(Allocation!$N$4="VOL_EFF",$G381,IF(Allocation!$N$4="VOL_CLASS",$H381,$I381)))</f>
      </c>
      <c r="AD381">
        <f>IF($A381="","",IF(Allocation!$N$4="VOL_EFF",$L381,IF(Allocation!$N$4="VOL_CLASS",$M381,$N381)))</f>
      </c>
      <c r="AE381">
        <f>IF($A381="","",IF(Allocation!$N$3="VOL_EFF",$L381,IF(Allocation!$N$3="VOL_CLASS",$M381,$N381)))</f>
      </c>
      <c r="AF381">
        <f>IF($A381="","",IF(Allocation!$N$3="VOL_EFF",$Q381,IF(Allocation!$N$3="VOL_CLASS",$R381,$S381)))</f>
      </c>
      <c r="AG381">
        <f>IF($A381="","",IF(Allocation!$N$1="VOL_EFF",$Q381,IF(Allocation!$N$1="VOL_CLASS",$R381,$S381)))</f>
      </c>
      <c r="AH381">
        <f>IF($A381="","",IF(Allocation!$N$1="VOL_EFF",$T381,IF(Allocation!$N$1="VOL_CLASS",$U381,$V381)))</f>
      </c>
      <c r="AI381">
        <f>IF($A381="","",$W381*IFERROR($K381/$O381,0))</f>
      </c>
      <c r="AJ381">
        <f>IF($A381="","",$X381*IFERROR($K381/$O381,0))</f>
      </c>
      <c r="AK381">
        <f>IF($A381="","",$Y381*IFERROR($G381/$L381,0)+$Z381*IFERROR($J381/$P381,0))</f>
      </c>
      <c r="AL381">
        <f>IF($A381="","",$AA381*IFERROR($AC381/$AD381,0))</f>
      </c>
      <c r="AM381">
        <f>IF($A381="","",$AB381*IFERROR($AG381/$AH381,0)*IFERROR($AE381/$AF381,0)*IFERROR($AC381/$AD381,0))</f>
      </c>
      <c r="AN381">
        <f>IF($A381="","",$I381-($AI381+$AJ381+$AK381+$AL381+$AM381+$AR381))</f>
      </c>
      <c r="AO381">
        <f>IF($A381="","",Allocation!CJ381)</f>
      </c>
      <c r="AP381">
        <f>IF($A381="","",IF(Allocation!$N$2="VOL_EFF",$Q381,IF(Allocation!$N$2="VOL_CLASS",$R381,$S381)))</f>
      </c>
      <c r="AQ381">
        <f>IF($A381="","",IF(Allocation!$N$2="VOL_EFF",$T381,IF(Allocation!$N$2="VOL_CLASS",$U381,$V381)))</f>
      </c>
      <c r="AR381">
        <f>IF($A381="","",$AO381*IFERROR($AP381/$AQ381,0)*IFERROR($AE381/$AF381,0)*IFERROR($AC381/$AD381,0))</f>
      </c>
      <c r="AS381">
        <f>IF($A381="","",$A381&amp;"|"&amp;Allocation!BG381)</f>
      </c>
    </row>
    <row r="382" spans="1:45">
      <c r="A382">
        <f>IF(Allocation!BI382="","",Allocation!BI382)</f>
      </c>
      <c r="B382">
        <f>IF(Allocation!BJ382="","",Allocation!BJ382)</f>
      </c>
      <c r="C382">
        <f>IF(Allocation!BK382="","",Allocation!BK382)</f>
      </c>
      <c r="D382">
        <f>IF(Allocation!BL382="","",Allocation!BL382)</f>
      </c>
      <c r="E382">
        <f>IF(Allocation!BM382="","",Allocation!BM382)</f>
      </c>
      <c r="F382">
        <f>IF(Allocation!BN382="","",Allocation!BN382)</f>
      </c>
      <c r="G382">
        <f>IF(Allocation!BO382="","",Allocation!BO382)</f>
      </c>
      <c r="H382">
        <f>IF(Allocation!BP382="","",Allocation!BP382)</f>
      </c>
      <c r="I382">
        <f>IF(Allocation!BQ382="","",Allocation!BQ382)</f>
      </c>
      <c r="J382">
        <f>IF(Allocation!CC382="","",Allocation!CC382)</f>
      </c>
      <c r="K382">
        <f>IF($A382="","",$H382*IF(AND(LEFT($D382,3)="BAC",$F382="INIT"),600,IF(LEFT($D382,3)="BAC",480,IF(AND(LEFT($D382,3)="MAS",$F382="INIT"),520,IF(LEFT($D382,3)="MAS",420,IF($F382="INIT",1000,700))))))</f>
      </c>
      <c r="L382">
        <f>IF($A382="","",SUMIFS($G$1:$G$349,$AS$1:$AS$349,$AS382,$B$1:$B$349,$B382))</f>
      </c>
      <c r="M382">
        <f>IF($A382="","",SUMIFS($H$1:$H$349,$AS$1:$AS$349,$AS382,$B$1:$B$349,$B382))</f>
      </c>
      <c r="N382">
        <f>IF($A382="","",SUMIFS($I$1:$I$349,$AS$1:$AS$349,$AS382,$B$1:$B$349,$B382))</f>
      </c>
      <c r="O382">
        <f>IF($A382="","",SUMIFS($K$1:$K$349,$AS$1:$AS$349,$AS382,$B$1:$B$349,$B382))</f>
      </c>
      <c r="P382">
        <f>IF($A382="","",SUMIFS($J$1:$J$349,$AS$1:$AS$349,$AS382,$B$1:$B$349,$B382))</f>
      </c>
      <c r="Q382">
        <f>IF($A382="","",SUMIFS($G$1:$G$349,$AS$1:$AS$349,$AS382,$C$1:$C$349,$C382))</f>
      </c>
      <c r="R382">
        <f>IF($A382="","",SUMIFS($H$1:$H$349,$AS$1:$AS$349,$AS382,$C$1:$C$349,$C382))</f>
      </c>
      <c r="S382">
        <f>IF($A382="","",SUMIFS($I$1:$I$349,$AS$1:$AS$349,$AS382,$C$1:$C$349,$C382))</f>
      </c>
      <c r="T382">
        <f>IF($A382="","",SUMIFS($G$1:$G$349,$AS$1:$AS$349,$AS382))</f>
      </c>
      <c r="U382">
        <f>IF($A382="","",SUMIFS($H$1:$H$349,$AS$1:$AS$349,$AS382))</f>
      </c>
      <c r="V382">
        <f>IF($A382="","",SUMIFS($I$1:$I$349,$AS$1:$AS$349,$AS382))</f>
      </c>
      <c r="W382">
        <f>IF($A382="","",Allocation!CD382)</f>
      </c>
      <c r="X382">
        <f>IF($A382="","",Allocation!CE382)</f>
      </c>
      <c r="Y382">
        <f>IF($A382="","",Allocation!CF382)</f>
      </c>
      <c r="Z382">
        <f>IF($A382="","",Allocation!CG382)</f>
      </c>
      <c r="AA382">
        <f>IF($A382="","",Allocation!CH382)</f>
      </c>
      <c r="AB382">
        <f>IF($A382="","",Allocation!CI382)</f>
      </c>
      <c r="AC382">
        <f>IF($A382="","",IF(Allocation!$N$4="VOL_EFF",$G382,IF(Allocation!$N$4="VOL_CLASS",$H382,$I382)))</f>
      </c>
      <c r="AD382">
        <f>IF($A382="","",IF(Allocation!$N$4="VOL_EFF",$L382,IF(Allocation!$N$4="VOL_CLASS",$M382,$N382)))</f>
      </c>
      <c r="AE382">
        <f>IF($A382="","",IF(Allocation!$N$3="VOL_EFF",$L382,IF(Allocation!$N$3="VOL_CLASS",$M382,$N382)))</f>
      </c>
      <c r="AF382">
        <f>IF($A382="","",IF(Allocation!$N$3="VOL_EFF",$Q382,IF(Allocation!$N$3="VOL_CLASS",$R382,$S382)))</f>
      </c>
      <c r="AG382">
        <f>IF($A382="","",IF(Allocation!$N$1="VOL_EFF",$Q382,IF(Allocation!$N$1="VOL_CLASS",$R382,$S382)))</f>
      </c>
      <c r="AH382">
        <f>IF($A382="","",IF(Allocation!$N$1="VOL_EFF",$T382,IF(Allocation!$N$1="VOL_CLASS",$U382,$V382)))</f>
      </c>
      <c r="AI382">
        <f>IF($A382="","",$W382*IFERROR($K382/$O382,0))</f>
      </c>
      <c r="AJ382">
        <f>IF($A382="","",$X382*IFERROR($K382/$O382,0))</f>
      </c>
      <c r="AK382">
        <f>IF($A382="","",$Y382*IFERROR($G382/$L382,0)+$Z382*IFERROR($J382/$P382,0))</f>
      </c>
      <c r="AL382">
        <f>IF($A382="","",$AA382*IFERROR($AC382/$AD382,0))</f>
      </c>
      <c r="AM382">
        <f>IF($A382="","",$AB382*IFERROR($AG382/$AH382,0)*IFERROR($AE382/$AF382,0)*IFERROR($AC382/$AD382,0))</f>
      </c>
      <c r="AN382">
        <f>IF($A382="","",$I382-($AI382+$AJ382+$AK382+$AL382+$AM382+$AR382))</f>
      </c>
      <c r="AO382">
        <f>IF($A382="","",Allocation!CJ382)</f>
      </c>
      <c r="AP382">
        <f>IF($A382="","",IF(Allocation!$N$2="VOL_EFF",$Q382,IF(Allocation!$N$2="VOL_CLASS",$R382,$S382)))</f>
      </c>
      <c r="AQ382">
        <f>IF($A382="","",IF(Allocation!$N$2="VOL_EFF",$T382,IF(Allocation!$N$2="VOL_CLASS",$U382,$V382)))</f>
      </c>
      <c r="AR382">
        <f>IF($A382="","",$AO382*IFERROR($AP382/$AQ382,0)*IFERROR($AE382/$AF382,0)*IFERROR($AC382/$AD382,0))</f>
      </c>
      <c r="AS382">
        <f>IF($A382="","",$A382&amp;"|"&amp;Allocation!BG382)</f>
      </c>
    </row>
    <row r="383" spans="1:45">
      <c r="A383">
        <f>IF(Allocation!BI383="","",Allocation!BI383)</f>
      </c>
      <c r="B383">
        <f>IF(Allocation!BJ383="","",Allocation!BJ383)</f>
      </c>
      <c r="C383">
        <f>IF(Allocation!BK383="","",Allocation!BK383)</f>
      </c>
      <c r="D383">
        <f>IF(Allocation!BL383="","",Allocation!BL383)</f>
      </c>
      <c r="E383">
        <f>IF(Allocation!BM383="","",Allocation!BM383)</f>
      </c>
      <c r="F383">
        <f>IF(Allocation!BN383="","",Allocation!BN383)</f>
      </c>
      <c r="G383">
        <f>IF(Allocation!BO383="","",Allocation!BO383)</f>
      </c>
      <c r="H383">
        <f>IF(Allocation!BP383="","",Allocation!BP383)</f>
      </c>
      <c r="I383">
        <f>IF(Allocation!BQ383="","",Allocation!BQ383)</f>
      </c>
      <c r="J383">
        <f>IF(Allocation!CC383="","",Allocation!CC383)</f>
      </c>
      <c r="K383">
        <f>IF($A383="","",$H383*IF(AND(LEFT($D383,3)="BAC",$F383="INIT"),600,IF(LEFT($D383,3)="BAC",480,IF(AND(LEFT($D383,3)="MAS",$F383="INIT"),520,IF(LEFT($D383,3)="MAS",420,IF($F383="INIT",1000,700))))))</f>
      </c>
      <c r="L383">
        <f>IF($A383="","",SUMIFS($G$1:$G$349,$AS$1:$AS$349,$AS383,$B$1:$B$349,$B383))</f>
      </c>
      <c r="M383">
        <f>IF($A383="","",SUMIFS($H$1:$H$349,$AS$1:$AS$349,$AS383,$B$1:$B$349,$B383))</f>
      </c>
      <c r="N383">
        <f>IF($A383="","",SUMIFS($I$1:$I$349,$AS$1:$AS$349,$AS383,$B$1:$B$349,$B383))</f>
      </c>
      <c r="O383">
        <f>IF($A383="","",SUMIFS($K$1:$K$349,$AS$1:$AS$349,$AS383,$B$1:$B$349,$B383))</f>
      </c>
      <c r="P383">
        <f>IF($A383="","",SUMIFS($J$1:$J$349,$AS$1:$AS$349,$AS383,$B$1:$B$349,$B383))</f>
      </c>
      <c r="Q383">
        <f>IF($A383="","",SUMIFS($G$1:$G$349,$AS$1:$AS$349,$AS383,$C$1:$C$349,$C383))</f>
      </c>
      <c r="R383">
        <f>IF($A383="","",SUMIFS($H$1:$H$349,$AS$1:$AS$349,$AS383,$C$1:$C$349,$C383))</f>
      </c>
      <c r="S383">
        <f>IF($A383="","",SUMIFS($I$1:$I$349,$AS$1:$AS$349,$AS383,$C$1:$C$349,$C383))</f>
      </c>
      <c r="T383">
        <f>IF($A383="","",SUMIFS($G$1:$G$349,$AS$1:$AS$349,$AS383))</f>
      </c>
      <c r="U383">
        <f>IF($A383="","",SUMIFS($H$1:$H$349,$AS$1:$AS$349,$AS383))</f>
      </c>
      <c r="V383">
        <f>IF($A383="","",SUMIFS($I$1:$I$349,$AS$1:$AS$349,$AS383))</f>
      </c>
      <c r="W383">
        <f>IF($A383="","",Allocation!CD383)</f>
      </c>
      <c r="X383">
        <f>IF($A383="","",Allocation!CE383)</f>
      </c>
      <c r="Y383">
        <f>IF($A383="","",Allocation!CF383)</f>
      </c>
      <c r="Z383">
        <f>IF($A383="","",Allocation!CG383)</f>
      </c>
      <c r="AA383">
        <f>IF($A383="","",Allocation!CH383)</f>
      </c>
      <c r="AB383">
        <f>IF($A383="","",Allocation!CI383)</f>
      </c>
      <c r="AC383">
        <f>IF($A383="","",IF(Allocation!$N$4="VOL_EFF",$G383,IF(Allocation!$N$4="VOL_CLASS",$H383,$I383)))</f>
      </c>
      <c r="AD383">
        <f>IF($A383="","",IF(Allocation!$N$4="VOL_EFF",$L383,IF(Allocation!$N$4="VOL_CLASS",$M383,$N383)))</f>
      </c>
      <c r="AE383">
        <f>IF($A383="","",IF(Allocation!$N$3="VOL_EFF",$L383,IF(Allocation!$N$3="VOL_CLASS",$M383,$N383)))</f>
      </c>
      <c r="AF383">
        <f>IF($A383="","",IF(Allocation!$N$3="VOL_EFF",$Q383,IF(Allocation!$N$3="VOL_CLASS",$R383,$S383)))</f>
      </c>
      <c r="AG383">
        <f>IF($A383="","",IF(Allocation!$N$1="VOL_EFF",$Q383,IF(Allocation!$N$1="VOL_CLASS",$R383,$S383)))</f>
      </c>
      <c r="AH383">
        <f>IF($A383="","",IF(Allocation!$N$1="VOL_EFF",$T383,IF(Allocation!$N$1="VOL_CLASS",$U383,$V383)))</f>
      </c>
      <c r="AI383">
        <f>IF($A383="","",$W383*IFERROR($K383/$O383,0))</f>
      </c>
      <c r="AJ383">
        <f>IF($A383="","",$X383*IFERROR($K383/$O383,0))</f>
      </c>
      <c r="AK383">
        <f>IF($A383="","",$Y383*IFERROR($G383/$L383,0)+$Z383*IFERROR($J383/$P383,0))</f>
      </c>
      <c r="AL383">
        <f>IF($A383="","",$AA383*IFERROR($AC383/$AD383,0))</f>
      </c>
      <c r="AM383">
        <f>IF($A383="","",$AB383*IFERROR($AG383/$AH383,0)*IFERROR($AE383/$AF383,0)*IFERROR($AC383/$AD383,0))</f>
      </c>
      <c r="AN383">
        <f>IF($A383="","",$I383-($AI383+$AJ383+$AK383+$AL383+$AM383+$AR383))</f>
      </c>
      <c r="AO383">
        <f>IF($A383="","",Allocation!CJ383)</f>
      </c>
      <c r="AP383">
        <f>IF($A383="","",IF(Allocation!$N$2="VOL_EFF",$Q383,IF(Allocation!$N$2="VOL_CLASS",$R383,$S383)))</f>
      </c>
      <c r="AQ383">
        <f>IF($A383="","",IF(Allocation!$N$2="VOL_EFF",$T383,IF(Allocation!$N$2="VOL_CLASS",$U383,$V383)))</f>
      </c>
      <c r="AR383">
        <f>IF($A383="","",$AO383*IFERROR($AP383/$AQ383,0)*IFERROR($AE383/$AF383,0)*IFERROR($AC383/$AD383,0))</f>
      </c>
      <c r="AS383">
        <f>IF($A383="","",$A383&amp;"|"&amp;Allocation!BG383)</f>
      </c>
    </row>
    <row r="384" spans="1:45">
      <c r="A384">
        <f>IF(Allocation!BI384="","",Allocation!BI384)</f>
      </c>
      <c r="B384">
        <f>IF(Allocation!BJ384="","",Allocation!BJ384)</f>
      </c>
      <c r="C384">
        <f>IF(Allocation!BK384="","",Allocation!BK384)</f>
      </c>
      <c r="D384">
        <f>IF(Allocation!BL384="","",Allocation!BL384)</f>
      </c>
      <c r="E384">
        <f>IF(Allocation!BM384="","",Allocation!BM384)</f>
      </c>
      <c r="F384">
        <f>IF(Allocation!BN384="","",Allocation!BN384)</f>
      </c>
      <c r="G384">
        <f>IF(Allocation!BO384="","",Allocation!BO384)</f>
      </c>
      <c r="H384">
        <f>IF(Allocation!BP384="","",Allocation!BP384)</f>
      </c>
      <c r="I384">
        <f>IF(Allocation!BQ384="","",Allocation!BQ384)</f>
      </c>
      <c r="J384">
        <f>IF(Allocation!CC384="","",Allocation!CC384)</f>
      </c>
      <c r="K384">
        <f>IF($A384="","",$H384*IF(AND(LEFT($D384,3)="BAC",$F384="INIT"),600,IF(LEFT($D384,3)="BAC",480,IF(AND(LEFT($D384,3)="MAS",$F384="INIT"),520,IF(LEFT($D384,3)="MAS",420,IF($F384="INIT",1000,700))))))</f>
      </c>
      <c r="L384">
        <f>IF($A384="","",SUMIFS($G$1:$G$349,$AS$1:$AS$349,$AS384,$B$1:$B$349,$B384))</f>
      </c>
      <c r="M384">
        <f>IF($A384="","",SUMIFS($H$1:$H$349,$AS$1:$AS$349,$AS384,$B$1:$B$349,$B384))</f>
      </c>
      <c r="N384">
        <f>IF($A384="","",SUMIFS($I$1:$I$349,$AS$1:$AS$349,$AS384,$B$1:$B$349,$B384))</f>
      </c>
      <c r="O384">
        <f>IF($A384="","",SUMIFS($K$1:$K$349,$AS$1:$AS$349,$AS384,$B$1:$B$349,$B384))</f>
      </c>
      <c r="P384">
        <f>IF($A384="","",SUMIFS($J$1:$J$349,$AS$1:$AS$349,$AS384,$B$1:$B$349,$B384))</f>
      </c>
      <c r="Q384">
        <f>IF($A384="","",SUMIFS($G$1:$G$349,$AS$1:$AS$349,$AS384,$C$1:$C$349,$C384))</f>
      </c>
      <c r="R384">
        <f>IF($A384="","",SUMIFS($H$1:$H$349,$AS$1:$AS$349,$AS384,$C$1:$C$349,$C384))</f>
      </c>
      <c r="S384">
        <f>IF($A384="","",SUMIFS($I$1:$I$349,$AS$1:$AS$349,$AS384,$C$1:$C$349,$C384))</f>
      </c>
      <c r="T384">
        <f>IF($A384="","",SUMIFS($G$1:$G$349,$AS$1:$AS$349,$AS384))</f>
      </c>
      <c r="U384">
        <f>IF($A384="","",SUMIFS($H$1:$H$349,$AS$1:$AS$349,$AS384))</f>
      </c>
      <c r="V384">
        <f>IF($A384="","",SUMIFS($I$1:$I$349,$AS$1:$AS$349,$AS384))</f>
      </c>
      <c r="W384">
        <f>IF($A384="","",Allocation!CD384)</f>
      </c>
      <c r="X384">
        <f>IF($A384="","",Allocation!CE384)</f>
      </c>
      <c r="Y384">
        <f>IF($A384="","",Allocation!CF384)</f>
      </c>
      <c r="Z384">
        <f>IF($A384="","",Allocation!CG384)</f>
      </c>
      <c r="AA384">
        <f>IF($A384="","",Allocation!CH384)</f>
      </c>
      <c r="AB384">
        <f>IF($A384="","",Allocation!CI384)</f>
      </c>
      <c r="AC384">
        <f>IF($A384="","",IF(Allocation!$N$4="VOL_EFF",$G384,IF(Allocation!$N$4="VOL_CLASS",$H384,$I384)))</f>
      </c>
      <c r="AD384">
        <f>IF($A384="","",IF(Allocation!$N$4="VOL_EFF",$L384,IF(Allocation!$N$4="VOL_CLASS",$M384,$N384)))</f>
      </c>
      <c r="AE384">
        <f>IF($A384="","",IF(Allocation!$N$3="VOL_EFF",$L384,IF(Allocation!$N$3="VOL_CLASS",$M384,$N384)))</f>
      </c>
      <c r="AF384">
        <f>IF($A384="","",IF(Allocation!$N$3="VOL_EFF",$Q384,IF(Allocation!$N$3="VOL_CLASS",$R384,$S384)))</f>
      </c>
      <c r="AG384">
        <f>IF($A384="","",IF(Allocation!$N$1="VOL_EFF",$Q384,IF(Allocation!$N$1="VOL_CLASS",$R384,$S384)))</f>
      </c>
      <c r="AH384">
        <f>IF($A384="","",IF(Allocation!$N$1="VOL_EFF",$T384,IF(Allocation!$N$1="VOL_CLASS",$U384,$V384)))</f>
      </c>
      <c r="AI384">
        <f>IF($A384="","",$W384*IFERROR($K384/$O384,0))</f>
      </c>
      <c r="AJ384">
        <f>IF($A384="","",$X384*IFERROR($K384/$O384,0))</f>
      </c>
      <c r="AK384">
        <f>IF($A384="","",$Y384*IFERROR($G384/$L384,0)+$Z384*IFERROR($J384/$P384,0))</f>
      </c>
      <c r="AL384">
        <f>IF($A384="","",$AA384*IFERROR($AC384/$AD384,0))</f>
      </c>
      <c r="AM384">
        <f>IF($A384="","",$AB384*IFERROR($AG384/$AH384,0)*IFERROR($AE384/$AF384,0)*IFERROR($AC384/$AD384,0))</f>
      </c>
      <c r="AN384">
        <f>IF($A384="","",$I384-($AI384+$AJ384+$AK384+$AL384+$AM384+$AR384))</f>
      </c>
      <c r="AO384">
        <f>IF($A384="","",Allocation!CJ384)</f>
      </c>
      <c r="AP384">
        <f>IF($A384="","",IF(Allocation!$N$2="VOL_EFF",$Q384,IF(Allocation!$N$2="VOL_CLASS",$R384,$S384)))</f>
      </c>
      <c r="AQ384">
        <f>IF($A384="","",IF(Allocation!$N$2="VOL_EFF",$T384,IF(Allocation!$N$2="VOL_CLASS",$U384,$V384)))</f>
      </c>
      <c r="AR384">
        <f>IF($A384="","",$AO384*IFERROR($AP384/$AQ384,0)*IFERROR($AE384/$AF384,0)*IFERROR($AC384/$AD384,0))</f>
      </c>
      <c r="AS384">
        <f>IF($A384="","",$A384&amp;"|"&amp;Allocation!BG384)</f>
      </c>
    </row>
    <row r="385" spans="1:45">
      <c r="A385">
        <f>IF(Allocation!BI385="","",Allocation!BI385)</f>
      </c>
      <c r="B385">
        <f>IF(Allocation!BJ385="","",Allocation!BJ385)</f>
      </c>
      <c r="C385">
        <f>IF(Allocation!BK385="","",Allocation!BK385)</f>
      </c>
      <c r="D385">
        <f>IF(Allocation!BL385="","",Allocation!BL385)</f>
      </c>
      <c r="E385">
        <f>IF(Allocation!BM385="","",Allocation!BM385)</f>
      </c>
      <c r="F385">
        <f>IF(Allocation!BN385="","",Allocation!BN385)</f>
      </c>
      <c r="G385">
        <f>IF(Allocation!BO385="","",Allocation!BO385)</f>
      </c>
      <c r="H385">
        <f>IF(Allocation!BP385="","",Allocation!BP385)</f>
      </c>
      <c r="I385">
        <f>IF(Allocation!BQ385="","",Allocation!BQ385)</f>
      </c>
      <c r="J385">
        <f>IF(Allocation!CC385="","",Allocation!CC385)</f>
      </c>
      <c r="K385">
        <f>IF($A385="","",$H385*IF(AND(LEFT($D385,3)="BAC",$F385="INIT"),600,IF(LEFT($D385,3)="BAC",480,IF(AND(LEFT($D385,3)="MAS",$F385="INIT"),520,IF(LEFT($D385,3)="MAS",420,IF($F385="INIT",1000,700))))))</f>
      </c>
      <c r="L385">
        <f>IF($A385="","",SUMIFS($G$1:$G$349,$AS$1:$AS$349,$AS385,$B$1:$B$349,$B385))</f>
      </c>
      <c r="M385">
        <f>IF($A385="","",SUMIFS($H$1:$H$349,$AS$1:$AS$349,$AS385,$B$1:$B$349,$B385))</f>
      </c>
      <c r="N385">
        <f>IF($A385="","",SUMIFS($I$1:$I$349,$AS$1:$AS$349,$AS385,$B$1:$B$349,$B385))</f>
      </c>
      <c r="O385">
        <f>IF($A385="","",SUMIFS($K$1:$K$349,$AS$1:$AS$349,$AS385,$B$1:$B$349,$B385))</f>
      </c>
      <c r="P385">
        <f>IF($A385="","",SUMIFS($J$1:$J$349,$AS$1:$AS$349,$AS385,$B$1:$B$349,$B385))</f>
      </c>
      <c r="Q385">
        <f>IF($A385="","",SUMIFS($G$1:$G$349,$AS$1:$AS$349,$AS385,$C$1:$C$349,$C385))</f>
      </c>
      <c r="R385">
        <f>IF($A385="","",SUMIFS($H$1:$H$349,$AS$1:$AS$349,$AS385,$C$1:$C$349,$C385))</f>
      </c>
      <c r="S385">
        <f>IF($A385="","",SUMIFS($I$1:$I$349,$AS$1:$AS$349,$AS385,$C$1:$C$349,$C385))</f>
      </c>
      <c r="T385">
        <f>IF($A385="","",SUMIFS($G$1:$G$349,$AS$1:$AS$349,$AS385))</f>
      </c>
      <c r="U385">
        <f>IF($A385="","",SUMIFS($H$1:$H$349,$AS$1:$AS$349,$AS385))</f>
      </c>
      <c r="V385">
        <f>IF($A385="","",SUMIFS($I$1:$I$349,$AS$1:$AS$349,$AS385))</f>
      </c>
      <c r="W385">
        <f>IF($A385="","",Allocation!CD385)</f>
      </c>
      <c r="X385">
        <f>IF($A385="","",Allocation!CE385)</f>
      </c>
      <c r="Y385">
        <f>IF($A385="","",Allocation!CF385)</f>
      </c>
      <c r="Z385">
        <f>IF($A385="","",Allocation!CG385)</f>
      </c>
      <c r="AA385">
        <f>IF($A385="","",Allocation!CH385)</f>
      </c>
      <c r="AB385">
        <f>IF($A385="","",Allocation!CI385)</f>
      </c>
      <c r="AC385">
        <f>IF($A385="","",IF(Allocation!$N$4="VOL_EFF",$G385,IF(Allocation!$N$4="VOL_CLASS",$H385,$I385)))</f>
      </c>
      <c r="AD385">
        <f>IF($A385="","",IF(Allocation!$N$4="VOL_EFF",$L385,IF(Allocation!$N$4="VOL_CLASS",$M385,$N385)))</f>
      </c>
      <c r="AE385">
        <f>IF($A385="","",IF(Allocation!$N$3="VOL_EFF",$L385,IF(Allocation!$N$3="VOL_CLASS",$M385,$N385)))</f>
      </c>
      <c r="AF385">
        <f>IF($A385="","",IF(Allocation!$N$3="VOL_EFF",$Q385,IF(Allocation!$N$3="VOL_CLASS",$R385,$S385)))</f>
      </c>
      <c r="AG385">
        <f>IF($A385="","",IF(Allocation!$N$1="VOL_EFF",$Q385,IF(Allocation!$N$1="VOL_CLASS",$R385,$S385)))</f>
      </c>
      <c r="AH385">
        <f>IF($A385="","",IF(Allocation!$N$1="VOL_EFF",$T385,IF(Allocation!$N$1="VOL_CLASS",$U385,$V385)))</f>
      </c>
      <c r="AI385">
        <f>IF($A385="","",$W385*IFERROR($K385/$O385,0))</f>
      </c>
      <c r="AJ385">
        <f>IF($A385="","",$X385*IFERROR($K385/$O385,0))</f>
      </c>
      <c r="AK385">
        <f>IF($A385="","",$Y385*IFERROR($G385/$L385,0)+$Z385*IFERROR($J385/$P385,0))</f>
      </c>
      <c r="AL385">
        <f>IF($A385="","",$AA385*IFERROR($AC385/$AD385,0))</f>
      </c>
      <c r="AM385">
        <f>IF($A385="","",$AB385*IFERROR($AG385/$AH385,0)*IFERROR($AE385/$AF385,0)*IFERROR($AC385/$AD385,0))</f>
      </c>
      <c r="AN385">
        <f>IF($A385="","",$I385-($AI385+$AJ385+$AK385+$AL385+$AM385+$AR385))</f>
      </c>
      <c r="AO385">
        <f>IF($A385="","",Allocation!CJ385)</f>
      </c>
      <c r="AP385">
        <f>IF($A385="","",IF(Allocation!$N$2="VOL_EFF",$Q385,IF(Allocation!$N$2="VOL_CLASS",$R385,$S385)))</f>
      </c>
      <c r="AQ385">
        <f>IF($A385="","",IF(Allocation!$N$2="VOL_EFF",$T385,IF(Allocation!$N$2="VOL_CLASS",$U385,$V385)))</f>
      </c>
      <c r="AR385">
        <f>IF($A385="","",$AO385*IFERROR($AP385/$AQ385,0)*IFERROR($AE385/$AF385,0)*IFERROR($AC385/$AD385,0))</f>
      </c>
      <c r="AS385">
        <f>IF($A385="","",$A385&amp;"|"&amp;Allocation!BG385)</f>
      </c>
    </row>
    <row r="386" spans="1:45">
      <c r="A386">
        <f>IF(Allocation!BI386="","",Allocation!BI386)</f>
      </c>
      <c r="B386">
        <f>IF(Allocation!BJ386="","",Allocation!BJ386)</f>
      </c>
      <c r="C386">
        <f>IF(Allocation!BK386="","",Allocation!BK386)</f>
      </c>
      <c r="D386">
        <f>IF(Allocation!BL386="","",Allocation!BL386)</f>
      </c>
      <c r="E386">
        <f>IF(Allocation!BM386="","",Allocation!BM386)</f>
      </c>
      <c r="F386">
        <f>IF(Allocation!BN386="","",Allocation!BN386)</f>
      </c>
      <c r="G386">
        <f>IF(Allocation!BO386="","",Allocation!BO386)</f>
      </c>
      <c r="H386">
        <f>IF(Allocation!BP386="","",Allocation!BP386)</f>
      </c>
      <c r="I386">
        <f>IF(Allocation!BQ386="","",Allocation!BQ386)</f>
      </c>
      <c r="J386">
        <f>IF(Allocation!CC386="","",Allocation!CC386)</f>
      </c>
      <c r="K386">
        <f>IF($A386="","",$H386*IF(AND(LEFT($D386,3)="BAC",$F386="INIT"),600,IF(LEFT($D386,3)="BAC",480,IF(AND(LEFT($D386,3)="MAS",$F386="INIT"),520,IF(LEFT($D386,3)="MAS",420,IF($F386="INIT",1000,700))))))</f>
      </c>
      <c r="L386">
        <f>IF($A386="","",SUMIFS($G$1:$G$349,$AS$1:$AS$349,$AS386,$B$1:$B$349,$B386))</f>
      </c>
      <c r="M386">
        <f>IF($A386="","",SUMIFS($H$1:$H$349,$AS$1:$AS$349,$AS386,$B$1:$B$349,$B386))</f>
      </c>
      <c r="N386">
        <f>IF($A386="","",SUMIFS($I$1:$I$349,$AS$1:$AS$349,$AS386,$B$1:$B$349,$B386))</f>
      </c>
      <c r="O386">
        <f>IF($A386="","",SUMIFS($K$1:$K$349,$AS$1:$AS$349,$AS386,$B$1:$B$349,$B386))</f>
      </c>
      <c r="P386">
        <f>IF($A386="","",SUMIFS($J$1:$J$349,$AS$1:$AS$349,$AS386,$B$1:$B$349,$B386))</f>
      </c>
      <c r="Q386">
        <f>IF($A386="","",SUMIFS($G$1:$G$349,$AS$1:$AS$349,$AS386,$C$1:$C$349,$C386))</f>
      </c>
      <c r="R386">
        <f>IF($A386="","",SUMIFS($H$1:$H$349,$AS$1:$AS$349,$AS386,$C$1:$C$349,$C386))</f>
      </c>
      <c r="S386">
        <f>IF($A386="","",SUMIFS($I$1:$I$349,$AS$1:$AS$349,$AS386,$C$1:$C$349,$C386))</f>
      </c>
      <c r="T386">
        <f>IF($A386="","",SUMIFS($G$1:$G$349,$AS$1:$AS$349,$AS386))</f>
      </c>
      <c r="U386">
        <f>IF($A386="","",SUMIFS($H$1:$H$349,$AS$1:$AS$349,$AS386))</f>
      </c>
      <c r="V386">
        <f>IF($A386="","",SUMIFS($I$1:$I$349,$AS$1:$AS$349,$AS386))</f>
      </c>
      <c r="W386">
        <f>IF($A386="","",Allocation!CD386)</f>
      </c>
      <c r="X386">
        <f>IF($A386="","",Allocation!CE386)</f>
      </c>
      <c r="Y386">
        <f>IF($A386="","",Allocation!CF386)</f>
      </c>
      <c r="Z386">
        <f>IF($A386="","",Allocation!CG386)</f>
      </c>
      <c r="AA386">
        <f>IF($A386="","",Allocation!CH386)</f>
      </c>
      <c r="AB386">
        <f>IF($A386="","",Allocation!CI386)</f>
      </c>
      <c r="AC386">
        <f>IF($A386="","",IF(Allocation!$N$4="VOL_EFF",$G386,IF(Allocation!$N$4="VOL_CLASS",$H386,$I386)))</f>
      </c>
      <c r="AD386">
        <f>IF($A386="","",IF(Allocation!$N$4="VOL_EFF",$L386,IF(Allocation!$N$4="VOL_CLASS",$M386,$N386)))</f>
      </c>
      <c r="AE386">
        <f>IF($A386="","",IF(Allocation!$N$3="VOL_EFF",$L386,IF(Allocation!$N$3="VOL_CLASS",$M386,$N386)))</f>
      </c>
      <c r="AF386">
        <f>IF($A386="","",IF(Allocation!$N$3="VOL_EFF",$Q386,IF(Allocation!$N$3="VOL_CLASS",$R386,$S386)))</f>
      </c>
      <c r="AG386">
        <f>IF($A386="","",IF(Allocation!$N$1="VOL_EFF",$Q386,IF(Allocation!$N$1="VOL_CLASS",$R386,$S386)))</f>
      </c>
      <c r="AH386">
        <f>IF($A386="","",IF(Allocation!$N$1="VOL_EFF",$T386,IF(Allocation!$N$1="VOL_CLASS",$U386,$V386)))</f>
      </c>
      <c r="AI386">
        <f>IF($A386="","",$W386*IFERROR($K386/$O386,0))</f>
      </c>
      <c r="AJ386">
        <f>IF($A386="","",$X386*IFERROR($K386/$O386,0))</f>
      </c>
      <c r="AK386">
        <f>IF($A386="","",$Y386*IFERROR($G386/$L386,0)+$Z386*IFERROR($J386/$P386,0))</f>
      </c>
      <c r="AL386">
        <f>IF($A386="","",$AA386*IFERROR($AC386/$AD386,0))</f>
      </c>
      <c r="AM386">
        <f>IF($A386="","",$AB386*IFERROR($AG386/$AH386,0)*IFERROR($AE386/$AF386,0)*IFERROR($AC386/$AD386,0))</f>
      </c>
      <c r="AN386">
        <f>IF($A386="","",$I386-($AI386+$AJ386+$AK386+$AL386+$AM386+$AR386))</f>
      </c>
      <c r="AO386">
        <f>IF($A386="","",Allocation!CJ386)</f>
      </c>
      <c r="AP386">
        <f>IF($A386="","",IF(Allocation!$N$2="VOL_EFF",$Q386,IF(Allocation!$N$2="VOL_CLASS",$R386,$S386)))</f>
      </c>
      <c r="AQ386">
        <f>IF($A386="","",IF(Allocation!$N$2="VOL_EFF",$T386,IF(Allocation!$N$2="VOL_CLASS",$U386,$V386)))</f>
      </c>
      <c r="AR386">
        <f>IF($A386="","",$AO386*IFERROR($AP386/$AQ386,0)*IFERROR($AE386/$AF386,0)*IFERROR($AC386/$AD386,0))</f>
      </c>
      <c r="AS386">
        <f>IF($A386="","",$A386&amp;"|"&amp;Allocation!BG386)</f>
      </c>
    </row>
    <row r="387" spans="1:45">
      <c r="A387">
        <f>IF(Allocation!BI387="","",Allocation!BI387)</f>
      </c>
      <c r="B387">
        <f>IF(Allocation!BJ387="","",Allocation!BJ387)</f>
      </c>
      <c r="C387">
        <f>IF(Allocation!BK387="","",Allocation!BK387)</f>
      </c>
      <c r="D387">
        <f>IF(Allocation!BL387="","",Allocation!BL387)</f>
      </c>
      <c r="E387">
        <f>IF(Allocation!BM387="","",Allocation!BM387)</f>
      </c>
      <c r="F387">
        <f>IF(Allocation!BN387="","",Allocation!BN387)</f>
      </c>
      <c r="G387">
        <f>IF(Allocation!BO387="","",Allocation!BO387)</f>
      </c>
      <c r="H387">
        <f>IF(Allocation!BP387="","",Allocation!BP387)</f>
      </c>
      <c r="I387">
        <f>IF(Allocation!BQ387="","",Allocation!BQ387)</f>
      </c>
      <c r="J387">
        <f>IF(Allocation!CC387="","",Allocation!CC387)</f>
      </c>
      <c r="K387">
        <f>IF($A387="","",$H387*IF(AND(LEFT($D387,3)="BAC",$F387="INIT"),600,IF(LEFT($D387,3)="BAC",480,IF(AND(LEFT($D387,3)="MAS",$F387="INIT"),520,IF(LEFT($D387,3)="MAS",420,IF($F387="INIT",1000,700))))))</f>
      </c>
      <c r="L387">
        <f>IF($A387="","",SUMIFS($G$1:$G$349,$AS$1:$AS$349,$AS387,$B$1:$B$349,$B387))</f>
      </c>
      <c r="M387">
        <f>IF($A387="","",SUMIFS($H$1:$H$349,$AS$1:$AS$349,$AS387,$B$1:$B$349,$B387))</f>
      </c>
      <c r="N387">
        <f>IF($A387="","",SUMIFS($I$1:$I$349,$AS$1:$AS$349,$AS387,$B$1:$B$349,$B387))</f>
      </c>
      <c r="O387">
        <f>IF($A387="","",SUMIFS($K$1:$K$349,$AS$1:$AS$349,$AS387,$B$1:$B$349,$B387))</f>
      </c>
      <c r="P387">
        <f>IF($A387="","",SUMIFS($J$1:$J$349,$AS$1:$AS$349,$AS387,$B$1:$B$349,$B387))</f>
      </c>
      <c r="Q387">
        <f>IF($A387="","",SUMIFS($G$1:$G$349,$AS$1:$AS$349,$AS387,$C$1:$C$349,$C387))</f>
      </c>
      <c r="R387">
        <f>IF($A387="","",SUMIFS($H$1:$H$349,$AS$1:$AS$349,$AS387,$C$1:$C$349,$C387))</f>
      </c>
      <c r="S387">
        <f>IF($A387="","",SUMIFS($I$1:$I$349,$AS$1:$AS$349,$AS387,$C$1:$C$349,$C387))</f>
      </c>
      <c r="T387">
        <f>IF($A387="","",SUMIFS($G$1:$G$349,$AS$1:$AS$349,$AS387))</f>
      </c>
      <c r="U387">
        <f>IF($A387="","",SUMIFS($H$1:$H$349,$AS$1:$AS$349,$AS387))</f>
      </c>
      <c r="V387">
        <f>IF($A387="","",SUMIFS($I$1:$I$349,$AS$1:$AS$349,$AS387))</f>
      </c>
      <c r="W387">
        <f>IF($A387="","",Allocation!CD387)</f>
      </c>
      <c r="X387">
        <f>IF($A387="","",Allocation!CE387)</f>
      </c>
      <c r="Y387">
        <f>IF($A387="","",Allocation!CF387)</f>
      </c>
      <c r="Z387">
        <f>IF($A387="","",Allocation!CG387)</f>
      </c>
      <c r="AA387">
        <f>IF($A387="","",Allocation!CH387)</f>
      </c>
      <c r="AB387">
        <f>IF($A387="","",Allocation!CI387)</f>
      </c>
      <c r="AC387">
        <f>IF($A387="","",IF(Allocation!$N$4="VOL_EFF",$G387,IF(Allocation!$N$4="VOL_CLASS",$H387,$I387)))</f>
      </c>
      <c r="AD387">
        <f>IF($A387="","",IF(Allocation!$N$4="VOL_EFF",$L387,IF(Allocation!$N$4="VOL_CLASS",$M387,$N387)))</f>
      </c>
      <c r="AE387">
        <f>IF($A387="","",IF(Allocation!$N$3="VOL_EFF",$L387,IF(Allocation!$N$3="VOL_CLASS",$M387,$N387)))</f>
      </c>
      <c r="AF387">
        <f>IF($A387="","",IF(Allocation!$N$3="VOL_EFF",$Q387,IF(Allocation!$N$3="VOL_CLASS",$R387,$S387)))</f>
      </c>
      <c r="AG387">
        <f>IF($A387="","",IF(Allocation!$N$1="VOL_EFF",$Q387,IF(Allocation!$N$1="VOL_CLASS",$R387,$S387)))</f>
      </c>
      <c r="AH387">
        <f>IF($A387="","",IF(Allocation!$N$1="VOL_EFF",$T387,IF(Allocation!$N$1="VOL_CLASS",$U387,$V387)))</f>
      </c>
      <c r="AI387">
        <f>IF($A387="","",$W387*IFERROR($K387/$O387,0))</f>
      </c>
      <c r="AJ387">
        <f>IF($A387="","",$X387*IFERROR($K387/$O387,0))</f>
      </c>
      <c r="AK387">
        <f>IF($A387="","",$Y387*IFERROR($G387/$L387,0)+$Z387*IFERROR($J387/$P387,0))</f>
      </c>
      <c r="AL387">
        <f>IF($A387="","",$AA387*IFERROR($AC387/$AD387,0))</f>
      </c>
      <c r="AM387">
        <f>IF($A387="","",$AB387*IFERROR($AG387/$AH387,0)*IFERROR($AE387/$AF387,0)*IFERROR($AC387/$AD387,0))</f>
      </c>
      <c r="AN387">
        <f>IF($A387="","",$I387-($AI387+$AJ387+$AK387+$AL387+$AM387+$AR387))</f>
      </c>
      <c r="AO387">
        <f>IF($A387="","",Allocation!CJ387)</f>
      </c>
      <c r="AP387">
        <f>IF($A387="","",IF(Allocation!$N$2="VOL_EFF",$Q387,IF(Allocation!$N$2="VOL_CLASS",$R387,$S387)))</f>
      </c>
      <c r="AQ387">
        <f>IF($A387="","",IF(Allocation!$N$2="VOL_EFF",$T387,IF(Allocation!$N$2="VOL_CLASS",$U387,$V387)))</f>
      </c>
      <c r="AR387">
        <f>IF($A387="","",$AO387*IFERROR($AP387/$AQ387,0)*IFERROR($AE387/$AF387,0)*IFERROR($AC387/$AD387,0))</f>
      </c>
      <c r="AS387">
        <f>IF($A387="","",$A387&amp;"|"&amp;Allocation!BG387)</f>
      </c>
    </row>
    <row r="388" spans="1:45">
      <c r="A388">
        <f>IF(Allocation!BI388="","",Allocation!BI388)</f>
      </c>
      <c r="B388">
        <f>IF(Allocation!BJ388="","",Allocation!BJ388)</f>
      </c>
      <c r="C388">
        <f>IF(Allocation!BK388="","",Allocation!BK388)</f>
      </c>
      <c r="D388">
        <f>IF(Allocation!BL388="","",Allocation!BL388)</f>
      </c>
      <c r="E388">
        <f>IF(Allocation!BM388="","",Allocation!BM388)</f>
      </c>
      <c r="F388">
        <f>IF(Allocation!BN388="","",Allocation!BN388)</f>
      </c>
      <c r="G388">
        <f>IF(Allocation!BO388="","",Allocation!BO388)</f>
      </c>
      <c r="H388">
        <f>IF(Allocation!BP388="","",Allocation!BP388)</f>
      </c>
      <c r="I388">
        <f>IF(Allocation!BQ388="","",Allocation!BQ388)</f>
      </c>
      <c r="J388">
        <f>IF(Allocation!CC388="","",Allocation!CC388)</f>
      </c>
      <c r="K388">
        <f>IF($A388="","",$H388*IF(AND(LEFT($D388,3)="BAC",$F388="INIT"),600,IF(LEFT($D388,3)="BAC",480,IF(AND(LEFT($D388,3)="MAS",$F388="INIT"),520,IF(LEFT($D388,3)="MAS",420,IF($F388="INIT",1000,700))))))</f>
      </c>
      <c r="L388">
        <f>IF($A388="","",SUMIFS($G$1:$G$349,$AS$1:$AS$349,$AS388,$B$1:$B$349,$B388))</f>
      </c>
      <c r="M388">
        <f>IF($A388="","",SUMIFS($H$1:$H$349,$AS$1:$AS$349,$AS388,$B$1:$B$349,$B388))</f>
      </c>
      <c r="N388">
        <f>IF($A388="","",SUMIFS($I$1:$I$349,$AS$1:$AS$349,$AS388,$B$1:$B$349,$B388))</f>
      </c>
      <c r="O388">
        <f>IF($A388="","",SUMIFS($K$1:$K$349,$AS$1:$AS$349,$AS388,$B$1:$B$349,$B388))</f>
      </c>
      <c r="P388">
        <f>IF($A388="","",SUMIFS($J$1:$J$349,$AS$1:$AS$349,$AS388,$B$1:$B$349,$B388))</f>
      </c>
      <c r="Q388">
        <f>IF($A388="","",SUMIFS($G$1:$G$349,$AS$1:$AS$349,$AS388,$C$1:$C$349,$C388))</f>
      </c>
      <c r="R388">
        <f>IF($A388="","",SUMIFS($H$1:$H$349,$AS$1:$AS$349,$AS388,$C$1:$C$349,$C388))</f>
      </c>
      <c r="S388">
        <f>IF($A388="","",SUMIFS($I$1:$I$349,$AS$1:$AS$349,$AS388,$C$1:$C$349,$C388))</f>
      </c>
      <c r="T388">
        <f>IF($A388="","",SUMIFS($G$1:$G$349,$AS$1:$AS$349,$AS388))</f>
      </c>
      <c r="U388">
        <f>IF($A388="","",SUMIFS($H$1:$H$349,$AS$1:$AS$349,$AS388))</f>
      </c>
      <c r="V388">
        <f>IF($A388="","",SUMIFS($I$1:$I$349,$AS$1:$AS$349,$AS388))</f>
      </c>
      <c r="W388">
        <f>IF($A388="","",Allocation!CD388)</f>
      </c>
      <c r="X388">
        <f>IF($A388="","",Allocation!CE388)</f>
      </c>
      <c r="Y388">
        <f>IF($A388="","",Allocation!CF388)</f>
      </c>
      <c r="Z388">
        <f>IF($A388="","",Allocation!CG388)</f>
      </c>
      <c r="AA388">
        <f>IF($A388="","",Allocation!CH388)</f>
      </c>
      <c r="AB388">
        <f>IF($A388="","",Allocation!CI388)</f>
      </c>
      <c r="AC388">
        <f>IF($A388="","",IF(Allocation!$N$4="VOL_EFF",$G388,IF(Allocation!$N$4="VOL_CLASS",$H388,$I388)))</f>
      </c>
      <c r="AD388">
        <f>IF($A388="","",IF(Allocation!$N$4="VOL_EFF",$L388,IF(Allocation!$N$4="VOL_CLASS",$M388,$N388)))</f>
      </c>
      <c r="AE388">
        <f>IF($A388="","",IF(Allocation!$N$3="VOL_EFF",$L388,IF(Allocation!$N$3="VOL_CLASS",$M388,$N388)))</f>
      </c>
      <c r="AF388">
        <f>IF($A388="","",IF(Allocation!$N$3="VOL_EFF",$Q388,IF(Allocation!$N$3="VOL_CLASS",$R388,$S388)))</f>
      </c>
      <c r="AG388">
        <f>IF($A388="","",IF(Allocation!$N$1="VOL_EFF",$Q388,IF(Allocation!$N$1="VOL_CLASS",$R388,$S388)))</f>
      </c>
      <c r="AH388">
        <f>IF($A388="","",IF(Allocation!$N$1="VOL_EFF",$T388,IF(Allocation!$N$1="VOL_CLASS",$U388,$V388)))</f>
      </c>
      <c r="AI388">
        <f>IF($A388="","",$W388*IFERROR($K388/$O388,0))</f>
      </c>
      <c r="AJ388">
        <f>IF($A388="","",$X388*IFERROR($K388/$O388,0))</f>
      </c>
      <c r="AK388">
        <f>IF($A388="","",$Y388*IFERROR($G388/$L388,0)+$Z388*IFERROR($J388/$P388,0))</f>
      </c>
      <c r="AL388">
        <f>IF($A388="","",$AA388*IFERROR($AC388/$AD388,0))</f>
      </c>
      <c r="AM388">
        <f>IF($A388="","",$AB388*IFERROR($AG388/$AH388,0)*IFERROR($AE388/$AF388,0)*IFERROR($AC388/$AD388,0))</f>
      </c>
      <c r="AN388">
        <f>IF($A388="","",$I388-($AI388+$AJ388+$AK388+$AL388+$AM388+$AR388))</f>
      </c>
      <c r="AO388">
        <f>IF($A388="","",Allocation!CJ388)</f>
      </c>
      <c r="AP388">
        <f>IF($A388="","",IF(Allocation!$N$2="VOL_EFF",$Q388,IF(Allocation!$N$2="VOL_CLASS",$R388,$S388)))</f>
      </c>
      <c r="AQ388">
        <f>IF($A388="","",IF(Allocation!$N$2="VOL_EFF",$T388,IF(Allocation!$N$2="VOL_CLASS",$U388,$V388)))</f>
      </c>
      <c r="AR388">
        <f>IF($A388="","",$AO388*IFERROR($AP388/$AQ388,0)*IFERROR($AE388/$AF388,0)*IFERROR($AC388/$AD388,0))</f>
      </c>
      <c r="AS388">
        <f>IF($A388="","",$A388&amp;"|"&amp;Allocation!BG388)</f>
      </c>
    </row>
    <row r="389" spans="1:45">
      <c r="A389">
        <f>IF(Allocation!BI389="","",Allocation!BI389)</f>
      </c>
      <c r="B389">
        <f>IF(Allocation!BJ389="","",Allocation!BJ389)</f>
      </c>
      <c r="C389">
        <f>IF(Allocation!BK389="","",Allocation!BK389)</f>
      </c>
      <c r="D389">
        <f>IF(Allocation!BL389="","",Allocation!BL389)</f>
      </c>
      <c r="E389">
        <f>IF(Allocation!BM389="","",Allocation!BM389)</f>
      </c>
      <c r="F389">
        <f>IF(Allocation!BN389="","",Allocation!BN389)</f>
      </c>
      <c r="G389">
        <f>IF(Allocation!BO389="","",Allocation!BO389)</f>
      </c>
      <c r="H389">
        <f>IF(Allocation!BP389="","",Allocation!BP389)</f>
      </c>
      <c r="I389">
        <f>IF(Allocation!BQ389="","",Allocation!BQ389)</f>
      </c>
      <c r="J389">
        <f>IF(Allocation!CC389="","",Allocation!CC389)</f>
      </c>
      <c r="K389">
        <f>IF($A389="","",$H389*IF(AND(LEFT($D389,3)="BAC",$F389="INIT"),600,IF(LEFT($D389,3)="BAC",480,IF(AND(LEFT($D389,3)="MAS",$F389="INIT"),520,IF(LEFT($D389,3)="MAS",420,IF($F389="INIT",1000,700))))))</f>
      </c>
      <c r="L389">
        <f>IF($A389="","",SUMIFS($G$1:$G$349,$AS$1:$AS$349,$AS389,$B$1:$B$349,$B389))</f>
      </c>
      <c r="M389">
        <f>IF($A389="","",SUMIFS($H$1:$H$349,$AS$1:$AS$349,$AS389,$B$1:$B$349,$B389))</f>
      </c>
      <c r="N389">
        <f>IF($A389="","",SUMIFS($I$1:$I$349,$AS$1:$AS$349,$AS389,$B$1:$B$349,$B389))</f>
      </c>
      <c r="O389">
        <f>IF($A389="","",SUMIFS($K$1:$K$349,$AS$1:$AS$349,$AS389,$B$1:$B$349,$B389))</f>
      </c>
      <c r="P389">
        <f>IF($A389="","",SUMIFS($J$1:$J$349,$AS$1:$AS$349,$AS389,$B$1:$B$349,$B389))</f>
      </c>
      <c r="Q389">
        <f>IF($A389="","",SUMIFS($G$1:$G$349,$AS$1:$AS$349,$AS389,$C$1:$C$349,$C389))</f>
      </c>
      <c r="R389">
        <f>IF($A389="","",SUMIFS($H$1:$H$349,$AS$1:$AS$349,$AS389,$C$1:$C$349,$C389))</f>
      </c>
      <c r="S389">
        <f>IF($A389="","",SUMIFS($I$1:$I$349,$AS$1:$AS$349,$AS389,$C$1:$C$349,$C389))</f>
      </c>
      <c r="T389">
        <f>IF($A389="","",SUMIFS($G$1:$G$349,$AS$1:$AS$349,$AS389))</f>
      </c>
      <c r="U389">
        <f>IF($A389="","",SUMIFS($H$1:$H$349,$AS$1:$AS$349,$AS389))</f>
      </c>
      <c r="V389">
        <f>IF($A389="","",SUMIFS($I$1:$I$349,$AS$1:$AS$349,$AS389))</f>
      </c>
      <c r="W389">
        <f>IF($A389="","",Allocation!CD389)</f>
      </c>
      <c r="X389">
        <f>IF($A389="","",Allocation!CE389)</f>
      </c>
      <c r="Y389">
        <f>IF($A389="","",Allocation!CF389)</f>
      </c>
      <c r="Z389">
        <f>IF($A389="","",Allocation!CG389)</f>
      </c>
      <c r="AA389">
        <f>IF($A389="","",Allocation!CH389)</f>
      </c>
      <c r="AB389">
        <f>IF($A389="","",Allocation!CI389)</f>
      </c>
      <c r="AC389">
        <f>IF($A389="","",IF(Allocation!$N$4="VOL_EFF",$G389,IF(Allocation!$N$4="VOL_CLASS",$H389,$I389)))</f>
      </c>
      <c r="AD389">
        <f>IF($A389="","",IF(Allocation!$N$4="VOL_EFF",$L389,IF(Allocation!$N$4="VOL_CLASS",$M389,$N389)))</f>
      </c>
      <c r="AE389">
        <f>IF($A389="","",IF(Allocation!$N$3="VOL_EFF",$L389,IF(Allocation!$N$3="VOL_CLASS",$M389,$N389)))</f>
      </c>
      <c r="AF389">
        <f>IF($A389="","",IF(Allocation!$N$3="VOL_EFF",$Q389,IF(Allocation!$N$3="VOL_CLASS",$R389,$S389)))</f>
      </c>
      <c r="AG389">
        <f>IF($A389="","",IF(Allocation!$N$1="VOL_EFF",$Q389,IF(Allocation!$N$1="VOL_CLASS",$R389,$S389)))</f>
      </c>
      <c r="AH389">
        <f>IF($A389="","",IF(Allocation!$N$1="VOL_EFF",$T389,IF(Allocation!$N$1="VOL_CLASS",$U389,$V389)))</f>
      </c>
      <c r="AI389">
        <f>IF($A389="","",$W389*IFERROR($K389/$O389,0))</f>
      </c>
      <c r="AJ389">
        <f>IF($A389="","",$X389*IFERROR($K389/$O389,0))</f>
      </c>
      <c r="AK389">
        <f>IF($A389="","",$Y389*IFERROR($G389/$L389,0)+$Z389*IFERROR($J389/$P389,0))</f>
      </c>
      <c r="AL389">
        <f>IF($A389="","",$AA389*IFERROR($AC389/$AD389,0))</f>
      </c>
      <c r="AM389">
        <f>IF($A389="","",$AB389*IFERROR($AG389/$AH389,0)*IFERROR($AE389/$AF389,0)*IFERROR($AC389/$AD389,0))</f>
      </c>
      <c r="AN389">
        <f>IF($A389="","",$I389-($AI389+$AJ389+$AK389+$AL389+$AM389+$AR389))</f>
      </c>
      <c r="AO389">
        <f>IF($A389="","",Allocation!CJ389)</f>
      </c>
      <c r="AP389">
        <f>IF($A389="","",IF(Allocation!$N$2="VOL_EFF",$Q389,IF(Allocation!$N$2="VOL_CLASS",$R389,$S389)))</f>
      </c>
      <c r="AQ389">
        <f>IF($A389="","",IF(Allocation!$N$2="VOL_EFF",$T389,IF(Allocation!$N$2="VOL_CLASS",$U389,$V389)))</f>
      </c>
      <c r="AR389">
        <f>IF($A389="","",$AO389*IFERROR($AP389/$AQ389,0)*IFERROR($AE389/$AF389,0)*IFERROR($AC389/$AD389,0))</f>
      </c>
      <c r="AS389">
        <f>IF($A389="","",$A389&amp;"|"&amp;Allocation!BG389)</f>
      </c>
    </row>
    <row r="390" spans="1:45">
      <c r="A390">
        <f>IF(Allocation!BI390="","",Allocation!BI390)</f>
      </c>
      <c r="B390">
        <f>IF(Allocation!BJ390="","",Allocation!BJ390)</f>
      </c>
      <c r="C390">
        <f>IF(Allocation!BK390="","",Allocation!BK390)</f>
      </c>
      <c r="D390">
        <f>IF(Allocation!BL390="","",Allocation!BL390)</f>
      </c>
      <c r="E390">
        <f>IF(Allocation!BM390="","",Allocation!BM390)</f>
      </c>
      <c r="F390">
        <f>IF(Allocation!BN390="","",Allocation!BN390)</f>
      </c>
      <c r="G390">
        <f>IF(Allocation!BO390="","",Allocation!BO390)</f>
      </c>
      <c r="H390">
        <f>IF(Allocation!BP390="","",Allocation!BP390)</f>
      </c>
      <c r="I390">
        <f>IF(Allocation!BQ390="","",Allocation!BQ390)</f>
      </c>
      <c r="J390">
        <f>IF(Allocation!CC390="","",Allocation!CC390)</f>
      </c>
      <c r="K390">
        <f>IF($A390="","",$H390*IF(AND(LEFT($D390,3)="BAC",$F390="INIT"),600,IF(LEFT($D390,3)="BAC",480,IF(AND(LEFT($D390,3)="MAS",$F390="INIT"),520,IF(LEFT($D390,3)="MAS",420,IF($F390="INIT",1000,700))))))</f>
      </c>
      <c r="L390">
        <f>IF($A390="","",SUMIFS($G$1:$G$349,$AS$1:$AS$349,$AS390,$B$1:$B$349,$B390))</f>
      </c>
      <c r="M390">
        <f>IF($A390="","",SUMIFS($H$1:$H$349,$AS$1:$AS$349,$AS390,$B$1:$B$349,$B390))</f>
      </c>
      <c r="N390">
        <f>IF($A390="","",SUMIFS($I$1:$I$349,$AS$1:$AS$349,$AS390,$B$1:$B$349,$B390))</f>
      </c>
      <c r="O390">
        <f>IF($A390="","",SUMIFS($K$1:$K$349,$AS$1:$AS$349,$AS390,$B$1:$B$349,$B390))</f>
      </c>
      <c r="P390">
        <f>IF($A390="","",SUMIFS($J$1:$J$349,$AS$1:$AS$349,$AS390,$B$1:$B$349,$B390))</f>
      </c>
      <c r="Q390">
        <f>IF($A390="","",SUMIFS($G$1:$G$349,$AS$1:$AS$349,$AS390,$C$1:$C$349,$C390))</f>
      </c>
      <c r="R390">
        <f>IF($A390="","",SUMIFS($H$1:$H$349,$AS$1:$AS$349,$AS390,$C$1:$C$349,$C390))</f>
      </c>
      <c r="S390">
        <f>IF($A390="","",SUMIFS($I$1:$I$349,$AS$1:$AS$349,$AS390,$C$1:$C$349,$C390))</f>
      </c>
      <c r="T390">
        <f>IF($A390="","",SUMIFS($G$1:$G$349,$AS$1:$AS$349,$AS390))</f>
      </c>
      <c r="U390">
        <f>IF($A390="","",SUMIFS($H$1:$H$349,$AS$1:$AS$349,$AS390))</f>
      </c>
      <c r="V390">
        <f>IF($A390="","",SUMIFS($I$1:$I$349,$AS$1:$AS$349,$AS390))</f>
      </c>
      <c r="W390">
        <f>IF($A390="","",Allocation!CD390)</f>
      </c>
      <c r="X390">
        <f>IF($A390="","",Allocation!CE390)</f>
      </c>
      <c r="Y390">
        <f>IF($A390="","",Allocation!CF390)</f>
      </c>
      <c r="Z390">
        <f>IF($A390="","",Allocation!CG390)</f>
      </c>
      <c r="AA390">
        <f>IF($A390="","",Allocation!CH390)</f>
      </c>
      <c r="AB390">
        <f>IF($A390="","",Allocation!CI390)</f>
      </c>
      <c r="AC390">
        <f>IF($A390="","",IF(Allocation!$N$4="VOL_EFF",$G390,IF(Allocation!$N$4="VOL_CLASS",$H390,$I390)))</f>
      </c>
      <c r="AD390">
        <f>IF($A390="","",IF(Allocation!$N$4="VOL_EFF",$L390,IF(Allocation!$N$4="VOL_CLASS",$M390,$N390)))</f>
      </c>
      <c r="AE390">
        <f>IF($A390="","",IF(Allocation!$N$3="VOL_EFF",$L390,IF(Allocation!$N$3="VOL_CLASS",$M390,$N390)))</f>
      </c>
      <c r="AF390">
        <f>IF($A390="","",IF(Allocation!$N$3="VOL_EFF",$Q390,IF(Allocation!$N$3="VOL_CLASS",$R390,$S390)))</f>
      </c>
      <c r="AG390">
        <f>IF($A390="","",IF(Allocation!$N$1="VOL_EFF",$Q390,IF(Allocation!$N$1="VOL_CLASS",$R390,$S390)))</f>
      </c>
      <c r="AH390">
        <f>IF($A390="","",IF(Allocation!$N$1="VOL_EFF",$T390,IF(Allocation!$N$1="VOL_CLASS",$U390,$V390)))</f>
      </c>
      <c r="AI390">
        <f>IF($A390="","",$W390*IFERROR($K390/$O390,0))</f>
      </c>
      <c r="AJ390">
        <f>IF($A390="","",$X390*IFERROR($K390/$O390,0))</f>
      </c>
      <c r="AK390">
        <f>IF($A390="","",$Y390*IFERROR($G390/$L390,0)+$Z390*IFERROR($J390/$P390,0))</f>
      </c>
      <c r="AL390">
        <f>IF($A390="","",$AA390*IFERROR($AC390/$AD390,0))</f>
      </c>
      <c r="AM390">
        <f>IF($A390="","",$AB390*IFERROR($AG390/$AH390,0)*IFERROR($AE390/$AF390,0)*IFERROR($AC390/$AD390,0))</f>
      </c>
      <c r="AN390">
        <f>IF($A390="","",$I390-($AI390+$AJ390+$AK390+$AL390+$AM390+$AR390))</f>
      </c>
      <c r="AO390">
        <f>IF($A390="","",Allocation!CJ390)</f>
      </c>
      <c r="AP390">
        <f>IF($A390="","",IF(Allocation!$N$2="VOL_EFF",$Q390,IF(Allocation!$N$2="VOL_CLASS",$R390,$S390)))</f>
      </c>
      <c r="AQ390">
        <f>IF($A390="","",IF(Allocation!$N$2="VOL_EFF",$T390,IF(Allocation!$N$2="VOL_CLASS",$U390,$V390)))</f>
      </c>
      <c r="AR390">
        <f>IF($A390="","",$AO390*IFERROR($AP390/$AQ390,0)*IFERROR($AE390/$AF390,0)*IFERROR($AC390/$AD390,0))</f>
      </c>
      <c r="AS390">
        <f>IF($A390="","",$A390&amp;"|"&amp;Allocation!BG390)</f>
      </c>
    </row>
    <row r="391" spans="1:45">
      <c r="A391">
        <f>IF(Allocation!BI391="","",Allocation!BI391)</f>
      </c>
      <c r="B391">
        <f>IF(Allocation!BJ391="","",Allocation!BJ391)</f>
      </c>
      <c r="C391">
        <f>IF(Allocation!BK391="","",Allocation!BK391)</f>
      </c>
      <c r="D391">
        <f>IF(Allocation!BL391="","",Allocation!BL391)</f>
      </c>
      <c r="E391">
        <f>IF(Allocation!BM391="","",Allocation!BM391)</f>
      </c>
      <c r="F391">
        <f>IF(Allocation!BN391="","",Allocation!BN391)</f>
      </c>
      <c r="G391">
        <f>IF(Allocation!BO391="","",Allocation!BO391)</f>
      </c>
      <c r="H391">
        <f>IF(Allocation!BP391="","",Allocation!BP391)</f>
      </c>
      <c r="I391">
        <f>IF(Allocation!BQ391="","",Allocation!BQ391)</f>
      </c>
      <c r="J391">
        <f>IF(Allocation!CC391="","",Allocation!CC391)</f>
      </c>
      <c r="K391">
        <f>IF($A391="","",$H391*IF(AND(LEFT($D391,3)="BAC",$F391="INIT"),600,IF(LEFT($D391,3)="BAC",480,IF(AND(LEFT($D391,3)="MAS",$F391="INIT"),520,IF(LEFT($D391,3)="MAS",420,IF($F391="INIT",1000,700))))))</f>
      </c>
      <c r="L391">
        <f>IF($A391="","",SUMIFS($G$1:$G$349,$AS$1:$AS$349,$AS391,$B$1:$B$349,$B391))</f>
      </c>
      <c r="M391">
        <f>IF($A391="","",SUMIFS($H$1:$H$349,$AS$1:$AS$349,$AS391,$B$1:$B$349,$B391))</f>
      </c>
      <c r="N391">
        <f>IF($A391="","",SUMIFS($I$1:$I$349,$AS$1:$AS$349,$AS391,$B$1:$B$349,$B391))</f>
      </c>
      <c r="O391">
        <f>IF($A391="","",SUMIFS($K$1:$K$349,$AS$1:$AS$349,$AS391,$B$1:$B$349,$B391))</f>
      </c>
      <c r="P391">
        <f>IF($A391="","",SUMIFS($J$1:$J$349,$AS$1:$AS$349,$AS391,$B$1:$B$349,$B391))</f>
      </c>
      <c r="Q391">
        <f>IF($A391="","",SUMIFS($G$1:$G$349,$AS$1:$AS$349,$AS391,$C$1:$C$349,$C391))</f>
      </c>
      <c r="R391">
        <f>IF($A391="","",SUMIFS($H$1:$H$349,$AS$1:$AS$349,$AS391,$C$1:$C$349,$C391))</f>
      </c>
      <c r="S391">
        <f>IF($A391="","",SUMIFS($I$1:$I$349,$AS$1:$AS$349,$AS391,$C$1:$C$349,$C391))</f>
      </c>
      <c r="T391">
        <f>IF($A391="","",SUMIFS($G$1:$G$349,$AS$1:$AS$349,$AS391))</f>
      </c>
      <c r="U391">
        <f>IF($A391="","",SUMIFS($H$1:$H$349,$AS$1:$AS$349,$AS391))</f>
      </c>
      <c r="V391">
        <f>IF($A391="","",SUMIFS($I$1:$I$349,$AS$1:$AS$349,$AS391))</f>
      </c>
      <c r="W391">
        <f>IF($A391="","",Allocation!CD391)</f>
      </c>
      <c r="X391">
        <f>IF($A391="","",Allocation!CE391)</f>
      </c>
      <c r="Y391">
        <f>IF($A391="","",Allocation!CF391)</f>
      </c>
      <c r="Z391">
        <f>IF($A391="","",Allocation!CG391)</f>
      </c>
      <c r="AA391">
        <f>IF($A391="","",Allocation!CH391)</f>
      </c>
      <c r="AB391">
        <f>IF($A391="","",Allocation!CI391)</f>
      </c>
      <c r="AC391">
        <f>IF($A391="","",IF(Allocation!$N$4="VOL_EFF",$G391,IF(Allocation!$N$4="VOL_CLASS",$H391,$I391)))</f>
      </c>
      <c r="AD391">
        <f>IF($A391="","",IF(Allocation!$N$4="VOL_EFF",$L391,IF(Allocation!$N$4="VOL_CLASS",$M391,$N391)))</f>
      </c>
      <c r="AE391">
        <f>IF($A391="","",IF(Allocation!$N$3="VOL_EFF",$L391,IF(Allocation!$N$3="VOL_CLASS",$M391,$N391)))</f>
      </c>
      <c r="AF391">
        <f>IF($A391="","",IF(Allocation!$N$3="VOL_EFF",$Q391,IF(Allocation!$N$3="VOL_CLASS",$R391,$S391)))</f>
      </c>
      <c r="AG391">
        <f>IF($A391="","",IF(Allocation!$N$1="VOL_EFF",$Q391,IF(Allocation!$N$1="VOL_CLASS",$R391,$S391)))</f>
      </c>
      <c r="AH391">
        <f>IF($A391="","",IF(Allocation!$N$1="VOL_EFF",$T391,IF(Allocation!$N$1="VOL_CLASS",$U391,$V391)))</f>
      </c>
      <c r="AI391">
        <f>IF($A391="","",$W391*IFERROR($K391/$O391,0))</f>
      </c>
      <c r="AJ391">
        <f>IF($A391="","",$X391*IFERROR($K391/$O391,0))</f>
      </c>
      <c r="AK391">
        <f>IF($A391="","",$Y391*IFERROR($G391/$L391,0)+$Z391*IFERROR($J391/$P391,0))</f>
      </c>
      <c r="AL391">
        <f>IF($A391="","",$AA391*IFERROR($AC391/$AD391,0))</f>
      </c>
      <c r="AM391">
        <f>IF($A391="","",$AB391*IFERROR($AG391/$AH391,0)*IFERROR($AE391/$AF391,0)*IFERROR($AC391/$AD391,0))</f>
      </c>
      <c r="AN391">
        <f>IF($A391="","",$I391-($AI391+$AJ391+$AK391+$AL391+$AM391+$AR391))</f>
      </c>
      <c r="AO391">
        <f>IF($A391="","",Allocation!CJ391)</f>
      </c>
      <c r="AP391">
        <f>IF($A391="","",IF(Allocation!$N$2="VOL_EFF",$Q391,IF(Allocation!$N$2="VOL_CLASS",$R391,$S391)))</f>
      </c>
      <c r="AQ391">
        <f>IF($A391="","",IF(Allocation!$N$2="VOL_EFF",$T391,IF(Allocation!$N$2="VOL_CLASS",$U391,$V391)))</f>
      </c>
      <c r="AR391">
        <f>IF($A391="","",$AO391*IFERROR($AP391/$AQ391,0)*IFERROR($AE391/$AF391,0)*IFERROR($AC391/$AD391,0))</f>
      </c>
      <c r="AS391">
        <f>IF($A391="","",$A391&amp;"|"&amp;Allocation!BG391)</f>
      </c>
    </row>
    <row r="392" spans="1:45">
      <c r="A392">
        <f>IF(Allocation!BI392="","",Allocation!BI392)</f>
      </c>
      <c r="B392">
        <f>IF(Allocation!BJ392="","",Allocation!BJ392)</f>
      </c>
      <c r="C392">
        <f>IF(Allocation!BK392="","",Allocation!BK392)</f>
      </c>
      <c r="D392">
        <f>IF(Allocation!BL392="","",Allocation!BL392)</f>
      </c>
      <c r="E392">
        <f>IF(Allocation!BM392="","",Allocation!BM392)</f>
      </c>
      <c r="F392">
        <f>IF(Allocation!BN392="","",Allocation!BN392)</f>
      </c>
      <c r="G392">
        <f>IF(Allocation!BO392="","",Allocation!BO392)</f>
      </c>
      <c r="H392">
        <f>IF(Allocation!BP392="","",Allocation!BP392)</f>
      </c>
      <c r="I392">
        <f>IF(Allocation!BQ392="","",Allocation!BQ392)</f>
      </c>
      <c r="J392">
        <f>IF(Allocation!CC392="","",Allocation!CC392)</f>
      </c>
      <c r="K392">
        <f>IF($A392="","",$H392*IF(AND(LEFT($D392,3)="BAC",$F392="INIT"),600,IF(LEFT($D392,3)="BAC",480,IF(AND(LEFT($D392,3)="MAS",$F392="INIT"),520,IF(LEFT($D392,3)="MAS",420,IF($F392="INIT",1000,700))))))</f>
      </c>
      <c r="L392">
        <f>IF($A392="","",SUMIFS($G$1:$G$349,$AS$1:$AS$349,$AS392,$B$1:$B$349,$B392))</f>
      </c>
      <c r="M392">
        <f>IF($A392="","",SUMIFS($H$1:$H$349,$AS$1:$AS$349,$AS392,$B$1:$B$349,$B392))</f>
      </c>
      <c r="N392">
        <f>IF($A392="","",SUMIFS($I$1:$I$349,$AS$1:$AS$349,$AS392,$B$1:$B$349,$B392))</f>
      </c>
      <c r="O392">
        <f>IF($A392="","",SUMIFS($K$1:$K$349,$AS$1:$AS$349,$AS392,$B$1:$B$349,$B392))</f>
      </c>
      <c r="P392">
        <f>IF($A392="","",SUMIFS($J$1:$J$349,$AS$1:$AS$349,$AS392,$B$1:$B$349,$B392))</f>
      </c>
      <c r="Q392">
        <f>IF($A392="","",SUMIFS($G$1:$G$349,$AS$1:$AS$349,$AS392,$C$1:$C$349,$C392))</f>
      </c>
      <c r="R392">
        <f>IF($A392="","",SUMIFS($H$1:$H$349,$AS$1:$AS$349,$AS392,$C$1:$C$349,$C392))</f>
      </c>
      <c r="S392">
        <f>IF($A392="","",SUMIFS($I$1:$I$349,$AS$1:$AS$349,$AS392,$C$1:$C$349,$C392))</f>
      </c>
      <c r="T392">
        <f>IF($A392="","",SUMIFS($G$1:$G$349,$AS$1:$AS$349,$AS392))</f>
      </c>
      <c r="U392">
        <f>IF($A392="","",SUMIFS($H$1:$H$349,$AS$1:$AS$349,$AS392))</f>
      </c>
      <c r="V392">
        <f>IF($A392="","",SUMIFS($I$1:$I$349,$AS$1:$AS$349,$AS392))</f>
      </c>
      <c r="W392">
        <f>IF($A392="","",Allocation!CD392)</f>
      </c>
      <c r="X392">
        <f>IF($A392="","",Allocation!CE392)</f>
      </c>
      <c r="Y392">
        <f>IF($A392="","",Allocation!CF392)</f>
      </c>
      <c r="Z392">
        <f>IF($A392="","",Allocation!CG392)</f>
      </c>
      <c r="AA392">
        <f>IF($A392="","",Allocation!CH392)</f>
      </c>
      <c r="AB392">
        <f>IF($A392="","",Allocation!CI392)</f>
      </c>
      <c r="AC392">
        <f>IF($A392="","",IF(Allocation!$N$4="VOL_EFF",$G392,IF(Allocation!$N$4="VOL_CLASS",$H392,$I392)))</f>
      </c>
      <c r="AD392">
        <f>IF($A392="","",IF(Allocation!$N$4="VOL_EFF",$L392,IF(Allocation!$N$4="VOL_CLASS",$M392,$N392)))</f>
      </c>
      <c r="AE392">
        <f>IF($A392="","",IF(Allocation!$N$3="VOL_EFF",$L392,IF(Allocation!$N$3="VOL_CLASS",$M392,$N392)))</f>
      </c>
      <c r="AF392">
        <f>IF($A392="","",IF(Allocation!$N$3="VOL_EFF",$Q392,IF(Allocation!$N$3="VOL_CLASS",$R392,$S392)))</f>
      </c>
      <c r="AG392">
        <f>IF($A392="","",IF(Allocation!$N$1="VOL_EFF",$Q392,IF(Allocation!$N$1="VOL_CLASS",$R392,$S392)))</f>
      </c>
      <c r="AH392">
        <f>IF($A392="","",IF(Allocation!$N$1="VOL_EFF",$T392,IF(Allocation!$N$1="VOL_CLASS",$U392,$V392)))</f>
      </c>
      <c r="AI392">
        <f>IF($A392="","",$W392*IFERROR($K392/$O392,0))</f>
      </c>
      <c r="AJ392">
        <f>IF($A392="","",$X392*IFERROR($K392/$O392,0))</f>
      </c>
      <c r="AK392">
        <f>IF($A392="","",$Y392*IFERROR($G392/$L392,0)+$Z392*IFERROR($J392/$P392,0))</f>
      </c>
      <c r="AL392">
        <f>IF($A392="","",$AA392*IFERROR($AC392/$AD392,0))</f>
      </c>
      <c r="AM392">
        <f>IF($A392="","",$AB392*IFERROR($AG392/$AH392,0)*IFERROR($AE392/$AF392,0)*IFERROR($AC392/$AD392,0))</f>
      </c>
      <c r="AN392">
        <f>IF($A392="","",$I392-($AI392+$AJ392+$AK392+$AL392+$AM392+$AR392))</f>
      </c>
      <c r="AO392">
        <f>IF($A392="","",Allocation!CJ392)</f>
      </c>
      <c r="AP392">
        <f>IF($A392="","",IF(Allocation!$N$2="VOL_EFF",$Q392,IF(Allocation!$N$2="VOL_CLASS",$R392,$S392)))</f>
      </c>
      <c r="AQ392">
        <f>IF($A392="","",IF(Allocation!$N$2="VOL_EFF",$T392,IF(Allocation!$N$2="VOL_CLASS",$U392,$V392)))</f>
      </c>
      <c r="AR392">
        <f>IF($A392="","",$AO392*IFERROR($AP392/$AQ392,0)*IFERROR($AE392/$AF392,0)*IFERROR($AC392/$AD392,0))</f>
      </c>
      <c r="AS392">
        <f>IF($A392="","",$A392&amp;"|"&amp;Allocation!BG392)</f>
      </c>
    </row>
    <row r="393" spans="1:45">
      <c r="A393">
        <f>IF(Allocation!BI393="","",Allocation!BI393)</f>
      </c>
      <c r="B393">
        <f>IF(Allocation!BJ393="","",Allocation!BJ393)</f>
      </c>
      <c r="C393">
        <f>IF(Allocation!BK393="","",Allocation!BK393)</f>
      </c>
      <c r="D393">
        <f>IF(Allocation!BL393="","",Allocation!BL393)</f>
      </c>
      <c r="E393">
        <f>IF(Allocation!BM393="","",Allocation!BM393)</f>
      </c>
      <c r="F393">
        <f>IF(Allocation!BN393="","",Allocation!BN393)</f>
      </c>
      <c r="G393">
        <f>IF(Allocation!BO393="","",Allocation!BO393)</f>
      </c>
      <c r="H393">
        <f>IF(Allocation!BP393="","",Allocation!BP393)</f>
      </c>
      <c r="I393">
        <f>IF(Allocation!BQ393="","",Allocation!BQ393)</f>
      </c>
      <c r="J393">
        <f>IF(Allocation!CC393="","",Allocation!CC393)</f>
      </c>
      <c r="K393">
        <f>IF($A393="","",$H393*IF(AND(LEFT($D393,3)="BAC",$F393="INIT"),600,IF(LEFT($D393,3)="BAC",480,IF(AND(LEFT($D393,3)="MAS",$F393="INIT"),520,IF(LEFT($D393,3)="MAS",420,IF($F393="INIT",1000,700))))))</f>
      </c>
      <c r="L393">
        <f>IF($A393="","",SUMIFS($G$1:$G$349,$AS$1:$AS$349,$AS393,$B$1:$B$349,$B393))</f>
      </c>
      <c r="M393">
        <f>IF($A393="","",SUMIFS($H$1:$H$349,$AS$1:$AS$349,$AS393,$B$1:$B$349,$B393))</f>
      </c>
      <c r="N393">
        <f>IF($A393="","",SUMIFS($I$1:$I$349,$AS$1:$AS$349,$AS393,$B$1:$B$349,$B393))</f>
      </c>
      <c r="O393">
        <f>IF($A393="","",SUMIFS($K$1:$K$349,$AS$1:$AS$349,$AS393,$B$1:$B$349,$B393))</f>
      </c>
      <c r="P393">
        <f>IF($A393="","",SUMIFS($J$1:$J$349,$AS$1:$AS$349,$AS393,$B$1:$B$349,$B393))</f>
      </c>
      <c r="Q393">
        <f>IF($A393="","",SUMIFS($G$1:$G$349,$AS$1:$AS$349,$AS393,$C$1:$C$349,$C393))</f>
      </c>
      <c r="R393">
        <f>IF($A393="","",SUMIFS($H$1:$H$349,$AS$1:$AS$349,$AS393,$C$1:$C$349,$C393))</f>
      </c>
      <c r="S393">
        <f>IF($A393="","",SUMIFS($I$1:$I$349,$AS$1:$AS$349,$AS393,$C$1:$C$349,$C393))</f>
      </c>
      <c r="T393">
        <f>IF($A393="","",SUMIFS($G$1:$G$349,$AS$1:$AS$349,$AS393))</f>
      </c>
      <c r="U393">
        <f>IF($A393="","",SUMIFS($H$1:$H$349,$AS$1:$AS$349,$AS393))</f>
      </c>
      <c r="V393">
        <f>IF($A393="","",SUMIFS($I$1:$I$349,$AS$1:$AS$349,$AS393))</f>
      </c>
      <c r="W393">
        <f>IF($A393="","",Allocation!CD393)</f>
      </c>
      <c r="X393">
        <f>IF($A393="","",Allocation!CE393)</f>
      </c>
      <c r="Y393">
        <f>IF($A393="","",Allocation!CF393)</f>
      </c>
      <c r="Z393">
        <f>IF($A393="","",Allocation!CG393)</f>
      </c>
      <c r="AA393">
        <f>IF($A393="","",Allocation!CH393)</f>
      </c>
      <c r="AB393">
        <f>IF($A393="","",Allocation!CI393)</f>
      </c>
      <c r="AC393">
        <f>IF($A393="","",IF(Allocation!$N$4="VOL_EFF",$G393,IF(Allocation!$N$4="VOL_CLASS",$H393,$I393)))</f>
      </c>
      <c r="AD393">
        <f>IF($A393="","",IF(Allocation!$N$4="VOL_EFF",$L393,IF(Allocation!$N$4="VOL_CLASS",$M393,$N393)))</f>
      </c>
      <c r="AE393">
        <f>IF($A393="","",IF(Allocation!$N$3="VOL_EFF",$L393,IF(Allocation!$N$3="VOL_CLASS",$M393,$N393)))</f>
      </c>
      <c r="AF393">
        <f>IF($A393="","",IF(Allocation!$N$3="VOL_EFF",$Q393,IF(Allocation!$N$3="VOL_CLASS",$R393,$S393)))</f>
      </c>
      <c r="AG393">
        <f>IF($A393="","",IF(Allocation!$N$1="VOL_EFF",$Q393,IF(Allocation!$N$1="VOL_CLASS",$R393,$S393)))</f>
      </c>
      <c r="AH393">
        <f>IF($A393="","",IF(Allocation!$N$1="VOL_EFF",$T393,IF(Allocation!$N$1="VOL_CLASS",$U393,$V393)))</f>
      </c>
      <c r="AI393">
        <f>IF($A393="","",$W393*IFERROR($K393/$O393,0))</f>
      </c>
      <c r="AJ393">
        <f>IF($A393="","",$X393*IFERROR($K393/$O393,0))</f>
      </c>
      <c r="AK393">
        <f>IF($A393="","",$Y393*IFERROR($G393/$L393,0)+$Z393*IFERROR($J393/$P393,0))</f>
      </c>
      <c r="AL393">
        <f>IF($A393="","",$AA393*IFERROR($AC393/$AD393,0))</f>
      </c>
      <c r="AM393">
        <f>IF($A393="","",$AB393*IFERROR($AG393/$AH393,0)*IFERROR($AE393/$AF393,0)*IFERROR($AC393/$AD393,0))</f>
      </c>
      <c r="AN393">
        <f>IF($A393="","",$I393-($AI393+$AJ393+$AK393+$AL393+$AM393+$AR393))</f>
      </c>
      <c r="AO393">
        <f>IF($A393="","",Allocation!CJ393)</f>
      </c>
      <c r="AP393">
        <f>IF($A393="","",IF(Allocation!$N$2="VOL_EFF",$Q393,IF(Allocation!$N$2="VOL_CLASS",$R393,$S393)))</f>
      </c>
      <c r="AQ393">
        <f>IF($A393="","",IF(Allocation!$N$2="VOL_EFF",$T393,IF(Allocation!$N$2="VOL_CLASS",$U393,$V393)))</f>
      </c>
      <c r="AR393">
        <f>IF($A393="","",$AO393*IFERROR($AP393/$AQ393,0)*IFERROR($AE393/$AF393,0)*IFERROR($AC393/$AD393,0))</f>
      </c>
      <c r="AS393">
        <f>IF($A393="","",$A393&amp;"|"&amp;Allocation!BG393)</f>
      </c>
    </row>
    <row r="394" spans="1:45">
      <c r="A394">
        <f>IF(Allocation!BI394="","",Allocation!BI394)</f>
      </c>
      <c r="B394">
        <f>IF(Allocation!BJ394="","",Allocation!BJ394)</f>
      </c>
      <c r="C394">
        <f>IF(Allocation!BK394="","",Allocation!BK394)</f>
      </c>
      <c r="D394">
        <f>IF(Allocation!BL394="","",Allocation!BL394)</f>
      </c>
      <c r="E394">
        <f>IF(Allocation!BM394="","",Allocation!BM394)</f>
      </c>
      <c r="F394">
        <f>IF(Allocation!BN394="","",Allocation!BN394)</f>
      </c>
      <c r="G394">
        <f>IF(Allocation!BO394="","",Allocation!BO394)</f>
      </c>
      <c r="H394">
        <f>IF(Allocation!BP394="","",Allocation!BP394)</f>
      </c>
      <c r="I394">
        <f>IF(Allocation!BQ394="","",Allocation!BQ394)</f>
      </c>
      <c r="J394">
        <f>IF(Allocation!CC394="","",Allocation!CC394)</f>
      </c>
      <c r="K394">
        <f>IF($A394="","",$H394*IF(AND(LEFT($D394,3)="BAC",$F394="INIT"),600,IF(LEFT($D394,3)="BAC",480,IF(AND(LEFT($D394,3)="MAS",$F394="INIT"),520,IF(LEFT($D394,3)="MAS",420,IF($F394="INIT",1000,700))))))</f>
      </c>
      <c r="L394">
        <f>IF($A394="","",SUMIFS($G$1:$G$349,$AS$1:$AS$349,$AS394,$B$1:$B$349,$B394))</f>
      </c>
      <c r="M394">
        <f>IF($A394="","",SUMIFS($H$1:$H$349,$AS$1:$AS$349,$AS394,$B$1:$B$349,$B394))</f>
      </c>
      <c r="N394">
        <f>IF($A394="","",SUMIFS($I$1:$I$349,$AS$1:$AS$349,$AS394,$B$1:$B$349,$B394))</f>
      </c>
      <c r="O394">
        <f>IF($A394="","",SUMIFS($K$1:$K$349,$AS$1:$AS$349,$AS394,$B$1:$B$349,$B394))</f>
      </c>
      <c r="P394">
        <f>IF($A394="","",SUMIFS($J$1:$J$349,$AS$1:$AS$349,$AS394,$B$1:$B$349,$B394))</f>
      </c>
      <c r="Q394">
        <f>IF($A394="","",SUMIFS($G$1:$G$349,$AS$1:$AS$349,$AS394,$C$1:$C$349,$C394))</f>
      </c>
      <c r="R394">
        <f>IF($A394="","",SUMIFS($H$1:$H$349,$AS$1:$AS$349,$AS394,$C$1:$C$349,$C394))</f>
      </c>
      <c r="S394">
        <f>IF($A394="","",SUMIFS($I$1:$I$349,$AS$1:$AS$349,$AS394,$C$1:$C$349,$C394))</f>
      </c>
      <c r="T394">
        <f>IF($A394="","",SUMIFS($G$1:$G$349,$AS$1:$AS$349,$AS394))</f>
      </c>
      <c r="U394">
        <f>IF($A394="","",SUMIFS($H$1:$H$349,$AS$1:$AS$349,$AS394))</f>
      </c>
      <c r="V394">
        <f>IF($A394="","",SUMIFS($I$1:$I$349,$AS$1:$AS$349,$AS394))</f>
      </c>
      <c r="W394">
        <f>IF($A394="","",Allocation!CD394)</f>
      </c>
      <c r="X394">
        <f>IF($A394="","",Allocation!CE394)</f>
      </c>
      <c r="Y394">
        <f>IF($A394="","",Allocation!CF394)</f>
      </c>
      <c r="Z394">
        <f>IF($A394="","",Allocation!CG394)</f>
      </c>
      <c r="AA394">
        <f>IF($A394="","",Allocation!CH394)</f>
      </c>
      <c r="AB394">
        <f>IF($A394="","",Allocation!CI394)</f>
      </c>
      <c r="AC394">
        <f>IF($A394="","",IF(Allocation!$N$4="VOL_EFF",$G394,IF(Allocation!$N$4="VOL_CLASS",$H394,$I394)))</f>
      </c>
      <c r="AD394">
        <f>IF($A394="","",IF(Allocation!$N$4="VOL_EFF",$L394,IF(Allocation!$N$4="VOL_CLASS",$M394,$N394)))</f>
      </c>
      <c r="AE394">
        <f>IF($A394="","",IF(Allocation!$N$3="VOL_EFF",$L394,IF(Allocation!$N$3="VOL_CLASS",$M394,$N394)))</f>
      </c>
      <c r="AF394">
        <f>IF($A394="","",IF(Allocation!$N$3="VOL_EFF",$Q394,IF(Allocation!$N$3="VOL_CLASS",$R394,$S394)))</f>
      </c>
      <c r="AG394">
        <f>IF($A394="","",IF(Allocation!$N$1="VOL_EFF",$Q394,IF(Allocation!$N$1="VOL_CLASS",$R394,$S394)))</f>
      </c>
      <c r="AH394">
        <f>IF($A394="","",IF(Allocation!$N$1="VOL_EFF",$T394,IF(Allocation!$N$1="VOL_CLASS",$U394,$V394)))</f>
      </c>
      <c r="AI394">
        <f>IF($A394="","",$W394*IFERROR($K394/$O394,0))</f>
      </c>
      <c r="AJ394">
        <f>IF($A394="","",$X394*IFERROR($K394/$O394,0))</f>
      </c>
      <c r="AK394">
        <f>IF($A394="","",$Y394*IFERROR($G394/$L394,0)+$Z394*IFERROR($J394/$P394,0))</f>
      </c>
      <c r="AL394">
        <f>IF($A394="","",$AA394*IFERROR($AC394/$AD394,0))</f>
      </c>
      <c r="AM394">
        <f>IF($A394="","",$AB394*IFERROR($AG394/$AH394,0)*IFERROR($AE394/$AF394,0)*IFERROR($AC394/$AD394,0))</f>
      </c>
      <c r="AN394">
        <f>IF($A394="","",$I394-($AI394+$AJ394+$AK394+$AL394+$AM394+$AR394))</f>
      </c>
      <c r="AO394">
        <f>IF($A394="","",Allocation!CJ394)</f>
      </c>
      <c r="AP394">
        <f>IF($A394="","",IF(Allocation!$N$2="VOL_EFF",$Q394,IF(Allocation!$N$2="VOL_CLASS",$R394,$S394)))</f>
      </c>
      <c r="AQ394">
        <f>IF($A394="","",IF(Allocation!$N$2="VOL_EFF",$T394,IF(Allocation!$N$2="VOL_CLASS",$U394,$V394)))</f>
      </c>
      <c r="AR394">
        <f>IF($A394="","",$AO394*IFERROR($AP394/$AQ394,0)*IFERROR($AE394/$AF394,0)*IFERROR($AC394/$AD394,0))</f>
      </c>
      <c r="AS394">
        <f>IF($A394="","",$A394&amp;"|"&amp;Allocation!BG394)</f>
      </c>
    </row>
    <row r="395" spans="1:45">
      <c r="A395">
        <f>IF(Allocation!BI395="","",Allocation!BI395)</f>
      </c>
      <c r="B395">
        <f>IF(Allocation!BJ395="","",Allocation!BJ395)</f>
      </c>
      <c r="C395">
        <f>IF(Allocation!BK395="","",Allocation!BK395)</f>
      </c>
      <c r="D395">
        <f>IF(Allocation!BL395="","",Allocation!BL395)</f>
      </c>
      <c r="E395">
        <f>IF(Allocation!BM395="","",Allocation!BM395)</f>
      </c>
      <c r="F395">
        <f>IF(Allocation!BN395="","",Allocation!BN395)</f>
      </c>
      <c r="G395">
        <f>IF(Allocation!BO395="","",Allocation!BO395)</f>
      </c>
      <c r="H395">
        <f>IF(Allocation!BP395="","",Allocation!BP395)</f>
      </c>
      <c r="I395">
        <f>IF(Allocation!BQ395="","",Allocation!BQ395)</f>
      </c>
      <c r="J395">
        <f>IF(Allocation!CC395="","",Allocation!CC395)</f>
      </c>
      <c r="K395">
        <f>IF($A395="","",$H395*IF(AND(LEFT($D395,3)="BAC",$F395="INIT"),600,IF(LEFT($D395,3)="BAC",480,IF(AND(LEFT($D395,3)="MAS",$F395="INIT"),520,IF(LEFT($D395,3)="MAS",420,IF($F395="INIT",1000,700))))))</f>
      </c>
      <c r="L395">
        <f>IF($A395="","",SUMIFS($G$1:$G$349,$AS$1:$AS$349,$AS395,$B$1:$B$349,$B395))</f>
      </c>
      <c r="M395">
        <f>IF($A395="","",SUMIFS($H$1:$H$349,$AS$1:$AS$349,$AS395,$B$1:$B$349,$B395))</f>
      </c>
      <c r="N395">
        <f>IF($A395="","",SUMIFS($I$1:$I$349,$AS$1:$AS$349,$AS395,$B$1:$B$349,$B395))</f>
      </c>
      <c r="O395">
        <f>IF($A395="","",SUMIFS($K$1:$K$349,$AS$1:$AS$349,$AS395,$B$1:$B$349,$B395))</f>
      </c>
      <c r="P395">
        <f>IF($A395="","",SUMIFS($J$1:$J$349,$AS$1:$AS$349,$AS395,$B$1:$B$349,$B395))</f>
      </c>
      <c r="Q395">
        <f>IF($A395="","",SUMIFS($G$1:$G$349,$AS$1:$AS$349,$AS395,$C$1:$C$349,$C395))</f>
      </c>
      <c r="R395">
        <f>IF($A395="","",SUMIFS($H$1:$H$349,$AS$1:$AS$349,$AS395,$C$1:$C$349,$C395))</f>
      </c>
      <c r="S395">
        <f>IF($A395="","",SUMIFS($I$1:$I$349,$AS$1:$AS$349,$AS395,$C$1:$C$349,$C395))</f>
      </c>
      <c r="T395">
        <f>IF($A395="","",SUMIFS($G$1:$G$349,$AS$1:$AS$349,$AS395))</f>
      </c>
      <c r="U395">
        <f>IF($A395="","",SUMIFS($H$1:$H$349,$AS$1:$AS$349,$AS395))</f>
      </c>
      <c r="V395">
        <f>IF($A395="","",SUMIFS($I$1:$I$349,$AS$1:$AS$349,$AS395))</f>
      </c>
      <c r="W395">
        <f>IF($A395="","",Allocation!CD395)</f>
      </c>
      <c r="X395">
        <f>IF($A395="","",Allocation!CE395)</f>
      </c>
      <c r="Y395">
        <f>IF($A395="","",Allocation!CF395)</f>
      </c>
      <c r="Z395">
        <f>IF($A395="","",Allocation!CG395)</f>
      </c>
      <c r="AA395">
        <f>IF($A395="","",Allocation!CH395)</f>
      </c>
      <c r="AB395">
        <f>IF($A395="","",Allocation!CI395)</f>
      </c>
      <c r="AC395">
        <f>IF($A395="","",IF(Allocation!$N$4="VOL_EFF",$G395,IF(Allocation!$N$4="VOL_CLASS",$H395,$I395)))</f>
      </c>
      <c r="AD395">
        <f>IF($A395="","",IF(Allocation!$N$4="VOL_EFF",$L395,IF(Allocation!$N$4="VOL_CLASS",$M395,$N395)))</f>
      </c>
      <c r="AE395">
        <f>IF($A395="","",IF(Allocation!$N$3="VOL_EFF",$L395,IF(Allocation!$N$3="VOL_CLASS",$M395,$N395)))</f>
      </c>
      <c r="AF395">
        <f>IF($A395="","",IF(Allocation!$N$3="VOL_EFF",$Q395,IF(Allocation!$N$3="VOL_CLASS",$R395,$S395)))</f>
      </c>
      <c r="AG395">
        <f>IF($A395="","",IF(Allocation!$N$1="VOL_EFF",$Q395,IF(Allocation!$N$1="VOL_CLASS",$R395,$S395)))</f>
      </c>
      <c r="AH395">
        <f>IF($A395="","",IF(Allocation!$N$1="VOL_EFF",$T395,IF(Allocation!$N$1="VOL_CLASS",$U395,$V395)))</f>
      </c>
      <c r="AI395">
        <f>IF($A395="","",$W395*IFERROR($K395/$O395,0))</f>
      </c>
      <c r="AJ395">
        <f>IF($A395="","",$X395*IFERROR($K395/$O395,0))</f>
      </c>
      <c r="AK395">
        <f>IF($A395="","",$Y395*IFERROR($G395/$L395,0)+$Z395*IFERROR($J395/$P395,0))</f>
      </c>
      <c r="AL395">
        <f>IF($A395="","",$AA395*IFERROR($AC395/$AD395,0))</f>
      </c>
      <c r="AM395">
        <f>IF($A395="","",$AB395*IFERROR($AG395/$AH395,0)*IFERROR($AE395/$AF395,0)*IFERROR($AC395/$AD395,0))</f>
      </c>
      <c r="AN395">
        <f>IF($A395="","",$I395-($AI395+$AJ395+$AK395+$AL395+$AM395+$AR395))</f>
      </c>
      <c r="AO395">
        <f>IF($A395="","",Allocation!CJ395)</f>
      </c>
      <c r="AP395">
        <f>IF($A395="","",IF(Allocation!$N$2="VOL_EFF",$Q395,IF(Allocation!$N$2="VOL_CLASS",$R395,$S395)))</f>
      </c>
      <c r="AQ395">
        <f>IF($A395="","",IF(Allocation!$N$2="VOL_EFF",$T395,IF(Allocation!$N$2="VOL_CLASS",$U395,$V395)))</f>
      </c>
      <c r="AR395">
        <f>IF($A395="","",$AO395*IFERROR($AP395/$AQ395,0)*IFERROR($AE395/$AF395,0)*IFERROR($AC395/$AD395,0))</f>
      </c>
      <c r="AS395">
        <f>IF($A395="","",$A395&amp;"|"&amp;Allocation!BG395)</f>
      </c>
    </row>
    <row r="396" spans="1:45">
      <c r="A396">
        <f>IF(Allocation!BI396="","",Allocation!BI396)</f>
      </c>
      <c r="B396">
        <f>IF(Allocation!BJ396="","",Allocation!BJ396)</f>
      </c>
      <c r="C396">
        <f>IF(Allocation!BK396="","",Allocation!BK396)</f>
      </c>
      <c r="D396">
        <f>IF(Allocation!BL396="","",Allocation!BL396)</f>
      </c>
      <c r="E396">
        <f>IF(Allocation!BM396="","",Allocation!BM396)</f>
      </c>
      <c r="F396">
        <f>IF(Allocation!BN396="","",Allocation!BN396)</f>
      </c>
      <c r="G396">
        <f>IF(Allocation!BO396="","",Allocation!BO396)</f>
      </c>
      <c r="H396">
        <f>IF(Allocation!BP396="","",Allocation!BP396)</f>
      </c>
      <c r="I396">
        <f>IF(Allocation!BQ396="","",Allocation!BQ396)</f>
      </c>
      <c r="J396">
        <f>IF(Allocation!CC396="","",Allocation!CC396)</f>
      </c>
      <c r="K396">
        <f>IF($A396="","",$H396*IF(AND(LEFT($D396,3)="BAC",$F396="INIT"),600,IF(LEFT($D396,3)="BAC",480,IF(AND(LEFT($D396,3)="MAS",$F396="INIT"),520,IF(LEFT($D396,3)="MAS",420,IF($F396="INIT",1000,700))))))</f>
      </c>
      <c r="L396">
        <f>IF($A396="","",SUMIFS($G$1:$G$349,$AS$1:$AS$349,$AS396,$B$1:$B$349,$B396))</f>
      </c>
      <c r="M396">
        <f>IF($A396="","",SUMIFS($H$1:$H$349,$AS$1:$AS$349,$AS396,$B$1:$B$349,$B396))</f>
      </c>
      <c r="N396">
        <f>IF($A396="","",SUMIFS($I$1:$I$349,$AS$1:$AS$349,$AS396,$B$1:$B$349,$B396))</f>
      </c>
      <c r="O396">
        <f>IF($A396="","",SUMIFS($K$1:$K$349,$AS$1:$AS$349,$AS396,$B$1:$B$349,$B396))</f>
      </c>
      <c r="P396">
        <f>IF($A396="","",SUMIFS($J$1:$J$349,$AS$1:$AS$349,$AS396,$B$1:$B$349,$B396))</f>
      </c>
      <c r="Q396">
        <f>IF($A396="","",SUMIFS($G$1:$G$349,$AS$1:$AS$349,$AS396,$C$1:$C$349,$C396))</f>
      </c>
      <c r="R396">
        <f>IF($A396="","",SUMIFS($H$1:$H$349,$AS$1:$AS$349,$AS396,$C$1:$C$349,$C396))</f>
      </c>
      <c r="S396">
        <f>IF($A396="","",SUMIFS($I$1:$I$349,$AS$1:$AS$349,$AS396,$C$1:$C$349,$C396))</f>
      </c>
      <c r="T396">
        <f>IF($A396="","",SUMIFS($G$1:$G$349,$AS$1:$AS$349,$AS396))</f>
      </c>
      <c r="U396">
        <f>IF($A396="","",SUMIFS($H$1:$H$349,$AS$1:$AS$349,$AS396))</f>
      </c>
      <c r="V396">
        <f>IF($A396="","",SUMIFS($I$1:$I$349,$AS$1:$AS$349,$AS396))</f>
      </c>
      <c r="W396">
        <f>IF($A396="","",Allocation!CD396)</f>
      </c>
      <c r="X396">
        <f>IF($A396="","",Allocation!CE396)</f>
      </c>
      <c r="Y396">
        <f>IF($A396="","",Allocation!CF396)</f>
      </c>
      <c r="Z396">
        <f>IF($A396="","",Allocation!CG396)</f>
      </c>
      <c r="AA396">
        <f>IF($A396="","",Allocation!CH396)</f>
      </c>
      <c r="AB396">
        <f>IF($A396="","",Allocation!CI396)</f>
      </c>
      <c r="AC396">
        <f>IF($A396="","",IF(Allocation!$N$4="VOL_EFF",$G396,IF(Allocation!$N$4="VOL_CLASS",$H396,$I396)))</f>
      </c>
      <c r="AD396">
        <f>IF($A396="","",IF(Allocation!$N$4="VOL_EFF",$L396,IF(Allocation!$N$4="VOL_CLASS",$M396,$N396)))</f>
      </c>
      <c r="AE396">
        <f>IF($A396="","",IF(Allocation!$N$3="VOL_EFF",$L396,IF(Allocation!$N$3="VOL_CLASS",$M396,$N396)))</f>
      </c>
      <c r="AF396">
        <f>IF($A396="","",IF(Allocation!$N$3="VOL_EFF",$Q396,IF(Allocation!$N$3="VOL_CLASS",$R396,$S396)))</f>
      </c>
      <c r="AG396">
        <f>IF($A396="","",IF(Allocation!$N$1="VOL_EFF",$Q396,IF(Allocation!$N$1="VOL_CLASS",$R396,$S396)))</f>
      </c>
      <c r="AH396">
        <f>IF($A396="","",IF(Allocation!$N$1="VOL_EFF",$T396,IF(Allocation!$N$1="VOL_CLASS",$U396,$V396)))</f>
      </c>
      <c r="AI396">
        <f>IF($A396="","",$W396*IFERROR($K396/$O396,0))</f>
      </c>
      <c r="AJ396">
        <f>IF($A396="","",$X396*IFERROR($K396/$O396,0))</f>
      </c>
      <c r="AK396">
        <f>IF($A396="","",$Y396*IFERROR($G396/$L396,0)+$Z396*IFERROR($J396/$P396,0))</f>
      </c>
      <c r="AL396">
        <f>IF($A396="","",$AA396*IFERROR($AC396/$AD396,0))</f>
      </c>
      <c r="AM396">
        <f>IF($A396="","",$AB396*IFERROR($AG396/$AH396,0)*IFERROR($AE396/$AF396,0)*IFERROR($AC396/$AD396,0))</f>
      </c>
      <c r="AN396">
        <f>IF($A396="","",$I396-($AI396+$AJ396+$AK396+$AL396+$AM396+$AR396))</f>
      </c>
      <c r="AO396">
        <f>IF($A396="","",Allocation!CJ396)</f>
      </c>
      <c r="AP396">
        <f>IF($A396="","",IF(Allocation!$N$2="VOL_EFF",$Q396,IF(Allocation!$N$2="VOL_CLASS",$R396,$S396)))</f>
      </c>
      <c r="AQ396">
        <f>IF($A396="","",IF(Allocation!$N$2="VOL_EFF",$T396,IF(Allocation!$N$2="VOL_CLASS",$U396,$V396)))</f>
      </c>
      <c r="AR396">
        <f>IF($A396="","",$AO396*IFERROR($AP396/$AQ396,0)*IFERROR($AE396/$AF396,0)*IFERROR($AC396/$AD396,0))</f>
      </c>
      <c r="AS396">
        <f>IF($A396="","",$A396&amp;"|"&amp;Allocation!BG396)</f>
      </c>
    </row>
    <row r="397" spans="1:45">
      <c r="A397">
        <f>IF(Allocation!BI397="","",Allocation!BI397)</f>
      </c>
      <c r="B397">
        <f>IF(Allocation!BJ397="","",Allocation!BJ397)</f>
      </c>
      <c r="C397">
        <f>IF(Allocation!BK397="","",Allocation!BK397)</f>
      </c>
      <c r="D397">
        <f>IF(Allocation!BL397="","",Allocation!BL397)</f>
      </c>
      <c r="E397">
        <f>IF(Allocation!BM397="","",Allocation!BM397)</f>
      </c>
      <c r="F397">
        <f>IF(Allocation!BN397="","",Allocation!BN397)</f>
      </c>
      <c r="G397">
        <f>IF(Allocation!BO397="","",Allocation!BO397)</f>
      </c>
      <c r="H397">
        <f>IF(Allocation!BP397="","",Allocation!BP397)</f>
      </c>
      <c r="I397">
        <f>IF(Allocation!BQ397="","",Allocation!BQ397)</f>
      </c>
      <c r="J397">
        <f>IF(Allocation!CC397="","",Allocation!CC397)</f>
      </c>
      <c r="K397">
        <f>IF($A397="","",$H397*IF(AND(LEFT($D397,3)="BAC",$F397="INIT"),600,IF(LEFT($D397,3)="BAC",480,IF(AND(LEFT($D397,3)="MAS",$F397="INIT"),520,IF(LEFT($D397,3)="MAS",420,IF($F397="INIT",1000,700))))))</f>
      </c>
      <c r="L397">
        <f>IF($A397="","",SUMIFS($G$1:$G$349,$AS$1:$AS$349,$AS397,$B$1:$B$349,$B397))</f>
      </c>
      <c r="M397">
        <f>IF($A397="","",SUMIFS($H$1:$H$349,$AS$1:$AS$349,$AS397,$B$1:$B$349,$B397))</f>
      </c>
      <c r="N397">
        <f>IF($A397="","",SUMIFS($I$1:$I$349,$AS$1:$AS$349,$AS397,$B$1:$B$349,$B397))</f>
      </c>
      <c r="O397">
        <f>IF($A397="","",SUMIFS($K$1:$K$349,$AS$1:$AS$349,$AS397,$B$1:$B$349,$B397))</f>
      </c>
      <c r="P397">
        <f>IF($A397="","",SUMIFS($J$1:$J$349,$AS$1:$AS$349,$AS397,$B$1:$B$349,$B397))</f>
      </c>
      <c r="Q397">
        <f>IF($A397="","",SUMIFS($G$1:$G$349,$AS$1:$AS$349,$AS397,$C$1:$C$349,$C397))</f>
      </c>
      <c r="R397">
        <f>IF($A397="","",SUMIFS($H$1:$H$349,$AS$1:$AS$349,$AS397,$C$1:$C$349,$C397))</f>
      </c>
      <c r="S397">
        <f>IF($A397="","",SUMIFS($I$1:$I$349,$AS$1:$AS$349,$AS397,$C$1:$C$349,$C397))</f>
      </c>
      <c r="T397">
        <f>IF($A397="","",SUMIFS($G$1:$G$349,$AS$1:$AS$349,$AS397))</f>
      </c>
      <c r="U397">
        <f>IF($A397="","",SUMIFS($H$1:$H$349,$AS$1:$AS$349,$AS397))</f>
      </c>
      <c r="V397">
        <f>IF($A397="","",SUMIFS($I$1:$I$349,$AS$1:$AS$349,$AS397))</f>
      </c>
      <c r="W397">
        <f>IF($A397="","",Allocation!CD397)</f>
      </c>
      <c r="X397">
        <f>IF($A397="","",Allocation!CE397)</f>
      </c>
      <c r="Y397">
        <f>IF($A397="","",Allocation!CF397)</f>
      </c>
      <c r="Z397">
        <f>IF($A397="","",Allocation!CG397)</f>
      </c>
      <c r="AA397">
        <f>IF($A397="","",Allocation!CH397)</f>
      </c>
      <c r="AB397">
        <f>IF($A397="","",Allocation!CI397)</f>
      </c>
      <c r="AC397">
        <f>IF($A397="","",IF(Allocation!$N$4="VOL_EFF",$G397,IF(Allocation!$N$4="VOL_CLASS",$H397,$I397)))</f>
      </c>
      <c r="AD397">
        <f>IF($A397="","",IF(Allocation!$N$4="VOL_EFF",$L397,IF(Allocation!$N$4="VOL_CLASS",$M397,$N397)))</f>
      </c>
      <c r="AE397">
        <f>IF($A397="","",IF(Allocation!$N$3="VOL_EFF",$L397,IF(Allocation!$N$3="VOL_CLASS",$M397,$N397)))</f>
      </c>
      <c r="AF397">
        <f>IF($A397="","",IF(Allocation!$N$3="VOL_EFF",$Q397,IF(Allocation!$N$3="VOL_CLASS",$R397,$S397)))</f>
      </c>
      <c r="AG397">
        <f>IF($A397="","",IF(Allocation!$N$1="VOL_EFF",$Q397,IF(Allocation!$N$1="VOL_CLASS",$R397,$S397)))</f>
      </c>
      <c r="AH397">
        <f>IF($A397="","",IF(Allocation!$N$1="VOL_EFF",$T397,IF(Allocation!$N$1="VOL_CLASS",$U397,$V397)))</f>
      </c>
      <c r="AI397">
        <f>IF($A397="","",$W397*IFERROR($K397/$O397,0))</f>
      </c>
      <c r="AJ397">
        <f>IF($A397="","",$X397*IFERROR($K397/$O397,0))</f>
      </c>
      <c r="AK397">
        <f>IF($A397="","",$Y397*IFERROR($G397/$L397,0)+$Z397*IFERROR($J397/$P397,0))</f>
      </c>
      <c r="AL397">
        <f>IF($A397="","",$AA397*IFERROR($AC397/$AD397,0))</f>
      </c>
      <c r="AM397">
        <f>IF($A397="","",$AB397*IFERROR($AG397/$AH397,0)*IFERROR($AE397/$AF397,0)*IFERROR($AC397/$AD397,0))</f>
      </c>
      <c r="AN397">
        <f>IF($A397="","",$I397-($AI397+$AJ397+$AK397+$AL397+$AM397+$AR397))</f>
      </c>
      <c r="AO397">
        <f>IF($A397="","",Allocation!CJ397)</f>
      </c>
      <c r="AP397">
        <f>IF($A397="","",IF(Allocation!$N$2="VOL_EFF",$Q397,IF(Allocation!$N$2="VOL_CLASS",$R397,$S397)))</f>
      </c>
      <c r="AQ397">
        <f>IF($A397="","",IF(Allocation!$N$2="VOL_EFF",$T397,IF(Allocation!$N$2="VOL_CLASS",$U397,$V397)))</f>
      </c>
      <c r="AR397">
        <f>IF($A397="","",$AO397*IFERROR($AP397/$AQ397,0)*IFERROR($AE397/$AF397,0)*IFERROR($AC397/$AD397,0))</f>
      </c>
      <c r="AS397">
        <f>IF($A397="","",$A397&amp;"|"&amp;Allocation!BG397)</f>
      </c>
    </row>
    <row r="398" spans="1:45">
      <c r="A398">
        <f>IF(Allocation!BI398="","",Allocation!BI398)</f>
      </c>
      <c r="B398">
        <f>IF(Allocation!BJ398="","",Allocation!BJ398)</f>
      </c>
      <c r="C398">
        <f>IF(Allocation!BK398="","",Allocation!BK398)</f>
      </c>
      <c r="D398">
        <f>IF(Allocation!BL398="","",Allocation!BL398)</f>
      </c>
      <c r="E398">
        <f>IF(Allocation!BM398="","",Allocation!BM398)</f>
      </c>
      <c r="F398">
        <f>IF(Allocation!BN398="","",Allocation!BN398)</f>
      </c>
      <c r="G398">
        <f>IF(Allocation!BO398="","",Allocation!BO398)</f>
      </c>
      <c r="H398">
        <f>IF(Allocation!BP398="","",Allocation!BP398)</f>
      </c>
      <c r="I398">
        <f>IF(Allocation!BQ398="","",Allocation!BQ398)</f>
      </c>
      <c r="J398">
        <f>IF(Allocation!CC398="","",Allocation!CC398)</f>
      </c>
      <c r="K398">
        <f>IF($A398="","",$H398*IF(AND(LEFT($D398,3)="BAC",$F398="INIT"),600,IF(LEFT($D398,3)="BAC",480,IF(AND(LEFT($D398,3)="MAS",$F398="INIT"),520,IF(LEFT($D398,3)="MAS",420,IF($F398="INIT",1000,700))))))</f>
      </c>
      <c r="L398">
        <f>IF($A398="","",SUMIFS($G$1:$G$349,$AS$1:$AS$349,$AS398,$B$1:$B$349,$B398))</f>
      </c>
      <c r="M398">
        <f>IF($A398="","",SUMIFS($H$1:$H$349,$AS$1:$AS$349,$AS398,$B$1:$B$349,$B398))</f>
      </c>
      <c r="N398">
        <f>IF($A398="","",SUMIFS($I$1:$I$349,$AS$1:$AS$349,$AS398,$B$1:$B$349,$B398))</f>
      </c>
      <c r="O398">
        <f>IF($A398="","",SUMIFS($K$1:$K$349,$AS$1:$AS$349,$AS398,$B$1:$B$349,$B398))</f>
      </c>
      <c r="P398">
        <f>IF($A398="","",SUMIFS($J$1:$J$349,$AS$1:$AS$349,$AS398,$B$1:$B$349,$B398))</f>
      </c>
      <c r="Q398">
        <f>IF($A398="","",SUMIFS($G$1:$G$349,$AS$1:$AS$349,$AS398,$C$1:$C$349,$C398))</f>
      </c>
      <c r="R398">
        <f>IF($A398="","",SUMIFS($H$1:$H$349,$AS$1:$AS$349,$AS398,$C$1:$C$349,$C398))</f>
      </c>
      <c r="S398">
        <f>IF($A398="","",SUMIFS($I$1:$I$349,$AS$1:$AS$349,$AS398,$C$1:$C$349,$C398))</f>
      </c>
      <c r="T398">
        <f>IF($A398="","",SUMIFS($G$1:$G$349,$AS$1:$AS$349,$AS398))</f>
      </c>
      <c r="U398">
        <f>IF($A398="","",SUMIFS($H$1:$H$349,$AS$1:$AS$349,$AS398))</f>
      </c>
      <c r="V398">
        <f>IF($A398="","",SUMIFS($I$1:$I$349,$AS$1:$AS$349,$AS398))</f>
      </c>
      <c r="W398">
        <f>IF($A398="","",Allocation!CD398)</f>
      </c>
      <c r="X398">
        <f>IF($A398="","",Allocation!CE398)</f>
      </c>
      <c r="Y398">
        <f>IF($A398="","",Allocation!CF398)</f>
      </c>
      <c r="Z398">
        <f>IF($A398="","",Allocation!CG398)</f>
      </c>
      <c r="AA398">
        <f>IF($A398="","",Allocation!CH398)</f>
      </c>
      <c r="AB398">
        <f>IF($A398="","",Allocation!CI398)</f>
      </c>
      <c r="AC398">
        <f>IF($A398="","",IF(Allocation!$N$4="VOL_EFF",$G398,IF(Allocation!$N$4="VOL_CLASS",$H398,$I398)))</f>
      </c>
      <c r="AD398">
        <f>IF($A398="","",IF(Allocation!$N$4="VOL_EFF",$L398,IF(Allocation!$N$4="VOL_CLASS",$M398,$N398)))</f>
      </c>
      <c r="AE398">
        <f>IF($A398="","",IF(Allocation!$N$3="VOL_EFF",$L398,IF(Allocation!$N$3="VOL_CLASS",$M398,$N398)))</f>
      </c>
      <c r="AF398">
        <f>IF($A398="","",IF(Allocation!$N$3="VOL_EFF",$Q398,IF(Allocation!$N$3="VOL_CLASS",$R398,$S398)))</f>
      </c>
      <c r="AG398">
        <f>IF($A398="","",IF(Allocation!$N$1="VOL_EFF",$Q398,IF(Allocation!$N$1="VOL_CLASS",$R398,$S398)))</f>
      </c>
      <c r="AH398">
        <f>IF($A398="","",IF(Allocation!$N$1="VOL_EFF",$T398,IF(Allocation!$N$1="VOL_CLASS",$U398,$V398)))</f>
      </c>
      <c r="AI398">
        <f>IF($A398="","",$W398*IFERROR($K398/$O398,0))</f>
      </c>
      <c r="AJ398">
        <f>IF($A398="","",$X398*IFERROR($K398/$O398,0))</f>
      </c>
      <c r="AK398">
        <f>IF($A398="","",$Y398*IFERROR($G398/$L398,0)+$Z398*IFERROR($J398/$P398,0))</f>
      </c>
      <c r="AL398">
        <f>IF($A398="","",$AA398*IFERROR($AC398/$AD398,0))</f>
      </c>
      <c r="AM398">
        <f>IF($A398="","",$AB398*IFERROR($AG398/$AH398,0)*IFERROR($AE398/$AF398,0)*IFERROR($AC398/$AD398,0))</f>
      </c>
      <c r="AN398">
        <f>IF($A398="","",$I398-($AI398+$AJ398+$AK398+$AL398+$AM398+$AR398))</f>
      </c>
      <c r="AO398">
        <f>IF($A398="","",Allocation!CJ398)</f>
      </c>
      <c r="AP398">
        <f>IF($A398="","",IF(Allocation!$N$2="VOL_EFF",$Q398,IF(Allocation!$N$2="VOL_CLASS",$R398,$S398)))</f>
      </c>
      <c r="AQ398">
        <f>IF($A398="","",IF(Allocation!$N$2="VOL_EFF",$T398,IF(Allocation!$N$2="VOL_CLASS",$U398,$V398)))</f>
      </c>
      <c r="AR398">
        <f>IF($A398="","",$AO398*IFERROR($AP398/$AQ398,0)*IFERROR($AE398/$AF398,0)*IFERROR($AC398/$AD398,0))</f>
      </c>
      <c r="AS398">
        <f>IF($A398="","",$A398&amp;"|"&amp;Allocation!BG398)</f>
      </c>
    </row>
    <row r="399" spans="1:45">
      <c r="A399">
        <f>IF(Allocation!BI399="","",Allocation!BI399)</f>
      </c>
      <c r="B399">
        <f>IF(Allocation!BJ399="","",Allocation!BJ399)</f>
      </c>
      <c r="C399">
        <f>IF(Allocation!BK399="","",Allocation!BK399)</f>
      </c>
      <c r="D399">
        <f>IF(Allocation!BL399="","",Allocation!BL399)</f>
      </c>
      <c r="E399">
        <f>IF(Allocation!BM399="","",Allocation!BM399)</f>
      </c>
      <c r="F399">
        <f>IF(Allocation!BN399="","",Allocation!BN399)</f>
      </c>
      <c r="G399">
        <f>IF(Allocation!BO399="","",Allocation!BO399)</f>
      </c>
      <c r="H399">
        <f>IF(Allocation!BP399="","",Allocation!BP399)</f>
      </c>
      <c r="I399">
        <f>IF(Allocation!BQ399="","",Allocation!BQ399)</f>
      </c>
      <c r="J399">
        <f>IF(Allocation!CC399="","",Allocation!CC399)</f>
      </c>
      <c r="K399">
        <f>IF($A399="","",$H399*IF(AND(LEFT($D399,3)="BAC",$F399="INIT"),600,IF(LEFT($D399,3)="BAC",480,IF(AND(LEFT($D399,3)="MAS",$F399="INIT"),520,IF(LEFT($D399,3)="MAS",420,IF($F399="INIT",1000,700))))))</f>
      </c>
      <c r="L399">
        <f>IF($A399="","",SUMIFS($G$1:$G$349,$AS$1:$AS$349,$AS399,$B$1:$B$349,$B399))</f>
      </c>
      <c r="M399">
        <f>IF($A399="","",SUMIFS($H$1:$H$349,$AS$1:$AS$349,$AS399,$B$1:$B$349,$B399))</f>
      </c>
      <c r="N399">
        <f>IF($A399="","",SUMIFS($I$1:$I$349,$AS$1:$AS$349,$AS399,$B$1:$B$349,$B399))</f>
      </c>
      <c r="O399">
        <f>IF($A399="","",SUMIFS($K$1:$K$349,$AS$1:$AS$349,$AS399,$B$1:$B$349,$B399))</f>
      </c>
      <c r="P399">
        <f>IF($A399="","",SUMIFS($J$1:$J$349,$AS$1:$AS$349,$AS399,$B$1:$B$349,$B399))</f>
      </c>
      <c r="Q399">
        <f>IF($A399="","",SUMIFS($G$1:$G$349,$AS$1:$AS$349,$AS399,$C$1:$C$349,$C399))</f>
      </c>
      <c r="R399">
        <f>IF($A399="","",SUMIFS($H$1:$H$349,$AS$1:$AS$349,$AS399,$C$1:$C$349,$C399))</f>
      </c>
      <c r="S399">
        <f>IF($A399="","",SUMIFS($I$1:$I$349,$AS$1:$AS$349,$AS399,$C$1:$C$349,$C399))</f>
      </c>
      <c r="T399">
        <f>IF($A399="","",SUMIFS($G$1:$G$349,$AS$1:$AS$349,$AS399))</f>
      </c>
      <c r="U399">
        <f>IF($A399="","",SUMIFS($H$1:$H$349,$AS$1:$AS$349,$AS399))</f>
      </c>
      <c r="V399">
        <f>IF($A399="","",SUMIFS($I$1:$I$349,$AS$1:$AS$349,$AS399))</f>
      </c>
      <c r="W399">
        <f>IF($A399="","",Allocation!CD399)</f>
      </c>
      <c r="X399">
        <f>IF($A399="","",Allocation!CE399)</f>
      </c>
      <c r="Y399">
        <f>IF($A399="","",Allocation!CF399)</f>
      </c>
      <c r="Z399">
        <f>IF($A399="","",Allocation!CG399)</f>
      </c>
      <c r="AA399">
        <f>IF($A399="","",Allocation!CH399)</f>
      </c>
      <c r="AB399">
        <f>IF($A399="","",Allocation!CI399)</f>
      </c>
      <c r="AC399">
        <f>IF($A399="","",IF(Allocation!$N$4="VOL_EFF",$G399,IF(Allocation!$N$4="VOL_CLASS",$H399,$I399)))</f>
      </c>
      <c r="AD399">
        <f>IF($A399="","",IF(Allocation!$N$4="VOL_EFF",$L399,IF(Allocation!$N$4="VOL_CLASS",$M399,$N399)))</f>
      </c>
      <c r="AE399">
        <f>IF($A399="","",IF(Allocation!$N$3="VOL_EFF",$L399,IF(Allocation!$N$3="VOL_CLASS",$M399,$N399)))</f>
      </c>
      <c r="AF399">
        <f>IF($A399="","",IF(Allocation!$N$3="VOL_EFF",$Q399,IF(Allocation!$N$3="VOL_CLASS",$R399,$S399)))</f>
      </c>
      <c r="AG399">
        <f>IF($A399="","",IF(Allocation!$N$1="VOL_EFF",$Q399,IF(Allocation!$N$1="VOL_CLASS",$R399,$S399)))</f>
      </c>
      <c r="AH399">
        <f>IF($A399="","",IF(Allocation!$N$1="VOL_EFF",$T399,IF(Allocation!$N$1="VOL_CLASS",$U399,$V399)))</f>
      </c>
      <c r="AI399">
        <f>IF($A399="","",$W399*IFERROR($K399/$O399,0))</f>
      </c>
      <c r="AJ399">
        <f>IF($A399="","",$X399*IFERROR($K399/$O399,0))</f>
      </c>
      <c r="AK399">
        <f>IF($A399="","",$Y399*IFERROR($G399/$L399,0)+$Z399*IFERROR($J399/$P399,0))</f>
      </c>
      <c r="AL399">
        <f>IF($A399="","",$AA399*IFERROR($AC399/$AD399,0))</f>
      </c>
      <c r="AM399">
        <f>IF($A399="","",$AB399*IFERROR($AG399/$AH399,0)*IFERROR($AE399/$AF399,0)*IFERROR($AC399/$AD399,0))</f>
      </c>
      <c r="AN399">
        <f>IF($A399="","",$I399-($AI399+$AJ399+$AK399+$AL399+$AM399+$AR399))</f>
      </c>
      <c r="AO399">
        <f>IF($A399="","",Allocation!CJ399)</f>
      </c>
      <c r="AP399">
        <f>IF($A399="","",IF(Allocation!$N$2="VOL_EFF",$Q399,IF(Allocation!$N$2="VOL_CLASS",$R399,$S399)))</f>
      </c>
      <c r="AQ399">
        <f>IF($A399="","",IF(Allocation!$N$2="VOL_EFF",$T399,IF(Allocation!$N$2="VOL_CLASS",$U399,$V399)))</f>
      </c>
      <c r="AR399">
        <f>IF($A399="","",$AO399*IFERROR($AP399/$AQ399,0)*IFERROR($AE399/$AF399,0)*IFERROR($AC399/$AD399,0))</f>
      </c>
      <c r="AS399">
        <f>IF($A399="","",$A399&amp;"|"&amp;Allocation!BG399)</f>
      </c>
    </row>
    <row r="400" spans="1:45">
      <c r="A400">
        <f>IF(Allocation!BI400="","",Allocation!BI400)</f>
      </c>
      <c r="B400">
        <f>IF(Allocation!BJ400="","",Allocation!BJ400)</f>
      </c>
      <c r="C400">
        <f>IF(Allocation!BK400="","",Allocation!BK400)</f>
      </c>
      <c r="D400">
        <f>IF(Allocation!BL400="","",Allocation!BL400)</f>
      </c>
      <c r="E400">
        <f>IF(Allocation!BM400="","",Allocation!BM400)</f>
      </c>
      <c r="F400">
        <f>IF(Allocation!BN400="","",Allocation!BN400)</f>
      </c>
      <c r="G400">
        <f>IF(Allocation!BO400="","",Allocation!BO400)</f>
      </c>
      <c r="H400">
        <f>IF(Allocation!BP400="","",Allocation!BP400)</f>
      </c>
      <c r="I400">
        <f>IF(Allocation!BQ400="","",Allocation!BQ400)</f>
      </c>
      <c r="J400">
        <f>IF(Allocation!CC400="","",Allocation!CC400)</f>
      </c>
      <c r="K400">
        <f>IF($A400="","",$H400*IF(AND(LEFT($D400,3)="BAC",$F400="INIT"),600,IF(LEFT($D400,3)="BAC",480,IF(AND(LEFT($D400,3)="MAS",$F400="INIT"),520,IF(LEFT($D400,3)="MAS",420,IF($F400="INIT",1000,700))))))</f>
      </c>
      <c r="L400">
        <f>IF($A400="","",SUMIFS($G$1:$G$349,$AS$1:$AS$349,$AS400,$B$1:$B$349,$B400))</f>
      </c>
      <c r="M400">
        <f>IF($A400="","",SUMIFS($H$1:$H$349,$AS$1:$AS$349,$AS400,$B$1:$B$349,$B400))</f>
      </c>
      <c r="N400">
        <f>IF($A400="","",SUMIFS($I$1:$I$349,$AS$1:$AS$349,$AS400,$B$1:$B$349,$B400))</f>
      </c>
      <c r="O400">
        <f>IF($A400="","",SUMIFS($K$1:$K$349,$AS$1:$AS$349,$AS400,$B$1:$B$349,$B400))</f>
      </c>
      <c r="P400">
        <f>IF($A400="","",SUMIFS($J$1:$J$349,$AS$1:$AS$349,$AS400,$B$1:$B$349,$B400))</f>
      </c>
      <c r="Q400">
        <f>IF($A400="","",SUMIFS($G$1:$G$349,$AS$1:$AS$349,$AS400,$C$1:$C$349,$C400))</f>
      </c>
      <c r="R400">
        <f>IF($A400="","",SUMIFS($H$1:$H$349,$AS$1:$AS$349,$AS400,$C$1:$C$349,$C400))</f>
      </c>
      <c r="S400">
        <f>IF($A400="","",SUMIFS($I$1:$I$349,$AS$1:$AS$349,$AS400,$C$1:$C$349,$C400))</f>
      </c>
      <c r="T400">
        <f>IF($A400="","",SUMIFS($G$1:$G$349,$AS$1:$AS$349,$AS400))</f>
      </c>
      <c r="U400">
        <f>IF($A400="","",SUMIFS($H$1:$H$349,$AS$1:$AS$349,$AS400))</f>
      </c>
      <c r="V400">
        <f>IF($A400="","",SUMIFS($I$1:$I$349,$AS$1:$AS$349,$AS400))</f>
      </c>
      <c r="W400">
        <f>IF($A400="","",Allocation!CD400)</f>
      </c>
      <c r="X400">
        <f>IF($A400="","",Allocation!CE400)</f>
      </c>
      <c r="Y400">
        <f>IF($A400="","",Allocation!CF400)</f>
      </c>
      <c r="Z400">
        <f>IF($A400="","",Allocation!CG400)</f>
      </c>
      <c r="AA400">
        <f>IF($A400="","",Allocation!CH400)</f>
      </c>
      <c r="AB400">
        <f>IF($A400="","",Allocation!CI400)</f>
      </c>
      <c r="AC400">
        <f>IF($A400="","",IF(Allocation!$N$4="VOL_EFF",$G400,IF(Allocation!$N$4="VOL_CLASS",$H400,$I400)))</f>
      </c>
      <c r="AD400">
        <f>IF($A400="","",IF(Allocation!$N$4="VOL_EFF",$L400,IF(Allocation!$N$4="VOL_CLASS",$M400,$N400)))</f>
      </c>
      <c r="AE400">
        <f>IF($A400="","",IF(Allocation!$N$3="VOL_EFF",$L400,IF(Allocation!$N$3="VOL_CLASS",$M400,$N400)))</f>
      </c>
      <c r="AF400">
        <f>IF($A400="","",IF(Allocation!$N$3="VOL_EFF",$Q400,IF(Allocation!$N$3="VOL_CLASS",$R400,$S400)))</f>
      </c>
      <c r="AG400">
        <f>IF($A400="","",IF(Allocation!$N$1="VOL_EFF",$Q400,IF(Allocation!$N$1="VOL_CLASS",$R400,$S400)))</f>
      </c>
      <c r="AH400">
        <f>IF($A400="","",IF(Allocation!$N$1="VOL_EFF",$T400,IF(Allocation!$N$1="VOL_CLASS",$U400,$V400)))</f>
      </c>
      <c r="AI400">
        <f>IF($A400="","",$W400*IFERROR($K400/$O400,0))</f>
      </c>
      <c r="AJ400">
        <f>IF($A400="","",$X400*IFERROR($K400/$O400,0))</f>
      </c>
      <c r="AK400">
        <f>IF($A400="","",$Y400*IFERROR($G400/$L400,0)+$Z400*IFERROR($J400/$P400,0))</f>
      </c>
      <c r="AL400">
        <f>IF($A400="","",$AA400*IFERROR($AC400/$AD400,0))</f>
      </c>
      <c r="AM400">
        <f>IF($A400="","",$AB400*IFERROR($AG400/$AH400,0)*IFERROR($AE400/$AF400,0)*IFERROR($AC400/$AD400,0))</f>
      </c>
      <c r="AN400">
        <f>IF($A400="","",$I400-($AI400+$AJ400+$AK400+$AL400+$AM400+$AR400))</f>
      </c>
      <c r="AO400">
        <f>IF($A400="","",Allocation!CJ400)</f>
      </c>
      <c r="AP400">
        <f>IF($A400="","",IF(Allocation!$N$2="VOL_EFF",$Q400,IF(Allocation!$N$2="VOL_CLASS",$R400,$S400)))</f>
      </c>
      <c r="AQ400">
        <f>IF($A400="","",IF(Allocation!$N$2="VOL_EFF",$T400,IF(Allocation!$N$2="VOL_CLASS",$U400,$V400)))</f>
      </c>
      <c r="AR400">
        <f>IF($A400="","",$AO400*IFERROR($AP400/$AQ400,0)*IFERROR($AE400/$AF400,0)*IFERROR($AC400/$AD400,0))</f>
      </c>
      <c r="AS400">
        <f>IF($A400="","",$A400&amp;"|"&amp;Allocation!BG400)</f>
      </c>
    </row>
    <row r="401" spans="1:45">
      <c r="A401">
        <f>IF(Allocation!BI401="","",Allocation!BI401)</f>
      </c>
      <c r="B401">
        <f>IF(Allocation!BJ401="","",Allocation!BJ401)</f>
      </c>
      <c r="C401">
        <f>IF(Allocation!BK401="","",Allocation!BK401)</f>
      </c>
      <c r="D401">
        <f>IF(Allocation!BL401="","",Allocation!BL401)</f>
      </c>
      <c r="E401">
        <f>IF(Allocation!BM401="","",Allocation!BM401)</f>
      </c>
      <c r="F401">
        <f>IF(Allocation!BN401="","",Allocation!BN401)</f>
      </c>
      <c r="G401">
        <f>IF(Allocation!BO401="","",Allocation!BO401)</f>
      </c>
      <c r="H401">
        <f>IF(Allocation!BP401="","",Allocation!BP401)</f>
      </c>
      <c r="I401">
        <f>IF(Allocation!BQ401="","",Allocation!BQ401)</f>
      </c>
      <c r="J401">
        <f>IF(Allocation!CC401="","",Allocation!CC401)</f>
      </c>
      <c r="K401">
        <f>IF($A401="","",$H401*IF(AND(LEFT($D401,3)="BAC",$F401="INIT"),600,IF(LEFT($D401,3)="BAC",480,IF(AND(LEFT($D401,3)="MAS",$F401="INIT"),520,IF(LEFT($D401,3)="MAS",420,IF($F401="INIT",1000,700))))))</f>
      </c>
      <c r="L401">
        <f>IF($A401="","",SUMIFS($G$1:$G$349,$AS$1:$AS$349,$AS401,$B$1:$B$349,$B401))</f>
      </c>
      <c r="M401">
        <f>IF($A401="","",SUMIFS($H$1:$H$349,$AS$1:$AS$349,$AS401,$B$1:$B$349,$B401))</f>
      </c>
      <c r="N401">
        <f>IF($A401="","",SUMIFS($I$1:$I$349,$AS$1:$AS$349,$AS401,$B$1:$B$349,$B401))</f>
      </c>
      <c r="O401">
        <f>IF($A401="","",SUMIFS($K$1:$K$349,$AS$1:$AS$349,$AS401,$B$1:$B$349,$B401))</f>
      </c>
      <c r="P401">
        <f>IF($A401="","",SUMIFS($J$1:$J$349,$AS$1:$AS$349,$AS401,$B$1:$B$349,$B401))</f>
      </c>
      <c r="Q401">
        <f>IF($A401="","",SUMIFS($G$1:$G$349,$AS$1:$AS$349,$AS401,$C$1:$C$349,$C401))</f>
      </c>
      <c r="R401">
        <f>IF($A401="","",SUMIFS($H$1:$H$349,$AS$1:$AS$349,$AS401,$C$1:$C$349,$C401))</f>
      </c>
      <c r="S401">
        <f>IF($A401="","",SUMIFS($I$1:$I$349,$AS$1:$AS$349,$AS401,$C$1:$C$349,$C401))</f>
      </c>
      <c r="T401">
        <f>IF($A401="","",SUMIFS($G$1:$G$349,$AS$1:$AS$349,$AS401))</f>
      </c>
      <c r="U401">
        <f>IF($A401="","",SUMIFS($H$1:$H$349,$AS$1:$AS$349,$AS401))</f>
      </c>
      <c r="V401">
        <f>IF($A401="","",SUMIFS($I$1:$I$349,$AS$1:$AS$349,$AS401))</f>
      </c>
      <c r="W401">
        <f>IF($A401="","",Allocation!CD401)</f>
      </c>
      <c r="X401">
        <f>IF($A401="","",Allocation!CE401)</f>
      </c>
      <c r="Y401">
        <f>IF($A401="","",Allocation!CF401)</f>
      </c>
      <c r="Z401">
        <f>IF($A401="","",Allocation!CG401)</f>
      </c>
      <c r="AA401">
        <f>IF($A401="","",Allocation!CH401)</f>
      </c>
      <c r="AB401">
        <f>IF($A401="","",Allocation!CI401)</f>
      </c>
      <c r="AC401">
        <f>IF($A401="","",IF(Allocation!$N$4="VOL_EFF",$G401,IF(Allocation!$N$4="VOL_CLASS",$H401,$I401)))</f>
      </c>
      <c r="AD401">
        <f>IF($A401="","",IF(Allocation!$N$4="VOL_EFF",$L401,IF(Allocation!$N$4="VOL_CLASS",$M401,$N401)))</f>
      </c>
      <c r="AE401">
        <f>IF($A401="","",IF(Allocation!$N$3="VOL_EFF",$L401,IF(Allocation!$N$3="VOL_CLASS",$M401,$N401)))</f>
      </c>
      <c r="AF401">
        <f>IF($A401="","",IF(Allocation!$N$3="VOL_EFF",$Q401,IF(Allocation!$N$3="VOL_CLASS",$R401,$S401)))</f>
      </c>
      <c r="AG401">
        <f>IF($A401="","",IF(Allocation!$N$1="VOL_EFF",$Q401,IF(Allocation!$N$1="VOL_CLASS",$R401,$S401)))</f>
      </c>
      <c r="AH401">
        <f>IF($A401="","",IF(Allocation!$N$1="VOL_EFF",$T401,IF(Allocation!$N$1="VOL_CLASS",$U401,$V401)))</f>
      </c>
      <c r="AI401">
        <f>IF($A401="","",$W401*IFERROR($K401/$O401,0))</f>
      </c>
      <c r="AJ401">
        <f>IF($A401="","",$X401*IFERROR($K401/$O401,0))</f>
      </c>
      <c r="AK401">
        <f>IF($A401="","",$Y401*IFERROR($G401/$L401,0)+$Z401*IFERROR($J401/$P401,0))</f>
      </c>
      <c r="AL401">
        <f>IF($A401="","",$AA401*IFERROR($AC401/$AD401,0))</f>
      </c>
      <c r="AM401">
        <f>IF($A401="","",$AB401*IFERROR($AG401/$AH401,0)*IFERROR($AE401/$AF401,0)*IFERROR($AC401/$AD401,0))</f>
      </c>
      <c r="AN401">
        <f>IF($A401="","",$I401-($AI401+$AJ401+$AK401+$AL401+$AM401+$AR401))</f>
      </c>
      <c r="AO401">
        <f>IF($A401="","",Allocation!CJ401)</f>
      </c>
      <c r="AP401">
        <f>IF($A401="","",IF(Allocation!$N$2="VOL_EFF",$Q401,IF(Allocation!$N$2="VOL_CLASS",$R401,$S401)))</f>
      </c>
      <c r="AQ401">
        <f>IF($A401="","",IF(Allocation!$N$2="VOL_EFF",$T401,IF(Allocation!$N$2="VOL_CLASS",$U401,$V401)))</f>
      </c>
      <c r="AR401">
        <f>IF($A401="","",$AO401*IFERROR($AP401/$AQ401,0)*IFERROR($AE401/$AF401,0)*IFERROR($AC401/$AD401,0))</f>
      </c>
      <c r="AS401">
        <f>IF($A401="","",$A401&amp;"|"&amp;Allocation!BG401)</f>
      </c>
    </row>
    <row r="402" spans="1:45">
      <c r="A402">
        <f>IF(Allocation!BI402="","",Allocation!BI402)</f>
      </c>
      <c r="B402">
        <f>IF(Allocation!BJ402="","",Allocation!BJ402)</f>
      </c>
      <c r="C402">
        <f>IF(Allocation!BK402="","",Allocation!BK402)</f>
      </c>
      <c r="D402">
        <f>IF(Allocation!BL402="","",Allocation!BL402)</f>
      </c>
      <c r="E402">
        <f>IF(Allocation!BM402="","",Allocation!BM402)</f>
      </c>
      <c r="F402">
        <f>IF(Allocation!BN402="","",Allocation!BN402)</f>
      </c>
      <c r="G402">
        <f>IF(Allocation!BO402="","",Allocation!BO402)</f>
      </c>
      <c r="H402">
        <f>IF(Allocation!BP402="","",Allocation!BP402)</f>
      </c>
      <c r="I402">
        <f>IF(Allocation!BQ402="","",Allocation!BQ402)</f>
      </c>
      <c r="J402">
        <f>IF(Allocation!CC402="","",Allocation!CC402)</f>
      </c>
      <c r="K402">
        <f>IF($A402="","",$H402*IF(AND(LEFT($D402,3)="BAC",$F402="INIT"),600,IF(LEFT($D402,3)="BAC",480,IF(AND(LEFT($D402,3)="MAS",$F402="INIT"),520,IF(LEFT($D402,3)="MAS",420,IF($F402="INIT",1000,700))))))</f>
      </c>
      <c r="L402">
        <f>IF($A402="","",SUMIFS($G$1:$G$349,$AS$1:$AS$349,$AS402,$B$1:$B$349,$B402))</f>
      </c>
      <c r="M402">
        <f>IF($A402="","",SUMIFS($H$1:$H$349,$AS$1:$AS$349,$AS402,$B$1:$B$349,$B402))</f>
      </c>
      <c r="N402">
        <f>IF($A402="","",SUMIFS($I$1:$I$349,$AS$1:$AS$349,$AS402,$B$1:$B$349,$B402))</f>
      </c>
      <c r="O402">
        <f>IF($A402="","",SUMIFS($K$1:$K$349,$AS$1:$AS$349,$AS402,$B$1:$B$349,$B402))</f>
      </c>
      <c r="P402">
        <f>IF($A402="","",SUMIFS($J$1:$J$349,$AS$1:$AS$349,$AS402,$B$1:$B$349,$B402))</f>
      </c>
      <c r="Q402">
        <f>IF($A402="","",SUMIFS($G$1:$G$349,$AS$1:$AS$349,$AS402,$C$1:$C$349,$C402))</f>
      </c>
      <c r="R402">
        <f>IF($A402="","",SUMIFS($H$1:$H$349,$AS$1:$AS$349,$AS402,$C$1:$C$349,$C402))</f>
      </c>
      <c r="S402">
        <f>IF($A402="","",SUMIFS($I$1:$I$349,$AS$1:$AS$349,$AS402,$C$1:$C$349,$C402))</f>
      </c>
      <c r="T402">
        <f>IF($A402="","",SUMIFS($G$1:$G$349,$AS$1:$AS$349,$AS402))</f>
      </c>
      <c r="U402">
        <f>IF($A402="","",SUMIFS($H$1:$H$349,$AS$1:$AS$349,$AS402))</f>
      </c>
      <c r="V402">
        <f>IF($A402="","",SUMIFS($I$1:$I$349,$AS$1:$AS$349,$AS402))</f>
      </c>
      <c r="W402">
        <f>IF($A402="","",Allocation!CD402)</f>
      </c>
      <c r="X402">
        <f>IF($A402="","",Allocation!CE402)</f>
      </c>
      <c r="Y402">
        <f>IF($A402="","",Allocation!CF402)</f>
      </c>
      <c r="Z402">
        <f>IF($A402="","",Allocation!CG402)</f>
      </c>
      <c r="AA402">
        <f>IF($A402="","",Allocation!CH402)</f>
      </c>
      <c r="AB402">
        <f>IF($A402="","",Allocation!CI402)</f>
      </c>
      <c r="AC402">
        <f>IF($A402="","",IF(Allocation!$N$4="VOL_EFF",$G402,IF(Allocation!$N$4="VOL_CLASS",$H402,$I402)))</f>
      </c>
      <c r="AD402">
        <f>IF($A402="","",IF(Allocation!$N$4="VOL_EFF",$L402,IF(Allocation!$N$4="VOL_CLASS",$M402,$N402)))</f>
      </c>
      <c r="AE402">
        <f>IF($A402="","",IF(Allocation!$N$3="VOL_EFF",$L402,IF(Allocation!$N$3="VOL_CLASS",$M402,$N402)))</f>
      </c>
      <c r="AF402">
        <f>IF($A402="","",IF(Allocation!$N$3="VOL_EFF",$Q402,IF(Allocation!$N$3="VOL_CLASS",$R402,$S402)))</f>
      </c>
      <c r="AG402">
        <f>IF($A402="","",IF(Allocation!$N$1="VOL_EFF",$Q402,IF(Allocation!$N$1="VOL_CLASS",$R402,$S402)))</f>
      </c>
      <c r="AH402">
        <f>IF($A402="","",IF(Allocation!$N$1="VOL_EFF",$T402,IF(Allocation!$N$1="VOL_CLASS",$U402,$V402)))</f>
      </c>
      <c r="AI402">
        <f>IF($A402="","",$W402*IFERROR($K402/$O402,0))</f>
      </c>
      <c r="AJ402">
        <f>IF($A402="","",$X402*IFERROR($K402/$O402,0))</f>
      </c>
      <c r="AK402">
        <f>IF($A402="","",$Y402*IFERROR($G402/$L402,0)+$Z402*IFERROR($J402/$P402,0))</f>
      </c>
      <c r="AL402">
        <f>IF($A402="","",$AA402*IFERROR($AC402/$AD402,0))</f>
      </c>
      <c r="AM402">
        <f>IF($A402="","",$AB402*IFERROR($AG402/$AH402,0)*IFERROR($AE402/$AF402,0)*IFERROR($AC402/$AD402,0))</f>
      </c>
      <c r="AN402">
        <f>IF($A402="","",$I402-($AI402+$AJ402+$AK402+$AL402+$AM402+$AR402))</f>
      </c>
      <c r="AO402">
        <f>IF($A402="","",Allocation!CJ402)</f>
      </c>
      <c r="AP402">
        <f>IF($A402="","",IF(Allocation!$N$2="VOL_EFF",$Q402,IF(Allocation!$N$2="VOL_CLASS",$R402,$S402)))</f>
      </c>
      <c r="AQ402">
        <f>IF($A402="","",IF(Allocation!$N$2="VOL_EFF",$T402,IF(Allocation!$N$2="VOL_CLASS",$U402,$V402)))</f>
      </c>
      <c r="AR402">
        <f>IF($A402="","",$AO402*IFERROR($AP402/$AQ402,0)*IFERROR($AE402/$AF402,0)*IFERROR($AC402/$AD402,0))</f>
      </c>
      <c r="AS402">
        <f>IF($A402="","",$A402&amp;"|"&amp;Allocation!BG402)</f>
      </c>
    </row>
    <row r="403" spans="1:45">
      <c r="A403">
        <f>IF(Allocation!BI403="","",Allocation!BI403)</f>
      </c>
      <c r="B403">
        <f>IF(Allocation!BJ403="","",Allocation!BJ403)</f>
      </c>
      <c r="C403">
        <f>IF(Allocation!BK403="","",Allocation!BK403)</f>
      </c>
      <c r="D403">
        <f>IF(Allocation!BL403="","",Allocation!BL403)</f>
      </c>
      <c r="E403">
        <f>IF(Allocation!BM403="","",Allocation!BM403)</f>
      </c>
      <c r="F403">
        <f>IF(Allocation!BN403="","",Allocation!BN403)</f>
      </c>
      <c r="G403">
        <f>IF(Allocation!BO403="","",Allocation!BO403)</f>
      </c>
      <c r="H403">
        <f>IF(Allocation!BP403="","",Allocation!BP403)</f>
      </c>
      <c r="I403">
        <f>IF(Allocation!BQ403="","",Allocation!BQ403)</f>
      </c>
      <c r="J403">
        <f>IF(Allocation!CC403="","",Allocation!CC403)</f>
      </c>
      <c r="K403">
        <f>IF($A403="","",$H403*IF(AND(LEFT($D403,3)="BAC",$F403="INIT"),600,IF(LEFT($D403,3)="BAC",480,IF(AND(LEFT($D403,3)="MAS",$F403="INIT"),520,IF(LEFT($D403,3)="MAS",420,IF($F403="INIT",1000,700))))))</f>
      </c>
      <c r="L403">
        <f>IF($A403="","",SUMIFS($G$1:$G$349,$AS$1:$AS$349,$AS403,$B$1:$B$349,$B403))</f>
      </c>
      <c r="M403">
        <f>IF($A403="","",SUMIFS($H$1:$H$349,$AS$1:$AS$349,$AS403,$B$1:$B$349,$B403))</f>
      </c>
      <c r="N403">
        <f>IF($A403="","",SUMIFS($I$1:$I$349,$AS$1:$AS$349,$AS403,$B$1:$B$349,$B403))</f>
      </c>
      <c r="O403">
        <f>IF($A403="","",SUMIFS($K$1:$K$349,$AS$1:$AS$349,$AS403,$B$1:$B$349,$B403))</f>
      </c>
      <c r="P403">
        <f>IF($A403="","",SUMIFS($J$1:$J$349,$AS$1:$AS$349,$AS403,$B$1:$B$349,$B403))</f>
      </c>
      <c r="Q403">
        <f>IF($A403="","",SUMIFS($G$1:$G$349,$AS$1:$AS$349,$AS403,$C$1:$C$349,$C403))</f>
      </c>
      <c r="R403">
        <f>IF($A403="","",SUMIFS($H$1:$H$349,$AS$1:$AS$349,$AS403,$C$1:$C$349,$C403))</f>
      </c>
      <c r="S403">
        <f>IF($A403="","",SUMIFS($I$1:$I$349,$AS$1:$AS$349,$AS403,$C$1:$C$349,$C403))</f>
      </c>
      <c r="T403">
        <f>IF($A403="","",SUMIFS($G$1:$G$349,$AS$1:$AS$349,$AS403))</f>
      </c>
      <c r="U403">
        <f>IF($A403="","",SUMIFS($H$1:$H$349,$AS$1:$AS$349,$AS403))</f>
      </c>
      <c r="V403">
        <f>IF($A403="","",SUMIFS($I$1:$I$349,$AS$1:$AS$349,$AS403))</f>
      </c>
      <c r="W403">
        <f>IF($A403="","",Allocation!CD403)</f>
      </c>
      <c r="X403">
        <f>IF($A403="","",Allocation!CE403)</f>
      </c>
      <c r="Y403">
        <f>IF($A403="","",Allocation!CF403)</f>
      </c>
      <c r="Z403">
        <f>IF($A403="","",Allocation!CG403)</f>
      </c>
      <c r="AA403">
        <f>IF($A403="","",Allocation!CH403)</f>
      </c>
      <c r="AB403">
        <f>IF($A403="","",Allocation!CI403)</f>
      </c>
      <c r="AC403">
        <f>IF($A403="","",IF(Allocation!$N$4="VOL_EFF",$G403,IF(Allocation!$N$4="VOL_CLASS",$H403,$I403)))</f>
      </c>
      <c r="AD403">
        <f>IF($A403="","",IF(Allocation!$N$4="VOL_EFF",$L403,IF(Allocation!$N$4="VOL_CLASS",$M403,$N403)))</f>
      </c>
      <c r="AE403">
        <f>IF($A403="","",IF(Allocation!$N$3="VOL_EFF",$L403,IF(Allocation!$N$3="VOL_CLASS",$M403,$N403)))</f>
      </c>
      <c r="AF403">
        <f>IF($A403="","",IF(Allocation!$N$3="VOL_EFF",$Q403,IF(Allocation!$N$3="VOL_CLASS",$R403,$S403)))</f>
      </c>
      <c r="AG403">
        <f>IF($A403="","",IF(Allocation!$N$1="VOL_EFF",$Q403,IF(Allocation!$N$1="VOL_CLASS",$R403,$S403)))</f>
      </c>
      <c r="AH403">
        <f>IF($A403="","",IF(Allocation!$N$1="VOL_EFF",$T403,IF(Allocation!$N$1="VOL_CLASS",$U403,$V403)))</f>
      </c>
      <c r="AI403">
        <f>IF($A403="","",$W403*IFERROR($K403/$O403,0))</f>
      </c>
      <c r="AJ403">
        <f>IF($A403="","",$X403*IFERROR($K403/$O403,0))</f>
      </c>
      <c r="AK403">
        <f>IF($A403="","",$Y403*IFERROR($G403/$L403,0)+$Z403*IFERROR($J403/$P403,0))</f>
      </c>
      <c r="AL403">
        <f>IF($A403="","",$AA403*IFERROR($AC403/$AD403,0))</f>
      </c>
      <c r="AM403">
        <f>IF($A403="","",$AB403*IFERROR($AG403/$AH403,0)*IFERROR($AE403/$AF403,0)*IFERROR($AC403/$AD403,0))</f>
      </c>
      <c r="AN403">
        <f>IF($A403="","",$I403-($AI403+$AJ403+$AK403+$AL403+$AM403+$AR403))</f>
      </c>
      <c r="AO403">
        <f>IF($A403="","",Allocation!CJ403)</f>
      </c>
      <c r="AP403">
        <f>IF($A403="","",IF(Allocation!$N$2="VOL_EFF",$Q403,IF(Allocation!$N$2="VOL_CLASS",$R403,$S403)))</f>
      </c>
      <c r="AQ403">
        <f>IF($A403="","",IF(Allocation!$N$2="VOL_EFF",$T403,IF(Allocation!$N$2="VOL_CLASS",$U403,$V403)))</f>
      </c>
      <c r="AR403">
        <f>IF($A403="","",$AO403*IFERROR($AP403/$AQ403,0)*IFERROR($AE403/$AF403,0)*IFERROR($AC403/$AD403,0))</f>
      </c>
      <c r="AS403">
        <f>IF($A403="","",$A403&amp;"|"&amp;Allocation!BG403)</f>
      </c>
    </row>
    <row r="404" spans="1:45">
      <c r="A404">
        <f>IF(Allocation!BI404="","",Allocation!BI404)</f>
      </c>
      <c r="B404">
        <f>IF(Allocation!BJ404="","",Allocation!BJ404)</f>
      </c>
      <c r="C404">
        <f>IF(Allocation!BK404="","",Allocation!BK404)</f>
      </c>
      <c r="D404">
        <f>IF(Allocation!BL404="","",Allocation!BL404)</f>
      </c>
      <c r="E404">
        <f>IF(Allocation!BM404="","",Allocation!BM404)</f>
      </c>
      <c r="F404">
        <f>IF(Allocation!BN404="","",Allocation!BN404)</f>
      </c>
      <c r="G404">
        <f>IF(Allocation!BO404="","",Allocation!BO404)</f>
      </c>
      <c r="H404">
        <f>IF(Allocation!BP404="","",Allocation!BP404)</f>
      </c>
      <c r="I404">
        <f>IF(Allocation!BQ404="","",Allocation!BQ404)</f>
      </c>
      <c r="J404">
        <f>IF(Allocation!CC404="","",Allocation!CC404)</f>
      </c>
      <c r="K404">
        <f>IF($A404="","",$H404*IF(AND(LEFT($D404,3)="BAC",$F404="INIT"),600,IF(LEFT($D404,3)="BAC",480,IF(AND(LEFT($D404,3)="MAS",$F404="INIT"),520,IF(LEFT($D404,3)="MAS",420,IF($F404="INIT",1000,700))))))</f>
      </c>
      <c r="L404">
        <f>IF($A404="","",SUMIFS($G$1:$G$349,$AS$1:$AS$349,$AS404,$B$1:$B$349,$B404))</f>
      </c>
      <c r="M404">
        <f>IF($A404="","",SUMIFS($H$1:$H$349,$AS$1:$AS$349,$AS404,$B$1:$B$349,$B404))</f>
      </c>
      <c r="N404">
        <f>IF($A404="","",SUMIFS($I$1:$I$349,$AS$1:$AS$349,$AS404,$B$1:$B$349,$B404))</f>
      </c>
      <c r="O404">
        <f>IF($A404="","",SUMIFS($K$1:$K$349,$AS$1:$AS$349,$AS404,$B$1:$B$349,$B404))</f>
      </c>
      <c r="P404">
        <f>IF($A404="","",SUMIFS($J$1:$J$349,$AS$1:$AS$349,$AS404,$B$1:$B$349,$B404))</f>
      </c>
      <c r="Q404">
        <f>IF($A404="","",SUMIFS($G$1:$G$349,$AS$1:$AS$349,$AS404,$C$1:$C$349,$C404))</f>
      </c>
      <c r="R404">
        <f>IF($A404="","",SUMIFS($H$1:$H$349,$AS$1:$AS$349,$AS404,$C$1:$C$349,$C404))</f>
      </c>
      <c r="S404">
        <f>IF($A404="","",SUMIFS($I$1:$I$349,$AS$1:$AS$349,$AS404,$C$1:$C$349,$C404))</f>
      </c>
      <c r="T404">
        <f>IF($A404="","",SUMIFS($G$1:$G$349,$AS$1:$AS$349,$AS404))</f>
      </c>
      <c r="U404">
        <f>IF($A404="","",SUMIFS($H$1:$H$349,$AS$1:$AS$349,$AS404))</f>
      </c>
      <c r="V404">
        <f>IF($A404="","",SUMIFS($I$1:$I$349,$AS$1:$AS$349,$AS404))</f>
      </c>
      <c r="W404">
        <f>IF($A404="","",Allocation!CD404)</f>
      </c>
      <c r="X404">
        <f>IF($A404="","",Allocation!CE404)</f>
      </c>
      <c r="Y404">
        <f>IF($A404="","",Allocation!CF404)</f>
      </c>
      <c r="Z404">
        <f>IF($A404="","",Allocation!CG404)</f>
      </c>
      <c r="AA404">
        <f>IF($A404="","",Allocation!CH404)</f>
      </c>
      <c r="AB404">
        <f>IF($A404="","",Allocation!CI404)</f>
      </c>
      <c r="AC404">
        <f>IF($A404="","",IF(Allocation!$N$4="VOL_EFF",$G404,IF(Allocation!$N$4="VOL_CLASS",$H404,$I404)))</f>
      </c>
      <c r="AD404">
        <f>IF($A404="","",IF(Allocation!$N$4="VOL_EFF",$L404,IF(Allocation!$N$4="VOL_CLASS",$M404,$N404)))</f>
      </c>
      <c r="AE404">
        <f>IF($A404="","",IF(Allocation!$N$3="VOL_EFF",$L404,IF(Allocation!$N$3="VOL_CLASS",$M404,$N404)))</f>
      </c>
      <c r="AF404">
        <f>IF($A404="","",IF(Allocation!$N$3="VOL_EFF",$Q404,IF(Allocation!$N$3="VOL_CLASS",$R404,$S404)))</f>
      </c>
      <c r="AG404">
        <f>IF($A404="","",IF(Allocation!$N$1="VOL_EFF",$Q404,IF(Allocation!$N$1="VOL_CLASS",$R404,$S404)))</f>
      </c>
      <c r="AH404">
        <f>IF($A404="","",IF(Allocation!$N$1="VOL_EFF",$T404,IF(Allocation!$N$1="VOL_CLASS",$U404,$V404)))</f>
      </c>
      <c r="AI404">
        <f>IF($A404="","",$W404*IFERROR($K404/$O404,0))</f>
      </c>
      <c r="AJ404">
        <f>IF($A404="","",$X404*IFERROR($K404/$O404,0))</f>
      </c>
      <c r="AK404">
        <f>IF($A404="","",$Y404*IFERROR($G404/$L404,0)+$Z404*IFERROR($J404/$P404,0))</f>
      </c>
      <c r="AL404">
        <f>IF($A404="","",$AA404*IFERROR($AC404/$AD404,0))</f>
      </c>
      <c r="AM404">
        <f>IF($A404="","",$AB404*IFERROR($AG404/$AH404,0)*IFERROR($AE404/$AF404,0)*IFERROR($AC404/$AD404,0))</f>
      </c>
      <c r="AN404">
        <f>IF($A404="","",$I404-($AI404+$AJ404+$AK404+$AL404+$AM404+$AR404))</f>
      </c>
      <c r="AO404">
        <f>IF($A404="","",Allocation!CJ404)</f>
      </c>
      <c r="AP404">
        <f>IF($A404="","",IF(Allocation!$N$2="VOL_EFF",$Q404,IF(Allocation!$N$2="VOL_CLASS",$R404,$S404)))</f>
      </c>
      <c r="AQ404">
        <f>IF($A404="","",IF(Allocation!$N$2="VOL_EFF",$T404,IF(Allocation!$N$2="VOL_CLASS",$U404,$V404)))</f>
      </c>
      <c r="AR404">
        <f>IF($A404="","",$AO404*IFERROR($AP404/$AQ404,0)*IFERROR($AE404/$AF404,0)*IFERROR($AC404/$AD404,0))</f>
      </c>
      <c r="AS404">
        <f>IF($A404="","",$A404&amp;"|"&amp;Allocation!BG404)</f>
      </c>
    </row>
    <row r="405" spans="1:45">
      <c r="A405">
        <f>IF(Allocation!BI405="","",Allocation!BI405)</f>
      </c>
      <c r="B405">
        <f>IF(Allocation!BJ405="","",Allocation!BJ405)</f>
      </c>
      <c r="C405">
        <f>IF(Allocation!BK405="","",Allocation!BK405)</f>
      </c>
      <c r="D405">
        <f>IF(Allocation!BL405="","",Allocation!BL405)</f>
      </c>
      <c r="E405">
        <f>IF(Allocation!BM405="","",Allocation!BM405)</f>
      </c>
      <c r="F405">
        <f>IF(Allocation!BN405="","",Allocation!BN405)</f>
      </c>
      <c r="G405">
        <f>IF(Allocation!BO405="","",Allocation!BO405)</f>
      </c>
      <c r="H405">
        <f>IF(Allocation!BP405="","",Allocation!BP405)</f>
      </c>
      <c r="I405">
        <f>IF(Allocation!BQ405="","",Allocation!BQ405)</f>
      </c>
      <c r="J405">
        <f>IF(Allocation!CC405="","",Allocation!CC405)</f>
      </c>
      <c r="K405">
        <f>IF($A405="","",$H405*IF(AND(LEFT($D405,3)="BAC",$F405="INIT"),600,IF(LEFT($D405,3)="BAC",480,IF(AND(LEFT($D405,3)="MAS",$F405="INIT"),520,IF(LEFT($D405,3)="MAS",420,IF($F405="INIT",1000,700))))))</f>
      </c>
      <c r="L405">
        <f>IF($A405="","",SUMIFS($G$1:$G$349,$AS$1:$AS$349,$AS405,$B$1:$B$349,$B405))</f>
      </c>
      <c r="M405">
        <f>IF($A405="","",SUMIFS($H$1:$H$349,$AS$1:$AS$349,$AS405,$B$1:$B$349,$B405))</f>
      </c>
      <c r="N405">
        <f>IF($A405="","",SUMIFS($I$1:$I$349,$AS$1:$AS$349,$AS405,$B$1:$B$349,$B405))</f>
      </c>
      <c r="O405">
        <f>IF($A405="","",SUMIFS($K$1:$K$349,$AS$1:$AS$349,$AS405,$B$1:$B$349,$B405))</f>
      </c>
      <c r="P405">
        <f>IF($A405="","",SUMIFS($J$1:$J$349,$AS$1:$AS$349,$AS405,$B$1:$B$349,$B405))</f>
      </c>
      <c r="Q405">
        <f>IF($A405="","",SUMIFS($G$1:$G$349,$AS$1:$AS$349,$AS405,$C$1:$C$349,$C405))</f>
      </c>
      <c r="R405">
        <f>IF($A405="","",SUMIFS($H$1:$H$349,$AS$1:$AS$349,$AS405,$C$1:$C$349,$C405))</f>
      </c>
      <c r="S405">
        <f>IF($A405="","",SUMIFS($I$1:$I$349,$AS$1:$AS$349,$AS405,$C$1:$C$349,$C405))</f>
      </c>
      <c r="T405">
        <f>IF($A405="","",SUMIFS($G$1:$G$349,$AS$1:$AS$349,$AS405))</f>
      </c>
      <c r="U405">
        <f>IF($A405="","",SUMIFS($H$1:$H$349,$AS$1:$AS$349,$AS405))</f>
      </c>
      <c r="V405">
        <f>IF($A405="","",SUMIFS($I$1:$I$349,$AS$1:$AS$349,$AS405))</f>
      </c>
      <c r="W405">
        <f>IF($A405="","",Allocation!CD405)</f>
      </c>
      <c r="X405">
        <f>IF($A405="","",Allocation!CE405)</f>
      </c>
      <c r="Y405">
        <f>IF($A405="","",Allocation!CF405)</f>
      </c>
      <c r="Z405">
        <f>IF($A405="","",Allocation!CG405)</f>
      </c>
      <c r="AA405">
        <f>IF($A405="","",Allocation!CH405)</f>
      </c>
      <c r="AB405">
        <f>IF($A405="","",Allocation!CI405)</f>
      </c>
      <c r="AC405">
        <f>IF($A405="","",IF(Allocation!$N$4="VOL_EFF",$G405,IF(Allocation!$N$4="VOL_CLASS",$H405,$I405)))</f>
      </c>
      <c r="AD405">
        <f>IF($A405="","",IF(Allocation!$N$4="VOL_EFF",$L405,IF(Allocation!$N$4="VOL_CLASS",$M405,$N405)))</f>
      </c>
      <c r="AE405">
        <f>IF($A405="","",IF(Allocation!$N$3="VOL_EFF",$L405,IF(Allocation!$N$3="VOL_CLASS",$M405,$N405)))</f>
      </c>
      <c r="AF405">
        <f>IF($A405="","",IF(Allocation!$N$3="VOL_EFF",$Q405,IF(Allocation!$N$3="VOL_CLASS",$R405,$S405)))</f>
      </c>
      <c r="AG405">
        <f>IF($A405="","",IF(Allocation!$N$1="VOL_EFF",$Q405,IF(Allocation!$N$1="VOL_CLASS",$R405,$S405)))</f>
      </c>
      <c r="AH405">
        <f>IF($A405="","",IF(Allocation!$N$1="VOL_EFF",$T405,IF(Allocation!$N$1="VOL_CLASS",$U405,$V405)))</f>
      </c>
      <c r="AI405">
        <f>IF($A405="","",$W405*IFERROR($K405/$O405,0))</f>
      </c>
      <c r="AJ405">
        <f>IF($A405="","",$X405*IFERROR($K405/$O405,0))</f>
      </c>
      <c r="AK405">
        <f>IF($A405="","",$Y405*IFERROR($G405/$L405,0)+$Z405*IFERROR($J405/$P405,0))</f>
      </c>
      <c r="AL405">
        <f>IF($A405="","",$AA405*IFERROR($AC405/$AD405,0))</f>
      </c>
      <c r="AM405">
        <f>IF($A405="","",$AB405*IFERROR($AG405/$AH405,0)*IFERROR($AE405/$AF405,0)*IFERROR($AC405/$AD405,0))</f>
      </c>
      <c r="AN405">
        <f>IF($A405="","",$I405-($AI405+$AJ405+$AK405+$AL405+$AM405+$AR405))</f>
      </c>
      <c r="AO405">
        <f>IF($A405="","",Allocation!CJ405)</f>
      </c>
      <c r="AP405">
        <f>IF($A405="","",IF(Allocation!$N$2="VOL_EFF",$Q405,IF(Allocation!$N$2="VOL_CLASS",$R405,$S405)))</f>
      </c>
      <c r="AQ405">
        <f>IF($A405="","",IF(Allocation!$N$2="VOL_EFF",$T405,IF(Allocation!$N$2="VOL_CLASS",$U405,$V405)))</f>
      </c>
      <c r="AR405">
        <f>IF($A405="","",$AO405*IFERROR($AP405/$AQ405,0)*IFERROR($AE405/$AF405,0)*IFERROR($AC405/$AD405,0))</f>
      </c>
      <c r="AS405">
        <f>IF($A405="","",$A405&amp;"|"&amp;Allocation!BG405)</f>
      </c>
    </row>
    <row r="406" spans="1:45">
      <c r="A406">
        <f>IF(Allocation!BI406="","",Allocation!BI406)</f>
      </c>
      <c r="B406">
        <f>IF(Allocation!BJ406="","",Allocation!BJ406)</f>
      </c>
      <c r="C406">
        <f>IF(Allocation!BK406="","",Allocation!BK406)</f>
      </c>
      <c r="D406">
        <f>IF(Allocation!BL406="","",Allocation!BL406)</f>
      </c>
      <c r="E406">
        <f>IF(Allocation!BM406="","",Allocation!BM406)</f>
      </c>
      <c r="F406">
        <f>IF(Allocation!BN406="","",Allocation!BN406)</f>
      </c>
      <c r="G406">
        <f>IF(Allocation!BO406="","",Allocation!BO406)</f>
      </c>
      <c r="H406">
        <f>IF(Allocation!BP406="","",Allocation!BP406)</f>
      </c>
      <c r="I406">
        <f>IF(Allocation!BQ406="","",Allocation!BQ406)</f>
      </c>
      <c r="J406">
        <f>IF(Allocation!CC406="","",Allocation!CC406)</f>
      </c>
      <c r="K406">
        <f>IF($A406="","",$H406*IF(AND(LEFT($D406,3)="BAC",$F406="INIT"),600,IF(LEFT($D406,3)="BAC",480,IF(AND(LEFT($D406,3)="MAS",$F406="INIT"),520,IF(LEFT($D406,3)="MAS",420,IF($F406="INIT",1000,700))))))</f>
      </c>
      <c r="L406">
        <f>IF($A406="","",SUMIFS($G$1:$G$349,$AS$1:$AS$349,$AS406,$B$1:$B$349,$B406))</f>
      </c>
      <c r="M406">
        <f>IF($A406="","",SUMIFS($H$1:$H$349,$AS$1:$AS$349,$AS406,$B$1:$B$349,$B406))</f>
      </c>
      <c r="N406">
        <f>IF($A406="","",SUMIFS($I$1:$I$349,$AS$1:$AS$349,$AS406,$B$1:$B$349,$B406))</f>
      </c>
      <c r="O406">
        <f>IF($A406="","",SUMIFS($K$1:$K$349,$AS$1:$AS$349,$AS406,$B$1:$B$349,$B406))</f>
      </c>
      <c r="P406">
        <f>IF($A406="","",SUMIFS($J$1:$J$349,$AS$1:$AS$349,$AS406,$B$1:$B$349,$B406))</f>
      </c>
      <c r="Q406">
        <f>IF($A406="","",SUMIFS($G$1:$G$349,$AS$1:$AS$349,$AS406,$C$1:$C$349,$C406))</f>
      </c>
      <c r="R406">
        <f>IF($A406="","",SUMIFS($H$1:$H$349,$AS$1:$AS$349,$AS406,$C$1:$C$349,$C406))</f>
      </c>
      <c r="S406">
        <f>IF($A406="","",SUMIFS($I$1:$I$349,$AS$1:$AS$349,$AS406,$C$1:$C$349,$C406))</f>
      </c>
      <c r="T406">
        <f>IF($A406="","",SUMIFS($G$1:$G$349,$AS$1:$AS$349,$AS406))</f>
      </c>
      <c r="U406">
        <f>IF($A406="","",SUMIFS($H$1:$H$349,$AS$1:$AS$349,$AS406))</f>
      </c>
      <c r="V406">
        <f>IF($A406="","",SUMIFS($I$1:$I$349,$AS$1:$AS$349,$AS406))</f>
      </c>
      <c r="W406">
        <f>IF($A406="","",Allocation!CD406)</f>
      </c>
      <c r="X406">
        <f>IF($A406="","",Allocation!CE406)</f>
      </c>
      <c r="Y406">
        <f>IF($A406="","",Allocation!CF406)</f>
      </c>
      <c r="Z406">
        <f>IF($A406="","",Allocation!CG406)</f>
      </c>
      <c r="AA406">
        <f>IF($A406="","",Allocation!CH406)</f>
      </c>
      <c r="AB406">
        <f>IF($A406="","",Allocation!CI406)</f>
      </c>
      <c r="AC406">
        <f>IF($A406="","",IF(Allocation!$N$4="VOL_EFF",$G406,IF(Allocation!$N$4="VOL_CLASS",$H406,$I406)))</f>
      </c>
      <c r="AD406">
        <f>IF($A406="","",IF(Allocation!$N$4="VOL_EFF",$L406,IF(Allocation!$N$4="VOL_CLASS",$M406,$N406)))</f>
      </c>
      <c r="AE406">
        <f>IF($A406="","",IF(Allocation!$N$3="VOL_EFF",$L406,IF(Allocation!$N$3="VOL_CLASS",$M406,$N406)))</f>
      </c>
      <c r="AF406">
        <f>IF($A406="","",IF(Allocation!$N$3="VOL_EFF",$Q406,IF(Allocation!$N$3="VOL_CLASS",$R406,$S406)))</f>
      </c>
      <c r="AG406">
        <f>IF($A406="","",IF(Allocation!$N$1="VOL_EFF",$Q406,IF(Allocation!$N$1="VOL_CLASS",$R406,$S406)))</f>
      </c>
      <c r="AH406">
        <f>IF($A406="","",IF(Allocation!$N$1="VOL_EFF",$T406,IF(Allocation!$N$1="VOL_CLASS",$U406,$V406)))</f>
      </c>
      <c r="AI406">
        <f>IF($A406="","",$W406*IFERROR($K406/$O406,0))</f>
      </c>
      <c r="AJ406">
        <f>IF($A406="","",$X406*IFERROR($K406/$O406,0))</f>
      </c>
      <c r="AK406">
        <f>IF($A406="","",$Y406*IFERROR($G406/$L406,0)+$Z406*IFERROR($J406/$P406,0))</f>
      </c>
      <c r="AL406">
        <f>IF($A406="","",$AA406*IFERROR($AC406/$AD406,0))</f>
      </c>
      <c r="AM406">
        <f>IF($A406="","",$AB406*IFERROR($AG406/$AH406,0)*IFERROR($AE406/$AF406,0)*IFERROR($AC406/$AD406,0))</f>
      </c>
      <c r="AN406">
        <f>IF($A406="","",$I406-($AI406+$AJ406+$AK406+$AL406+$AM406+$AR406))</f>
      </c>
      <c r="AO406">
        <f>IF($A406="","",Allocation!CJ406)</f>
      </c>
      <c r="AP406">
        <f>IF($A406="","",IF(Allocation!$N$2="VOL_EFF",$Q406,IF(Allocation!$N$2="VOL_CLASS",$R406,$S406)))</f>
      </c>
      <c r="AQ406">
        <f>IF($A406="","",IF(Allocation!$N$2="VOL_EFF",$T406,IF(Allocation!$N$2="VOL_CLASS",$U406,$V406)))</f>
      </c>
      <c r="AR406">
        <f>IF($A406="","",$AO406*IFERROR($AP406/$AQ406,0)*IFERROR($AE406/$AF406,0)*IFERROR($AC406/$AD406,0))</f>
      </c>
      <c r="AS406">
        <f>IF($A406="","",$A406&amp;"|"&amp;Allocation!BG406)</f>
      </c>
    </row>
    <row r="407" spans="1:45">
      <c r="A407">
        <f>IF(Allocation!BI407="","",Allocation!BI407)</f>
      </c>
      <c r="B407">
        <f>IF(Allocation!BJ407="","",Allocation!BJ407)</f>
      </c>
      <c r="C407">
        <f>IF(Allocation!BK407="","",Allocation!BK407)</f>
      </c>
      <c r="D407">
        <f>IF(Allocation!BL407="","",Allocation!BL407)</f>
      </c>
      <c r="E407">
        <f>IF(Allocation!BM407="","",Allocation!BM407)</f>
      </c>
      <c r="F407">
        <f>IF(Allocation!BN407="","",Allocation!BN407)</f>
      </c>
      <c r="G407">
        <f>IF(Allocation!BO407="","",Allocation!BO407)</f>
      </c>
      <c r="H407">
        <f>IF(Allocation!BP407="","",Allocation!BP407)</f>
      </c>
      <c r="I407">
        <f>IF(Allocation!BQ407="","",Allocation!BQ407)</f>
      </c>
      <c r="J407">
        <f>IF(Allocation!CC407="","",Allocation!CC407)</f>
      </c>
      <c r="K407">
        <f>IF($A407="","",$H407*IF(AND(LEFT($D407,3)="BAC",$F407="INIT"),600,IF(LEFT($D407,3)="BAC",480,IF(AND(LEFT($D407,3)="MAS",$F407="INIT"),520,IF(LEFT($D407,3)="MAS",420,IF($F407="INIT",1000,700))))))</f>
      </c>
      <c r="L407">
        <f>IF($A407="","",SUMIFS($G$1:$G$349,$AS$1:$AS$349,$AS407,$B$1:$B$349,$B407))</f>
      </c>
      <c r="M407">
        <f>IF($A407="","",SUMIFS($H$1:$H$349,$AS$1:$AS$349,$AS407,$B$1:$B$349,$B407))</f>
      </c>
      <c r="N407">
        <f>IF($A407="","",SUMIFS($I$1:$I$349,$AS$1:$AS$349,$AS407,$B$1:$B$349,$B407))</f>
      </c>
      <c r="O407">
        <f>IF($A407="","",SUMIFS($K$1:$K$349,$AS$1:$AS$349,$AS407,$B$1:$B$349,$B407))</f>
      </c>
      <c r="P407">
        <f>IF($A407="","",SUMIFS($J$1:$J$349,$AS$1:$AS$349,$AS407,$B$1:$B$349,$B407))</f>
      </c>
      <c r="Q407">
        <f>IF($A407="","",SUMIFS($G$1:$G$349,$AS$1:$AS$349,$AS407,$C$1:$C$349,$C407))</f>
      </c>
      <c r="R407">
        <f>IF($A407="","",SUMIFS($H$1:$H$349,$AS$1:$AS$349,$AS407,$C$1:$C$349,$C407))</f>
      </c>
      <c r="S407">
        <f>IF($A407="","",SUMIFS($I$1:$I$349,$AS$1:$AS$349,$AS407,$C$1:$C$349,$C407))</f>
      </c>
      <c r="T407">
        <f>IF($A407="","",SUMIFS($G$1:$G$349,$AS$1:$AS$349,$AS407))</f>
      </c>
      <c r="U407">
        <f>IF($A407="","",SUMIFS($H$1:$H$349,$AS$1:$AS$349,$AS407))</f>
      </c>
      <c r="V407">
        <f>IF($A407="","",SUMIFS($I$1:$I$349,$AS$1:$AS$349,$AS407))</f>
      </c>
      <c r="W407">
        <f>IF($A407="","",Allocation!CD407)</f>
      </c>
      <c r="X407">
        <f>IF($A407="","",Allocation!CE407)</f>
      </c>
      <c r="Y407">
        <f>IF($A407="","",Allocation!CF407)</f>
      </c>
      <c r="Z407">
        <f>IF($A407="","",Allocation!CG407)</f>
      </c>
      <c r="AA407">
        <f>IF($A407="","",Allocation!CH407)</f>
      </c>
      <c r="AB407">
        <f>IF($A407="","",Allocation!CI407)</f>
      </c>
      <c r="AC407">
        <f>IF($A407="","",IF(Allocation!$N$4="VOL_EFF",$G407,IF(Allocation!$N$4="VOL_CLASS",$H407,$I407)))</f>
      </c>
      <c r="AD407">
        <f>IF($A407="","",IF(Allocation!$N$4="VOL_EFF",$L407,IF(Allocation!$N$4="VOL_CLASS",$M407,$N407)))</f>
      </c>
      <c r="AE407">
        <f>IF($A407="","",IF(Allocation!$N$3="VOL_EFF",$L407,IF(Allocation!$N$3="VOL_CLASS",$M407,$N407)))</f>
      </c>
      <c r="AF407">
        <f>IF($A407="","",IF(Allocation!$N$3="VOL_EFF",$Q407,IF(Allocation!$N$3="VOL_CLASS",$R407,$S407)))</f>
      </c>
      <c r="AG407">
        <f>IF($A407="","",IF(Allocation!$N$1="VOL_EFF",$Q407,IF(Allocation!$N$1="VOL_CLASS",$R407,$S407)))</f>
      </c>
      <c r="AH407">
        <f>IF($A407="","",IF(Allocation!$N$1="VOL_EFF",$T407,IF(Allocation!$N$1="VOL_CLASS",$U407,$V407)))</f>
      </c>
      <c r="AI407">
        <f>IF($A407="","",$W407*IFERROR($K407/$O407,0))</f>
      </c>
      <c r="AJ407">
        <f>IF($A407="","",$X407*IFERROR($K407/$O407,0))</f>
      </c>
      <c r="AK407">
        <f>IF($A407="","",$Y407*IFERROR($G407/$L407,0)+$Z407*IFERROR($J407/$P407,0))</f>
      </c>
      <c r="AL407">
        <f>IF($A407="","",$AA407*IFERROR($AC407/$AD407,0))</f>
      </c>
      <c r="AM407">
        <f>IF($A407="","",$AB407*IFERROR($AG407/$AH407,0)*IFERROR($AE407/$AF407,0)*IFERROR($AC407/$AD407,0))</f>
      </c>
      <c r="AN407">
        <f>IF($A407="","",$I407-($AI407+$AJ407+$AK407+$AL407+$AM407+$AR407))</f>
      </c>
      <c r="AO407">
        <f>IF($A407="","",Allocation!CJ407)</f>
      </c>
      <c r="AP407">
        <f>IF($A407="","",IF(Allocation!$N$2="VOL_EFF",$Q407,IF(Allocation!$N$2="VOL_CLASS",$R407,$S407)))</f>
      </c>
      <c r="AQ407">
        <f>IF($A407="","",IF(Allocation!$N$2="VOL_EFF",$T407,IF(Allocation!$N$2="VOL_CLASS",$U407,$V407)))</f>
      </c>
      <c r="AR407">
        <f>IF($A407="","",$AO407*IFERROR($AP407/$AQ407,0)*IFERROR($AE407/$AF407,0)*IFERROR($AC407/$AD407,0))</f>
      </c>
      <c r="AS407">
        <f>IF($A407="","",$A407&amp;"|"&amp;Allocation!BG407)</f>
      </c>
    </row>
    <row r="408" spans="1:45">
      <c r="A408">
        <f>IF(Allocation!BI408="","",Allocation!BI408)</f>
      </c>
      <c r="B408">
        <f>IF(Allocation!BJ408="","",Allocation!BJ408)</f>
      </c>
      <c r="C408">
        <f>IF(Allocation!BK408="","",Allocation!BK408)</f>
      </c>
      <c r="D408">
        <f>IF(Allocation!BL408="","",Allocation!BL408)</f>
      </c>
      <c r="E408">
        <f>IF(Allocation!BM408="","",Allocation!BM408)</f>
      </c>
      <c r="F408">
        <f>IF(Allocation!BN408="","",Allocation!BN408)</f>
      </c>
      <c r="G408">
        <f>IF(Allocation!BO408="","",Allocation!BO408)</f>
      </c>
      <c r="H408">
        <f>IF(Allocation!BP408="","",Allocation!BP408)</f>
      </c>
      <c r="I408">
        <f>IF(Allocation!BQ408="","",Allocation!BQ408)</f>
      </c>
      <c r="J408">
        <f>IF(Allocation!CC408="","",Allocation!CC408)</f>
      </c>
      <c r="K408">
        <f>IF($A408="","",$H408*IF(AND(LEFT($D408,3)="BAC",$F408="INIT"),600,IF(LEFT($D408,3)="BAC",480,IF(AND(LEFT($D408,3)="MAS",$F408="INIT"),520,IF(LEFT($D408,3)="MAS",420,IF($F408="INIT",1000,700))))))</f>
      </c>
      <c r="L408">
        <f>IF($A408="","",SUMIFS($G$1:$G$349,$AS$1:$AS$349,$AS408,$B$1:$B$349,$B408))</f>
      </c>
      <c r="M408">
        <f>IF($A408="","",SUMIFS($H$1:$H$349,$AS$1:$AS$349,$AS408,$B$1:$B$349,$B408))</f>
      </c>
      <c r="N408">
        <f>IF($A408="","",SUMIFS($I$1:$I$349,$AS$1:$AS$349,$AS408,$B$1:$B$349,$B408))</f>
      </c>
      <c r="O408">
        <f>IF($A408="","",SUMIFS($K$1:$K$349,$AS$1:$AS$349,$AS408,$B$1:$B$349,$B408))</f>
      </c>
      <c r="P408">
        <f>IF($A408="","",SUMIFS($J$1:$J$349,$AS$1:$AS$349,$AS408,$B$1:$B$349,$B408))</f>
      </c>
      <c r="Q408">
        <f>IF($A408="","",SUMIFS($G$1:$G$349,$AS$1:$AS$349,$AS408,$C$1:$C$349,$C408))</f>
      </c>
      <c r="R408">
        <f>IF($A408="","",SUMIFS($H$1:$H$349,$AS$1:$AS$349,$AS408,$C$1:$C$349,$C408))</f>
      </c>
      <c r="S408">
        <f>IF($A408="","",SUMIFS($I$1:$I$349,$AS$1:$AS$349,$AS408,$C$1:$C$349,$C408))</f>
      </c>
      <c r="T408">
        <f>IF($A408="","",SUMIFS($G$1:$G$349,$AS$1:$AS$349,$AS408))</f>
      </c>
      <c r="U408">
        <f>IF($A408="","",SUMIFS($H$1:$H$349,$AS$1:$AS$349,$AS408))</f>
      </c>
      <c r="V408">
        <f>IF($A408="","",SUMIFS($I$1:$I$349,$AS$1:$AS$349,$AS408))</f>
      </c>
      <c r="W408">
        <f>IF($A408="","",Allocation!CD408)</f>
      </c>
      <c r="X408">
        <f>IF($A408="","",Allocation!CE408)</f>
      </c>
      <c r="Y408">
        <f>IF($A408="","",Allocation!CF408)</f>
      </c>
      <c r="Z408">
        <f>IF($A408="","",Allocation!CG408)</f>
      </c>
      <c r="AA408">
        <f>IF($A408="","",Allocation!CH408)</f>
      </c>
      <c r="AB408">
        <f>IF($A408="","",Allocation!CI408)</f>
      </c>
      <c r="AC408">
        <f>IF($A408="","",IF(Allocation!$N$4="VOL_EFF",$G408,IF(Allocation!$N$4="VOL_CLASS",$H408,$I408)))</f>
      </c>
      <c r="AD408">
        <f>IF($A408="","",IF(Allocation!$N$4="VOL_EFF",$L408,IF(Allocation!$N$4="VOL_CLASS",$M408,$N408)))</f>
      </c>
      <c r="AE408">
        <f>IF($A408="","",IF(Allocation!$N$3="VOL_EFF",$L408,IF(Allocation!$N$3="VOL_CLASS",$M408,$N408)))</f>
      </c>
      <c r="AF408">
        <f>IF($A408="","",IF(Allocation!$N$3="VOL_EFF",$Q408,IF(Allocation!$N$3="VOL_CLASS",$R408,$S408)))</f>
      </c>
      <c r="AG408">
        <f>IF($A408="","",IF(Allocation!$N$1="VOL_EFF",$Q408,IF(Allocation!$N$1="VOL_CLASS",$R408,$S408)))</f>
      </c>
      <c r="AH408">
        <f>IF($A408="","",IF(Allocation!$N$1="VOL_EFF",$T408,IF(Allocation!$N$1="VOL_CLASS",$U408,$V408)))</f>
      </c>
      <c r="AI408">
        <f>IF($A408="","",$W408*IFERROR($K408/$O408,0))</f>
      </c>
      <c r="AJ408">
        <f>IF($A408="","",$X408*IFERROR($K408/$O408,0))</f>
      </c>
      <c r="AK408">
        <f>IF($A408="","",$Y408*IFERROR($G408/$L408,0)+$Z408*IFERROR($J408/$P408,0))</f>
      </c>
      <c r="AL408">
        <f>IF($A408="","",$AA408*IFERROR($AC408/$AD408,0))</f>
      </c>
      <c r="AM408">
        <f>IF($A408="","",$AB408*IFERROR($AG408/$AH408,0)*IFERROR($AE408/$AF408,0)*IFERROR($AC408/$AD408,0))</f>
      </c>
      <c r="AN408">
        <f>IF($A408="","",$I408-($AI408+$AJ408+$AK408+$AL408+$AM408+$AR408))</f>
      </c>
      <c r="AO408">
        <f>IF($A408="","",Allocation!CJ408)</f>
      </c>
      <c r="AP408">
        <f>IF($A408="","",IF(Allocation!$N$2="VOL_EFF",$Q408,IF(Allocation!$N$2="VOL_CLASS",$R408,$S408)))</f>
      </c>
      <c r="AQ408">
        <f>IF($A408="","",IF(Allocation!$N$2="VOL_EFF",$T408,IF(Allocation!$N$2="VOL_CLASS",$U408,$V408)))</f>
      </c>
      <c r="AR408">
        <f>IF($A408="","",$AO408*IFERROR($AP408/$AQ408,0)*IFERROR($AE408/$AF408,0)*IFERROR($AC408/$AD408,0))</f>
      </c>
      <c r="AS408">
        <f>IF($A408="","",$A408&amp;"|"&amp;Allocation!BG408)</f>
      </c>
    </row>
    <row r="409" spans="1:45">
      <c r="A409">
        <f>IF(Allocation!BI409="","",Allocation!BI409)</f>
      </c>
      <c r="B409">
        <f>IF(Allocation!BJ409="","",Allocation!BJ409)</f>
      </c>
      <c r="C409">
        <f>IF(Allocation!BK409="","",Allocation!BK409)</f>
      </c>
      <c r="D409">
        <f>IF(Allocation!BL409="","",Allocation!BL409)</f>
      </c>
      <c r="E409">
        <f>IF(Allocation!BM409="","",Allocation!BM409)</f>
      </c>
      <c r="F409">
        <f>IF(Allocation!BN409="","",Allocation!BN409)</f>
      </c>
      <c r="G409">
        <f>IF(Allocation!BO409="","",Allocation!BO409)</f>
      </c>
      <c r="H409">
        <f>IF(Allocation!BP409="","",Allocation!BP409)</f>
      </c>
      <c r="I409">
        <f>IF(Allocation!BQ409="","",Allocation!BQ409)</f>
      </c>
      <c r="J409">
        <f>IF(Allocation!CC409="","",Allocation!CC409)</f>
      </c>
      <c r="K409">
        <f>IF($A409="","",$H409*IF(AND(LEFT($D409,3)="BAC",$F409="INIT"),600,IF(LEFT($D409,3)="BAC",480,IF(AND(LEFT($D409,3)="MAS",$F409="INIT"),520,IF(LEFT($D409,3)="MAS",420,IF($F409="INIT",1000,700))))))</f>
      </c>
      <c r="L409">
        <f>IF($A409="","",SUMIFS($G$1:$G$349,$AS$1:$AS$349,$AS409,$B$1:$B$349,$B409))</f>
      </c>
      <c r="M409">
        <f>IF($A409="","",SUMIFS($H$1:$H$349,$AS$1:$AS$349,$AS409,$B$1:$B$349,$B409))</f>
      </c>
      <c r="N409">
        <f>IF($A409="","",SUMIFS($I$1:$I$349,$AS$1:$AS$349,$AS409,$B$1:$B$349,$B409))</f>
      </c>
      <c r="O409">
        <f>IF($A409="","",SUMIFS($K$1:$K$349,$AS$1:$AS$349,$AS409,$B$1:$B$349,$B409))</f>
      </c>
      <c r="P409">
        <f>IF($A409="","",SUMIFS($J$1:$J$349,$AS$1:$AS$349,$AS409,$B$1:$B$349,$B409))</f>
      </c>
      <c r="Q409">
        <f>IF($A409="","",SUMIFS($G$1:$G$349,$AS$1:$AS$349,$AS409,$C$1:$C$349,$C409))</f>
      </c>
      <c r="R409">
        <f>IF($A409="","",SUMIFS($H$1:$H$349,$AS$1:$AS$349,$AS409,$C$1:$C$349,$C409))</f>
      </c>
      <c r="S409">
        <f>IF($A409="","",SUMIFS($I$1:$I$349,$AS$1:$AS$349,$AS409,$C$1:$C$349,$C409))</f>
      </c>
      <c r="T409">
        <f>IF($A409="","",SUMIFS($G$1:$G$349,$AS$1:$AS$349,$AS409))</f>
      </c>
      <c r="U409">
        <f>IF($A409="","",SUMIFS($H$1:$H$349,$AS$1:$AS$349,$AS409))</f>
      </c>
      <c r="V409">
        <f>IF($A409="","",SUMIFS($I$1:$I$349,$AS$1:$AS$349,$AS409))</f>
      </c>
      <c r="W409">
        <f>IF($A409="","",Allocation!CD409)</f>
      </c>
      <c r="X409">
        <f>IF($A409="","",Allocation!CE409)</f>
      </c>
      <c r="Y409">
        <f>IF($A409="","",Allocation!CF409)</f>
      </c>
      <c r="Z409">
        <f>IF($A409="","",Allocation!CG409)</f>
      </c>
      <c r="AA409">
        <f>IF($A409="","",Allocation!CH409)</f>
      </c>
      <c r="AB409">
        <f>IF($A409="","",Allocation!CI409)</f>
      </c>
      <c r="AC409">
        <f>IF($A409="","",IF(Allocation!$N$4="VOL_EFF",$G409,IF(Allocation!$N$4="VOL_CLASS",$H409,$I409)))</f>
      </c>
      <c r="AD409">
        <f>IF($A409="","",IF(Allocation!$N$4="VOL_EFF",$L409,IF(Allocation!$N$4="VOL_CLASS",$M409,$N409)))</f>
      </c>
      <c r="AE409">
        <f>IF($A409="","",IF(Allocation!$N$3="VOL_EFF",$L409,IF(Allocation!$N$3="VOL_CLASS",$M409,$N409)))</f>
      </c>
      <c r="AF409">
        <f>IF($A409="","",IF(Allocation!$N$3="VOL_EFF",$Q409,IF(Allocation!$N$3="VOL_CLASS",$R409,$S409)))</f>
      </c>
      <c r="AG409">
        <f>IF($A409="","",IF(Allocation!$N$1="VOL_EFF",$Q409,IF(Allocation!$N$1="VOL_CLASS",$R409,$S409)))</f>
      </c>
      <c r="AH409">
        <f>IF($A409="","",IF(Allocation!$N$1="VOL_EFF",$T409,IF(Allocation!$N$1="VOL_CLASS",$U409,$V409)))</f>
      </c>
      <c r="AI409">
        <f>IF($A409="","",$W409*IFERROR($K409/$O409,0))</f>
      </c>
      <c r="AJ409">
        <f>IF($A409="","",$X409*IFERROR($K409/$O409,0))</f>
      </c>
      <c r="AK409">
        <f>IF($A409="","",$Y409*IFERROR($G409/$L409,0)+$Z409*IFERROR($J409/$P409,0))</f>
      </c>
      <c r="AL409">
        <f>IF($A409="","",$AA409*IFERROR($AC409/$AD409,0))</f>
      </c>
      <c r="AM409">
        <f>IF($A409="","",$AB409*IFERROR($AG409/$AH409,0)*IFERROR($AE409/$AF409,0)*IFERROR($AC409/$AD409,0))</f>
      </c>
      <c r="AN409">
        <f>IF($A409="","",$I409-($AI409+$AJ409+$AK409+$AL409+$AM409+$AR409))</f>
      </c>
      <c r="AO409">
        <f>IF($A409="","",Allocation!CJ409)</f>
      </c>
      <c r="AP409">
        <f>IF($A409="","",IF(Allocation!$N$2="VOL_EFF",$Q409,IF(Allocation!$N$2="VOL_CLASS",$R409,$S409)))</f>
      </c>
      <c r="AQ409">
        <f>IF($A409="","",IF(Allocation!$N$2="VOL_EFF",$T409,IF(Allocation!$N$2="VOL_CLASS",$U409,$V409)))</f>
      </c>
      <c r="AR409">
        <f>IF($A409="","",$AO409*IFERROR($AP409/$AQ409,0)*IFERROR($AE409/$AF409,0)*IFERROR($AC409/$AD409,0))</f>
      </c>
      <c r="AS409">
        <f>IF($A409="","",$A409&amp;"|"&amp;Allocation!BG409)</f>
      </c>
    </row>
    <row r="410" spans="1:45">
      <c r="A410">
        <f>IF(Allocation!BI410="","",Allocation!BI410)</f>
      </c>
      <c r="B410">
        <f>IF(Allocation!BJ410="","",Allocation!BJ410)</f>
      </c>
      <c r="C410">
        <f>IF(Allocation!BK410="","",Allocation!BK410)</f>
      </c>
      <c r="D410">
        <f>IF(Allocation!BL410="","",Allocation!BL410)</f>
      </c>
      <c r="E410">
        <f>IF(Allocation!BM410="","",Allocation!BM410)</f>
      </c>
      <c r="F410">
        <f>IF(Allocation!BN410="","",Allocation!BN410)</f>
      </c>
      <c r="G410">
        <f>IF(Allocation!BO410="","",Allocation!BO410)</f>
      </c>
      <c r="H410">
        <f>IF(Allocation!BP410="","",Allocation!BP410)</f>
      </c>
      <c r="I410">
        <f>IF(Allocation!BQ410="","",Allocation!BQ410)</f>
      </c>
      <c r="J410">
        <f>IF(Allocation!CC410="","",Allocation!CC410)</f>
      </c>
      <c r="K410">
        <f>IF($A410="","",$H410*IF(AND(LEFT($D410,3)="BAC",$F410="INIT"),600,IF(LEFT($D410,3)="BAC",480,IF(AND(LEFT($D410,3)="MAS",$F410="INIT"),520,IF(LEFT($D410,3)="MAS",420,IF($F410="INIT",1000,700))))))</f>
      </c>
      <c r="L410">
        <f>IF($A410="","",SUMIFS($G$1:$G$349,$AS$1:$AS$349,$AS410,$B$1:$B$349,$B410))</f>
      </c>
      <c r="M410">
        <f>IF($A410="","",SUMIFS($H$1:$H$349,$AS$1:$AS$349,$AS410,$B$1:$B$349,$B410))</f>
      </c>
      <c r="N410">
        <f>IF($A410="","",SUMIFS($I$1:$I$349,$AS$1:$AS$349,$AS410,$B$1:$B$349,$B410))</f>
      </c>
      <c r="O410">
        <f>IF($A410="","",SUMIFS($K$1:$K$349,$AS$1:$AS$349,$AS410,$B$1:$B$349,$B410))</f>
      </c>
      <c r="P410">
        <f>IF($A410="","",SUMIFS($J$1:$J$349,$AS$1:$AS$349,$AS410,$B$1:$B$349,$B410))</f>
      </c>
      <c r="Q410">
        <f>IF($A410="","",SUMIFS($G$1:$G$349,$AS$1:$AS$349,$AS410,$C$1:$C$349,$C410))</f>
      </c>
      <c r="R410">
        <f>IF($A410="","",SUMIFS($H$1:$H$349,$AS$1:$AS$349,$AS410,$C$1:$C$349,$C410))</f>
      </c>
      <c r="S410">
        <f>IF($A410="","",SUMIFS($I$1:$I$349,$AS$1:$AS$349,$AS410,$C$1:$C$349,$C410))</f>
      </c>
      <c r="T410">
        <f>IF($A410="","",SUMIFS($G$1:$G$349,$AS$1:$AS$349,$AS410))</f>
      </c>
      <c r="U410">
        <f>IF($A410="","",SUMIFS($H$1:$H$349,$AS$1:$AS$349,$AS410))</f>
      </c>
      <c r="V410">
        <f>IF($A410="","",SUMIFS($I$1:$I$349,$AS$1:$AS$349,$AS410))</f>
      </c>
      <c r="W410">
        <f>IF($A410="","",Allocation!CD410)</f>
      </c>
      <c r="X410">
        <f>IF($A410="","",Allocation!CE410)</f>
      </c>
      <c r="Y410">
        <f>IF($A410="","",Allocation!CF410)</f>
      </c>
      <c r="Z410">
        <f>IF($A410="","",Allocation!CG410)</f>
      </c>
      <c r="AA410">
        <f>IF($A410="","",Allocation!CH410)</f>
      </c>
      <c r="AB410">
        <f>IF($A410="","",Allocation!CI410)</f>
      </c>
      <c r="AC410">
        <f>IF($A410="","",IF(Allocation!$N$4="VOL_EFF",$G410,IF(Allocation!$N$4="VOL_CLASS",$H410,$I410)))</f>
      </c>
      <c r="AD410">
        <f>IF($A410="","",IF(Allocation!$N$4="VOL_EFF",$L410,IF(Allocation!$N$4="VOL_CLASS",$M410,$N410)))</f>
      </c>
      <c r="AE410">
        <f>IF($A410="","",IF(Allocation!$N$3="VOL_EFF",$L410,IF(Allocation!$N$3="VOL_CLASS",$M410,$N410)))</f>
      </c>
      <c r="AF410">
        <f>IF($A410="","",IF(Allocation!$N$3="VOL_EFF",$Q410,IF(Allocation!$N$3="VOL_CLASS",$R410,$S410)))</f>
      </c>
      <c r="AG410">
        <f>IF($A410="","",IF(Allocation!$N$1="VOL_EFF",$Q410,IF(Allocation!$N$1="VOL_CLASS",$R410,$S410)))</f>
      </c>
      <c r="AH410">
        <f>IF($A410="","",IF(Allocation!$N$1="VOL_EFF",$T410,IF(Allocation!$N$1="VOL_CLASS",$U410,$V410)))</f>
      </c>
      <c r="AI410">
        <f>IF($A410="","",$W410*IFERROR($K410/$O410,0))</f>
      </c>
      <c r="AJ410">
        <f>IF($A410="","",$X410*IFERROR($K410/$O410,0))</f>
      </c>
      <c r="AK410">
        <f>IF($A410="","",$Y410*IFERROR($G410/$L410,0)+$Z410*IFERROR($J410/$P410,0))</f>
      </c>
      <c r="AL410">
        <f>IF($A410="","",$AA410*IFERROR($AC410/$AD410,0))</f>
      </c>
      <c r="AM410">
        <f>IF($A410="","",$AB410*IFERROR($AG410/$AH410,0)*IFERROR($AE410/$AF410,0)*IFERROR($AC410/$AD410,0))</f>
      </c>
      <c r="AN410">
        <f>IF($A410="","",$I410-($AI410+$AJ410+$AK410+$AL410+$AM410+$AR410))</f>
      </c>
      <c r="AO410">
        <f>IF($A410="","",Allocation!CJ410)</f>
      </c>
      <c r="AP410">
        <f>IF($A410="","",IF(Allocation!$N$2="VOL_EFF",$Q410,IF(Allocation!$N$2="VOL_CLASS",$R410,$S410)))</f>
      </c>
      <c r="AQ410">
        <f>IF($A410="","",IF(Allocation!$N$2="VOL_EFF",$T410,IF(Allocation!$N$2="VOL_CLASS",$U410,$V410)))</f>
      </c>
      <c r="AR410">
        <f>IF($A410="","",$AO410*IFERROR($AP410/$AQ410,0)*IFERROR($AE410/$AF410,0)*IFERROR($AC410/$AD410,0))</f>
      </c>
      <c r="AS410">
        <f>IF($A410="","",$A410&amp;"|"&amp;Allocation!BG410)</f>
      </c>
    </row>
    <row r="411" spans="1:45">
      <c r="A411">
        <f>IF(Allocation!BI411="","",Allocation!BI411)</f>
      </c>
      <c r="B411">
        <f>IF(Allocation!BJ411="","",Allocation!BJ411)</f>
      </c>
      <c r="C411">
        <f>IF(Allocation!BK411="","",Allocation!BK411)</f>
      </c>
      <c r="D411">
        <f>IF(Allocation!BL411="","",Allocation!BL411)</f>
      </c>
      <c r="E411">
        <f>IF(Allocation!BM411="","",Allocation!BM411)</f>
      </c>
      <c r="F411">
        <f>IF(Allocation!BN411="","",Allocation!BN411)</f>
      </c>
      <c r="G411">
        <f>IF(Allocation!BO411="","",Allocation!BO411)</f>
      </c>
      <c r="H411">
        <f>IF(Allocation!BP411="","",Allocation!BP411)</f>
      </c>
      <c r="I411">
        <f>IF(Allocation!BQ411="","",Allocation!BQ411)</f>
      </c>
      <c r="J411">
        <f>IF(Allocation!CC411="","",Allocation!CC411)</f>
      </c>
      <c r="K411">
        <f>IF($A411="","",$H411*IF(AND(LEFT($D411,3)="BAC",$F411="INIT"),600,IF(LEFT($D411,3)="BAC",480,IF(AND(LEFT($D411,3)="MAS",$F411="INIT"),520,IF(LEFT($D411,3)="MAS",420,IF($F411="INIT",1000,700))))))</f>
      </c>
      <c r="L411">
        <f>IF($A411="","",SUMIFS($G$1:$G$349,$AS$1:$AS$349,$AS411,$B$1:$B$349,$B411))</f>
      </c>
      <c r="M411">
        <f>IF($A411="","",SUMIFS($H$1:$H$349,$AS$1:$AS$349,$AS411,$B$1:$B$349,$B411))</f>
      </c>
      <c r="N411">
        <f>IF($A411="","",SUMIFS($I$1:$I$349,$AS$1:$AS$349,$AS411,$B$1:$B$349,$B411))</f>
      </c>
      <c r="O411">
        <f>IF($A411="","",SUMIFS($K$1:$K$349,$AS$1:$AS$349,$AS411,$B$1:$B$349,$B411))</f>
      </c>
      <c r="P411">
        <f>IF($A411="","",SUMIFS($J$1:$J$349,$AS$1:$AS$349,$AS411,$B$1:$B$349,$B411))</f>
      </c>
      <c r="Q411">
        <f>IF($A411="","",SUMIFS($G$1:$G$349,$AS$1:$AS$349,$AS411,$C$1:$C$349,$C411))</f>
      </c>
      <c r="R411">
        <f>IF($A411="","",SUMIFS($H$1:$H$349,$AS$1:$AS$349,$AS411,$C$1:$C$349,$C411))</f>
      </c>
      <c r="S411">
        <f>IF($A411="","",SUMIFS($I$1:$I$349,$AS$1:$AS$349,$AS411,$C$1:$C$349,$C411))</f>
      </c>
      <c r="T411">
        <f>IF($A411="","",SUMIFS($G$1:$G$349,$AS$1:$AS$349,$AS411))</f>
      </c>
      <c r="U411">
        <f>IF($A411="","",SUMIFS($H$1:$H$349,$AS$1:$AS$349,$AS411))</f>
      </c>
      <c r="V411">
        <f>IF($A411="","",SUMIFS($I$1:$I$349,$AS$1:$AS$349,$AS411))</f>
      </c>
      <c r="W411">
        <f>IF($A411="","",Allocation!CD411)</f>
      </c>
      <c r="X411">
        <f>IF($A411="","",Allocation!CE411)</f>
      </c>
      <c r="Y411">
        <f>IF($A411="","",Allocation!CF411)</f>
      </c>
      <c r="Z411">
        <f>IF($A411="","",Allocation!CG411)</f>
      </c>
      <c r="AA411">
        <f>IF($A411="","",Allocation!CH411)</f>
      </c>
      <c r="AB411">
        <f>IF($A411="","",Allocation!CI411)</f>
      </c>
      <c r="AC411">
        <f>IF($A411="","",IF(Allocation!$N$4="VOL_EFF",$G411,IF(Allocation!$N$4="VOL_CLASS",$H411,$I411)))</f>
      </c>
      <c r="AD411">
        <f>IF($A411="","",IF(Allocation!$N$4="VOL_EFF",$L411,IF(Allocation!$N$4="VOL_CLASS",$M411,$N411)))</f>
      </c>
      <c r="AE411">
        <f>IF($A411="","",IF(Allocation!$N$3="VOL_EFF",$L411,IF(Allocation!$N$3="VOL_CLASS",$M411,$N411)))</f>
      </c>
      <c r="AF411">
        <f>IF($A411="","",IF(Allocation!$N$3="VOL_EFF",$Q411,IF(Allocation!$N$3="VOL_CLASS",$R411,$S411)))</f>
      </c>
      <c r="AG411">
        <f>IF($A411="","",IF(Allocation!$N$1="VOL_EFF",$Q411,IF(Allocation!$N$1="VOL_CLASS",$R411,$S411)))</f>
      </c>
      <c r="AH411">
        <f>IF($A411="","",IF(Allocation!$N$1="VOL_EFF",$T411,IF(Allocation!$N$1="VOL_CLASS",$U411,$V411)))</f>
      </c>
      <c r="AI411">
        <f>IF($A411="","",$W411*IFERROR($K411/$O411,0))</f>
      </c>
      <c r="AJ411">
        <f>IF($A411="","",$X411*IFERROR($K411/$O411,0))</f>
      </c>
      <c r="AK411">
        <f>IF($A411="","",$Y411*IFERROR($G411/$L411,0)+$Z411*IFERROR($J411/$P411,0))</f>
      </c>
      <c r="AL411">
        <f>IF($A411="","",$AA411*IFERROR($AC411/$AD411,0))</f>
      </c>
      <c r="AM411">
        <f>IF($A411="","",$AB411*IFERROR($AG411/$AH411,0)*IFERROR($AE411/$AF411,0)*IFERROR($AC411/$AD411,0))</f>
      </c>
      <c r="AN411">
        <f>IF($A411="","",$I411-($AI411+$AJ411+$AK411+$AL411+$AM411+$AR411))</f>
      </c>
      <c r="AO411">
        <f>IF($A411="","",Allocation!CJ411)</f>
      </c>
      <c r="AP411">
        <f>IF($A411="","",IF(Allocation!$N$2="VOL_EFF",$Q411,IF(Allocation!$N$2="VOL_CLASS",$R411,$S411)))</f>
      </c>
      <c r="AQ411">
        <f>IF($A411="","",IF(Allocation!$N$2="VOL_EFF",$T411,IF(Allocation!$N$2="VOL_CLASS",$U411,$V411)))</f>
      </c>
      <c r="AR411">
        <f>IF($A411="","",$AO411*IFERROR($AP411/$AQ411,0)*IFERROR($AE411/$AF411,0)*IFERROR($AC411/$AD411,0))</f>
      </c>
      <c r="AS411">
        <f>IF($A411="","",$A411&amp;"|"&amp;Allocation!BG411)</f>
      </c>
    </row>
    <row r="412" spans="1:45">
      <c r="A412">
        <f>IF(Allocation!BI412="","",Allocation!BI412)</f>
      </c>
      <c r="B412">
        <f>IF(Allocation!BJ412="","",Allocation!BJ412)</f>
      </c>
      <c r="C412">
        <f>IF(Allocation!BK412="","",Allocation!BK412)</f>
      </c>
      <c r="D412">
        <f>IF(Allocation!BL412="","",Allocation!BL412)</f>
      </c>
      <c r="E412">
        <f>IF(Allocation!BM412="","",Allocation!BM412)</f>
      </c>
      <c r="F412">
        <f>IF(Allocation!BN412="","",Allocation!BN412)</f>
      </c>
      <c r="G412">
        <f>IF(Allocation!BO412="","",Allocation!BO412)</f>
      </c>
      <c r="H412">
        <f>IF(Allocation!BP412="","",Allocation!BP412)</f>
      </c>
      <c r="I412">
        <f>IF(Allocation!BQ412="","",Allocation!BQ412)</f>
      </c>
      <c r="J412">
        <f>IF(Allocation!CC412="","",Allocation!CC412)</f>
      </c>
      <c r="K412">
        <f>IF($A412="","",$H412*IF(AND(LEFT($D412,3)="BAC",$F412="INIT"),600,IF(LEFT($D412,3)="BAC",480,IF(AND(LEFT($D412,3)="MAS",$F412="INIT"),520,IF(LEFT($D412,3)="MAS",420,IF($F412="INIT",1000,700))))))</f>
      </c>
      <c r="L412">
        <f>IF($A412="","",SUMIFS($G$1:$G$349,$AS$1:$AS$349,$AS412,$B$1:$B$349,$B412))</f>
      </c>
      <c r="M412">
        <f>IF($A412="","",SUMIFS($H$1:$H$349,$AS$1:$AS$349,$AS412,$B$1:$B$349,$B412))</f>
      </c>
      <c r="N412">
        <f>IF($A412="","",SUMIFS($I$1:$I$349,$AS$1:$AS$349,$AS412,$B$1:$B$349,$B412))</f>
      </c>
      <c r="O412">
        <f>IF($A412="","",SUMIFS($K$1:$K$349,$AS$1:$AS$349,$AS412,$B$1:$B$349,$B412))</f>
      </c>
      <c r="P412">
        <f>IF($A412="","",SUMIFS($J$1:$J$349,$AS$1:$AS$349,$AS412,$B$1:$B$349,$B412))</f>
      </c>
      <c r="Q412">
        <f>IF($A412="","",SUMIFS($G$1:$G$349,$AS$1:$AS$349,$AS412,$C$1:$C$349,$C412))</f>
      </c>
      <c r="R412">
        <f>IF($A412="","",SUMIFS($H$1:$H$349,$AS$1:$AS$349,$AS412,$C$1:$C$349,$C412))</f>
      </c>
      <c r="S412">
        <f>IF($A412="","",SUMIFS($I$1:$I$349,$AS$1:$AS$349,$AS412,$C$1:$C$349,$C412))</f>
      </c>
      <c r="T412">
        <f>IF($A412="","",SUMIFS($G$1:$G$349,$AS$1:$AS$349,$AS412))</f>
      </c>
      <c r="U412">
        <f>IF($A412="","",SUMIFS($H$1:$H$349,$AS$1:$AS$349,$AS412))</f>
      </c>
      <c r="V412">
        <f>IF($A412="","",SUMIFS($I$1:$I$349,$AS$1:$AS$349,$AS412))</f>
      </c>
      <c r="W412">
        <f>IF($A412="","",Allocation!CD412)</f>
      </c>
      <c r="X412">
        <f>IF($A412="","",Allocation!CE412)</f>
      </c>
      <c r="Y412">
        <f>IF($A412="","",Allocation!CF412)</f>
      </c>
      <c r="Z412">
        <f>IF($A412="","",Allocation!CG412)</f>
      </c>
      <c r="AA412">
        <f>IF($A412="","",Allocation!CH412)</f>
      </c>
      <c r="AB412">
        <f>IF($A412="","",Allocation!CI412)</f>
      </c>
      <c r="AC412">
        <f>IF($A412="","",IF(Allocation!$N$4="VOL_EFF",$G412,IF(Allocation!$N$4="VOL_CLASS",$H412,$I412)))</f>
      </c>
      <c r="AD412">
        <f>IF($A412="","",IF(Allocation!$N$4="VOL_EFF",$L412,IF(Allocation!$N$4="VOL_CLASS",$M412,$N412)))</f>
      </c>
      <c r="AE412">
        <f>IF($A412="","",IF(Allocation!$N$3="VOL_EFF",$L412,IF(Allocation!$N$3="VOL_CLASS",$M412,$N412)))</f>
      </c>
      <c r="AF412">
        <f>IF($A412="","",IF(Allocation!$N$3="VOL_EFF",$Q412,IF(Allocation!$N$3="VOL_CLASS",$R412,$S412)))</f>
      </c>
      <c r="AG412">
        <f>IF($A412="","",IF(Allocation!$N$1="VOL_EFF",$Q412,IF(Allocation!$N$1="VOL_CLASS",$R412,$S412)))</f>
      </c>
      <c r="AH412">
        <f>IF($A412="","",IF(Allocation!$N$1="VOL_EFF",$T412,IF(Allocation!$N$1="VOL_CLASS",$U412,$V412)))</f>
      </c>
      <c r="AI412">
        <f>IF($A412="","",$W412*IFERROR($K412/$O412,0))</f>
      </c>
      <c r="AJ412">
        <f>IF($A412="","",$X412*IFERROR($K412/$O412,0))</f>
      </c>
      <c r="AK412">
        <f>IF($A412="","",$Y412*IFERROR($G412/$L412,0)+$Z412*IFERROR($J412/$P412,0))</f>
      </c>
      <c r="AL412">
        <f>IF($A412="","",$AA412*IFERROR($AC412/$AD412,0))</f>
      </c>
      <c r="AM412">
        <f>IF($A412="","",$AB412*IFERROR($AG412/$AH412,0)*IFERROR($AE412/$AF412,0)*IFERROR($AC412/$AD412,0))</f>
      </c>
      <c r="AN412">
        <f>IF($A412="","",$I412-($AI412+$AJ412+$AK412+$AL412+$AM412+$AR412))</f>
      </c>
      <c r="AO412">
        <f>IF($A412="","",Allocation!CJ412)</f>
      </c>
      <c r="AP412">
        <f>IF($A412="","",IF(Allocation!$N$2="VOL_EFF",$Q412,IF(Allocation!$N$2="VOL_CLASS",$R412,$S412)))</f>
      </c>
      <c r="AQ412">
        <f>IF($A412="","",IF(Allocation!$N$2="VOL_EFF",$T412,IF(Allocation!$N$2="VOL_CLASS",$U412,$V412)))</f>
      </c>
      <c r="AR412">
        <f>IF($A412="","",$AO412*IFERROR($AP412/$AQ412,0)*IFERROR($AE412/$AF412,0)*IFERROR($AC412/$AD412,0))</f>
      </c>
      <c r="AS412">
        <f>IF($A412="","",$A412&amp;"|"&amp;Allocation!BG412)</f>
      </c>
    </row>
    <row r="413" spans="1:45">
      <c r="A413">
        <f>IF(Allocation!BI413="","",Allocation!BI413)</f>
      </c>
      <c r="B413">
        <f>IF(Allocation!BJ413="","",Allocation!BJ413)</f>
      </c>
      <c r="C413">
        <f>IF(Allocation!BK413="","",Allocation!BK413)</f>
      </c>
      <c r="D413">
        <f>IF(Allocation!BL413="","",Allocation!BL413)</f>
      </c>
      <c r="E413">
        <f>IF(Allocation!BM413="","",Allocation!BM413)</f>
      </c>
      <c r="F413">
        <f>IF(Allocation!BN413="","",Allocation!BN413)</f>
      </c>
      <c r="G413">
        <f>IF(Allocation!BO413="","",Allocation!BO413)</f>
      </c>
      <c r="H413">
        <f>IF(Allocation!BP413="","",Allocation!BP413)</f>
      </c>
      <c r="I413">
        <f>IF(Allocation!BQ413="","",Allocation!BQ413)</f>
      </c>
      <c r="J413">
        <f>IF(Allocation!CC413="","",Allocation!CC413)</f>
      </c>
      <c r="K413">
        <f>IF($A413="","",$H413*IF(AND(LEFT($D413,3)="BAC",$F413="INIT"),600,IF(LEFT($D413,3)="BAC",480,IF(AND(LEFT($D413,3)="MAS",$F413="INIT"),520,IF(LEFT($D413,3)="MAS",420,IF($F413="INIT",1000,700))))))</f>
      </c>
      <c r="L413">
        <f>IF($A413="","",SUMIFS($G$1:$G$349,$AS$1:$AS$349,$AS413,$B$1:$B$349,$B413))</f>
      </c>
      <c r="M413">
        <f>IF($A413="","",SUMIFS($H$1:$H$349,$AS$1:$AS$349,$AS413,$B$1:$B$349,$B413))</f>
      </c>
      <c r="N413">
        <f>IF($A413="","",SUMIFS($I$1:$I$349,$AS$1:$AS$349,$AS413,$B$1:$B$349,$B413))</f>
      </c>
      <c r="O413">
        <f>IF($A413="","",SUMIFS($K$1:$K$349,$AS$1:$AS$349,$AS413,$B$1:$B$349,$B413))</f>
      </c>
      <c r="P413">
        <f>IF($A413="","",SUMIFS($J$1:$J$349,$AS$1:$AS$349,$AS413,$B$1:$B$349,$B413))</f>
      </c>
      <c r="Q413">
        <f>IF($A413="","",SUMIFS($G$1:$G$349,$AS$1:$AS$349,$AS413,$C$1:$C$349,$C413))</f>
      </c>
      <c r="R413">
        <f>IF($A413="","",SUMIFS($H$1:$H$349,$AS$1:$AS$349,$AS413,$C$1:$C$349,$C413))</f>
      </c>
      <c r="S413">
        <f>IF($A413="","",SUMIFS($I$1:$I$349,$AS$1:$AS$349,$AS413,$C$1:$C$349,$C413))</f>
      </c>
      <c r="T413">
        <f>IF($A413="","",SUMIFS($G$1:$G$349,$AS$1:$AS$349,$AS413))</f>
      </c>
      <c r="U413">
        <f>IF($A413="","",SUMIFS($H$1:$H$349,$AS$1:$AS$349,$AS413))</f>
      </c>
      <c r="V413">
        <f>IF($A413="","",SUMIFS($I$1:$I$349,$AS$1:$AS$349,$AS413))</f>
      </c>
      <c r="W413">
        <f>IF($A413="","",Allocation!CD413)</f>
      </c>
      <c r="X413">
        <f>IF($A413="","",Allocation!CE413)</f>
      </c>
      <c r="Y413">
        <f>IF($A413="","",Allocation!CF413)</f>
      </c>
      <c r="Z413">
        <f>IF($A413="","",Allocation!CG413)</f>
      </c>
      <c r="AA413">
        <f>IF($A413="","",Allocation!CH413)</f>
      </c>
      <c r="AB413">
        <f>IF($A413="","",Allocation!CI413)</f>
      </c>
      <c r="AC413">
        <f>IF($A413="","",IF(Allocation!$N$4="VOL_EFF",$G413,IF(Allocation!$N$4="VOL_CLASS",$H413,$I413)))</f>
      </c>
      <c r="AD413">
        <f>IF($A413="","",IF(Allocation!$N$4="VOL_EFF",$L413,IF(Allocation!$N$4="VOL_CLASS",$M413,$N413)))</f>
      </c>
      <c r="AE413">
        <f>IF($A413="","",IF(Allocation!$N$3="VOL_EFF",$L413,IF(Allocation!$N$3="VOL_CLASS",$M413,$N413)))</f>
      </c>
      <c r="AF413">
        <f>IF($A413="","",IF(Allocation!$N$3="VOL_EFF",$Q413,IF(Allocation!$N$3="VOL_CLASS",$R413,$S413)))</f>
      </c>
      <c r="AG413">
        <f>IF($A413="","",IF(Allocation!$N$1="VOL_EFF",$Q413,IF(Allocation!$N$1="VOL_CLASS",$R413,$S413)))</f>
      </c>
      <c r="AH413">
        <f>IF($A413="","",IF(Allocation!$N$1="VOL_EFF",$T413,IF(Allocation!$N$1="VOL_CLASS",$U413,$V413)))</f>
      </c>
      <c r="AI413">
        <f>IF($A413="","",$W413*IFERROR($K413/$O413,0))</f>
      </c>
      <c r="AJ413">
        <f>IF($A413="","",$X413*IFERROR($K413/$O413,0))</f>
      </c>
      <c r="AK413">
        <f>IF($A413="","",$Y413*IFERROR($G413/$L413,0)+$Z413*IFERROR($J413/$P413,0))</f>
      </c>
      <c r="AL413">
        <f>IF($A413="","",$AA413*IFERROR($AC413/$AD413,0))</f>
      </c>
      <c r="AM413">
        <f>IF($A413="","",$AB413*IFERROR($AG413/$AH413,0)*IFERROR($AE413/$AF413,0)*IFERROR($AC413/$AD413,0))</f>
      </c>
      <c r="AN413">
        <f>IF($A413="","",$I413-($AI413+$AJ413+$AK413+$AL413+$AM413+$AR413))</f>
      </c>
      <c r="AO413">
        <f>IF($A413="","",Allocation!CJ413)</f>
      </c>
      <c r="AP413">
        <f>IF($A413="","",IF(Allocation!$N$2="VOL_EFF",$Q413,IF(Allocation!$N$2="VOL_CLASS",$R413,$S413)))</f>
      </c>
      <c r="AQ413">
        <f>IF($A413="","",IF(Allocation!$N$2="VOL_EFF",$T413,IF(Allocation!$N$2="VOL_CLASS",$U413,$V413)))</f>
      </c>
      <c r="AR413">
        <f>IF($A413="","",$AO413*IFERROR($AP413/$AQ413,0)*IFERROR($AE413/$AF413,0)*IFERROR($AC413/$AD413,0))</f>
      </c>
      <c r="AS413">
        <f>IF($A413="","",$A413&amp;"|"&amp;Allocation!BG413)</f>
      </c>
    </row>
    <row r="414" spans="1:45">
      <c r="A414">
        <f>IF(Allocation!BI414="","",Allocation!BI414)</f>
      </c>
      <c r="B414">
        <f>IF(Allocation!BJ414="","",Allocation!BJ414)</f>
      </c>
      <c r="C414">
        <f>IF(Allocation!BK414="","",Allocation!BK414)</f>
      </c>
      <c r="D414">
        <f>IF(Allocation!BL414="","",Allocation!BL414)</f>
      </c>
      <c r="E414">
        <f>IF(Allocation!BM414="","",Allocation!BM414)</f>
      </c>
      <c r="F414">
        <f>IF(Allocation!BN414="","",Allocation!BN414)</f>
      </c>
      <c r="G414">
        <f>IF(Allocation!BO414="","",Allocation!BO414)</f>
      </c>
      <c r="H414">
        <f>IF(Allocation!BP414="","",Allocation!BP414)</f>
      </c>
      <c r="I414">
        <f>IF(Allocation!BQ414="","",Allocation!BQ414)</f>
      </c>
      <c r="J414">
        <f>IF(Allocation!CC414="","",Allocation!CC414)</f>
      </c>
      <c r="K414">
        <f>IF($A414="","",$H414*IF(AND(LEFT($D414,3)="BAC",$F414="INIT"),600,IF(LEFT($D414,3)="BAC",480,IF(AND(LEFT($D414,3)="MAS",$F414="INIT"),520,IF(LEFT($D414,3)="MAS",420,IF($F414="INIT",1000,700))))))</f>
      </c>
      <c r="L414">
        <f>IF($A414="","",SUMIFS($G$1:$G$349,$AS$1:$AS$349,$AS414,$B$1:$B$349,$B414))</f>
      </c>
      <c r="M414">
        <f>IF($A414="","",SUMIFS($H$1:$H$349,$AS$1:$AS$349,$AS414,$B$1:$B$349,$B414))</f>
      </c>
      <c r="N414">
        <f>IF($A414="","",SUMIFS($I$1:$I$349,$AS$1:$AS$349,$AS414,$B$1:$B$349,$B414))</f>
      </c>
      <c r="O414">
        <f>IF($A414="","",SUMIFS($K$1:$K$349,$AS$1:$AS$349,$AS414,$B$1:$B$349,$B414))</f>
      </c>
      <c r="P414">
        <f>IF($A414="","",SUMIFS($J$1:$J$349,$AS$1:$AS$349,$AS414,$B$1:$B$349,$B414))</f>
      </c>
      <c r="Q414">
        <f>IF($A414="","",SUMIFS($G$1:$G$349,$AS$1:$AS$349,$AS414,$C$1:$C$349,$C414))</f>
      </c>
      <c r="R414">
        <f>IF($A414="","",SUMIFS($H$1:$H$349,$AS$1:$AS$349,$AS414,$C$1:$C$349,$C414))</f>
      </c>
      <c r="S414">
        <f>IF($A414="","",SUMIFS($I$1:$I$349,$AS$1:$AS$349,$AS414,$C$1:$C$349,$C414))</f>
      </c>
      <c r="T414">
        <f>IF($A414="","",SUMIFS($G$1:$G$349,$AS$1:$AS$349,$AS414))</f>
      </c>
      <c r="U414">
        <f>IF($A414="","",SUMIFS($H$1:$H$349,$AS$1:$AS$349,$AS414))</f>
      </c>
      <c r="V414">
        <f>IF($A414="","",SUMIFS($I$1:$I$349,$AS$1:$AS$349,$AS414))</f>
      </c>
      <c r="W414">
        <f>IF($A414="","",Allocation!CD414)</f>
      </c>
      <c r="X414">
        <f>IF($A414="","",Allocation!CE414)</f>
      </c>
      <c r="Y414">
        <f>IF($A414="","",Allocation!CF414)</f>
      </c>
      <c r="Z414">
        <f>IF($A414="","",Allocation!CG414)</f>
      </c>
      <c r="AA414">
        <f>IF($A414="","",Allocation!CH414)</f>
      </c>
      <c r="AB414">
        <f>IF($A414="","",Allocation!CI414)</f>
      </c>
      <c r="AC414">
        <f>IF($A414="","",IF(Allocation!$N$4="VOL_EFF",$G414,IF(Allocation!$N$4="VOL_CLASS",$H414,$I414)))</f>
      </c>
      <c r="AD414">
        <f>IF($A414="","",IF(Allocation!$N$4="VOL_EFF",$L414,IF(Allocation!$N$4="VOL_CLASS",$M414,$N414)))</f>
      </c>
      <c r="AE414">
        <f>IF($A414="","",IF(Allocation!$N$3="VOL_EFF",$L414,IF(Allocation!$N$3="VOL_CLASS",$M414,$N414)))</f>
      </c>
      <c r="AF414">
        <f>IF($A414="","",IF(Allocation!$N$3="VOL_EFF",$Q414,IF(Allocation!$N$3="VOL_CLASS",$R414,$S414)))</f>
      </c>
      <c r="AG414">
        <f>IF($A414="","",IF(Allocation!$N$1="VOL_EFF",$Q414,IF(Allocation!$N$1="VOL_CLASS",$R414,$S414)))</f>
      </c>
      <c r="AH414">
        <f>IF($A414="","",IF(Allocation!$N$1="VOL_EFF",$T414,IF(Allocation!$N$1="VOL_CLASS",$U414,$V414)))</f>
      </c>
      <c r="AI414">
        <f>IF($A414="","",$W414*IFERROR($K414/$O414,0))</f>
      </c>
      <c r="AJ414">
        <f>IF($A414="","",$X414*IFERROR($K414/$O414,0))</f>
      </c>
      <c r="AK414">
        <f>IF($A414="","",$Y414*IFERROR($G414/$L414,0)+$Z414*IFERROR($J414/$P414,0))</f>
      </c>
      <c r="AL414">
        <f>IF($A414="","",$AA414*IFERROR($AC414/$AD414,0))</f>
      </c>
      <c r="AM414">
        <f>IF($A414="","",$AB414*IFERROR($AG414/$AH414,0)*IFERROR($AE414/$AF414,0)*IFERROR($AC414/$AD414,0))</f>
      </c>
      <c r="AN414">
        <f>IF($A414="","",$I414-($AI414+$AJ414+$AK414+$AL414+$AM414+$AR414))</f>
      </c>
      <c r="AO414">
        <f>IF($A414="","",Allocation!CJ414)</f>
      </c>
      <c r="AP414">
        <f>IF($A414="","",IF(Allocation!$N$2="VOL_EFF",$Q414,IF(Allocation!$N$2="VOL_CLASS",$R414,$S414)))</f>
      </c>
      <c r="AQ414">
        <f>IF($A414="","",IF(Allocation!$N$2="VOL_EFF",$T414,IF(Allocation!$N$2="VOL_CLASS",$U414,$V414)))</f>
      </c>
      <c r="AR414">
        <f>IF($A414="","",$AO414*IFERROR($AP414/$AQ414,0)*IFERROR($AE414/$AF414,0)*IFERROR($AC414/$AD414,0))</f>
      </c>
      <c r="AS414">
        <f>IF($A414="","",$A414&amp;"|"&amp;Allocation!BG414)</f>
      </c>
    </row>
    <row r="415" spans="1:45">
      <c r="A415">
        <f>IF(Allocation!BI415="","",Allocation!BI415)</f>
      </c>
      <c r="B415">
        <f>IF(Allocation!BJ415="","",Allocation!BJ415)</f>
      </c>
      <c r="C415">
        <f>IF(Allocation!BK415="","",Allocation!BK415)</f>
      </c>
      <c r="D415">
        <f>IF(Allocation!BL415="","",Allocation!BL415)</f>
      </c>
      <c r="E415">
        <f>IF(Allocation!BM415="","",Allocation!BM415)</f>
      </c>
      <c r="F415">
        <f>IF(Allocation!BN415="","",Allocation!BN415)</f>
      </c>
      <c r="G415">
        <f>IF(Allocation!BO415="","",Allocation!BO415)</f>
      </c>
      <c r="H415">
        <f>IF(Allocation!BP415="","",Allocation!BP415)</f>
      </c>
      <c r="I415">
        <f>IF(Allocation!BQ415="","",Allocation!BQ415)</f>
      </c>
      <c r="J415">
        <f>IF(Allocation!CC415="","",Allocation!CC415)</f>
      </c>
      <c r="K415">
        <f>IF($A415="","",$H415*IF(AND(LEFT($D415,3)="BAC",$F415="INIT"),600,IF(LEFT($D415,3)="BAC",480,IF(AND(LEFT($D415,3)="MAS",$F415="INIT"),520,IF(LEFT($D415,3)="MAS",420,IF($F415="INIT",1000,700))))))</f>
      </c>
      <c r="L415">
        <f>IF($A415="","",SUMIFS($G$1:$G$349,$AS$1:$AS$349,$AS415,$B$1:$B$349,$B415))</f>
      </c>
      <c r="M415">
        <f>IF($A415="","",SUMIFS($H$1:$H$349,$AS$1:$AS$349,$AS415,$B$1:$B$349,$B415))</f>
      </c>
      <c r="N415">
        <f>IF($A415="","",SUMIFS($I$1:$I$349,$AS$1:$AS$349,$AS415,$B$1:$B$349,$B415))</f>
      </c>
      <c r="O415">
        <f>IF($A415="","",SUMIFS($K$1:$K$349,$AS$1:$AS$349,$AS415,$B$1:$B$349,$B415))</f>
      </c>
      <c r="P415">
        <f>IF($A415="","",SUMIFS($J$1:$J$349,$AS$1:$AS$349,$AS415,$B$1:$B$349,$B415))</f>
      </c>
      <c r="Q415">
        <f>IF($A415="","",SUMIFS($G$1:$G$349,$AS$1:$AS$349,$AS415,$C$1:$C$349,$C415))</f>
      </c>
      <c r="R415">
        <f>IF($A415="","",SUMIFS($H$1:$H$349,$AS$1:$AS$349,$AS415,$C$1:$C$349,$C415))</f>
      </c>
      <c r="S415">
        <f>IF($A415="","",SUMIFS($I$1:$I$349,$AS$1:$AS$349,$AS415,$C$1:$C$349,$C415))</f>
      </c>
      <c r="T415">
        <f>IF($A415="","",SUMIFS($G$1:$G$349,$AS$1:$AS$349,$AS415))</f>
      </c>
      <c r="U415">
        <f>IF($A415="","",SUMIFS($H$1:$H$349,$AS$1:$AS$349,$AS415))</f>
      </c>
      <c r="V415">
        <f>IF($A415="","",SUMIFS($I$1:$I$349,$AS$1:$AS$349,$AS415))</f>
      </c>
      <c r="W415">
        <f>IF($A415="","",Allocation!CD415)</f>
      </c>
      <c r="X415">
        <f>IF($A415="","",Allocation!CE415)</f>
      </c>
      <c r="Y415">
        <f>IF($A415="","",Allocation!CF415)</f>
      </c>
      <c r="Z415">
        <f>IF($A415="","",Allocation!CG415)</f>
      </c>
      <c r="AA415">
        <f>IF($A415="","",Allocation!CH415)</f>
      </c>
      <c r="AB415">
        <f>IF($A415="","",Allocation!CI415)</f>
      </c>
      <c r="AC415">
        <f>IF($A415="","",IF(Allocation!$N$4="VOL_EFF",$G415,IF(Allocation!$N$4="VOL_CLASS",$H415,$I415)))</f>
      </c>
      <c r="AD415">
        <f>IF($A415="","",IF(Allocation!$N$4="VOL_EFF",$L415,IF(Allocation!$N$4="VOL_CLASS",$M415,$N415)))</f>
      </c>
      <c r="AE415">
        <f>IF($A415="","",IF(Allocation!$N$3="VOL_EFF",$L415,IF(Allocation!$N$3="VOL_CLASS",$M415,$N415)))</f>
      </c>
      <c r="AF415">
        <f>IF($A415="","",IF(Allocation!$N$3="VOL_EFF",$Q415,IF(Allocation!$N$3="VOL_CLASS",$R415,$S415)))</f>
      </c>
      <c r="AG415">
        <f>IF($A415="","",IF(Allocation!$N$1="VOL_EFF",$Q415,IF(Allocation!$N$1="VOL_CLASS",$R415,$S415)))</f>
      </c>
      <c r="AH415">
        <f>IF($A415="","",IF(Allocation!$N$1="VOL_EFF",$T415,IF(Allocation!$N$1="VOL_CLASS",$U415,$V415)))</f>
      </c>
      <c r="AI415">
        <f>IF($A415="","",$W415*IFERROR($K415/$O415,0))</f>
      </c>
      <c r="AJ415">
        <f>IF($A415="","",$X415*IFERROR($K415/$O415,0))</f>
      </c>
      <c r="AK415">
        <f>IF($A415="","",$Y415*IFERROR($G415/$L415,0)+$Z415*IFERROR($J415/$P415,0))</f>
      </c>
      <c r="AL415">
        <f>IF($A415="","",$AA415*IFERROR($AC415/$AD415,0))</f>
      </c>
      <c r="AM415">
        <f>IF($A415="","",$AB415*IFERROR($AG415/$AH415,0)*IFERROR($AE415/$AF415,0)*IFERROR($AC415/$AD415,0))</f>
      </c>
      <c r="AN415">
        <f>IF($A415="","",$I415-($AI415+$AJ415+$AK415+$AL415+$AM415+$AR415))</f>
      </c>
      <c r="AO415">
        <f>IF($A415="","",Allocation!CJ415)</f>
      </c>
      <c r="AP415">
        <f>IF($A415="","",IF(Allocation!$N$2="VOL_EFF",$Q415,IF(Allocation!$N$2="VOL_CLASS",$R415,$S415)))</f>
      </c>
      <c r="AQ415">
        <f>IF($A415="","",IF(Allocation!$N$2="VOL_EFF",$T415,IF(Allocation!$N$2="VOL_CLASS",$U415,$V415)))</f>
      </c>
      <c r="AR415">
        <f>IF($A415="","",$AO415*IFERROR($AP415/$AQ415,0)*IFERROR($AE415/$AF415,0)*IFERROR($AC415/$AD415,0))</f>
      </c>
      <c r="AS415">
        <f>IF($A415="","",$A415&amp;"|"&amp;Allocation!BG415)</f>
      </c>
    </row>
    <row r="416" spans="1:45">
      <c r="A416">
        <f>IF(Allocation!BI416="","",Allocation!BI416)</f>
      </c>
      <c r="B416">
        <f>IF(Allocation!BJ416="","",Allocation!BJ416)</f>
      </c>
      <c r="C416">
        <f>IF(Allocation!BK416="","",Allocation!BK416)</f>
      </c>
      <c r="D416">
        <f>IF(Allocation!BL416="","",Allocation!BL416)</f>
      </c>
      <c r="E416">
        <f>IF(Allocation!BM416="","",Allocation!BM416)</f>
      </c>
      <c r="F416">
        <f>IF(Allocation!BN416="","",Allocation!BN416)</f>
      </c>
      <c r="G416">
        <f>IF(Allocation!BO416="","",Allocation!BO416)</f>
      </c>
      <c r="H416">
        <f>IF(Allocation!BP416="","",Allocation!BP416)</f>
      </c>
      <c r="I416">
        <f>IF(Allocation!BQ416="","",Allocation!BQ416)</f>
      </c>
      <c r="J416">
        <f>IF(Allocation!CC416="","",Allocation!CC416)</f>
      </c>
      <c r="K416">
        <f>IF($A416="","",$H416*IF(AND(LEFT($D416,3)="BAC",$F416="INIT"),600,IF(LEFT($D416,3)="BAC",480,IF(AND(LEFT($D416,3)="MAS",$F416="INIT"),520,IF(LEFT($D416,3)="MAS",420,IF($F416="INIT",1000,700))))))</f>
      </c>
      <c r="L416">
        <f>IF($A416="","",SUMIFS($G$1:$G$349,$AS$1:$AS$349,$AS416,$B$1:$B$349,$B416))</f>
      </c>
      <c r="M416">
        <f>IF($A416="","",SUMIFS($H$1:$H$349,$AS$1:$AS$349,$AS416,$B$1:$B$349,$B416))</f>
      </c>
      <c r="N416">
        <f>IF($A416="","",SUMIFS($I$1:$I$349,$AS$1:$AS$349,$AS416,$B$1:$B$349,$B416))</f>
      </c>
      <c r="O416">
        <f>IF($A416="","",SUMIFS($K$1:$K$349,$AS$1:$AS$349,$AS416,$B$1:$B$349,$B416))</f>
      </c>
      <c r="P416">
        <f>IF($A416="","",SUMIFS($J$1:$J$349,$AS$1:$AS$349,$AS416,$B$1:$B$349,$B416))</f>
      </c>
      <c r="Q416">
        <f>IF($A416="","",SUMIFS($G$1:$G$349,$AS$1:$AS$349,$AS416,$C$1:$C$349,$C416))</f>
      </c>
      <c r="R416">
        <f>IF($A416="","",SUMIFS($H$1:$H$349,$AS$1:$AS$349,$AS416,$C$1:$C$349,$C416))</f>
      </c>
      <c r="S416">
        <f>IF($A416="","",SUMIFS($I$1:$I$349,$AS$1:$AS$349,$AS416,$C$1:$C$349,$C416))</f>
      </c>
      <c r="T416">
        <f>IF($A416="","",SUMIFS($G$1:$G$349,$AS$1:$AS$349,$AS416))</f>
      </c>
      <c r="U416">
        <f>IF($A416="","",SUMIFS($H$1:$H$349,$AS$1:$AS$349,$AS416))</f>
      </c>
      <c r="V416">
        <f>IF($A416="","",SUMIFS($I$1:$I$349,$AS$1:$AS$349,$AS416))</f>
      </c>
      <c r="W416">
        <f>IF($A416="","",Allocation!CD416)</f>
      </c>
      <c r="X416">
        <f>IF($A416="","",Allocation!CE416)</f>
      </c>
      <c r="Y416">
        <f>IF($A416="","",Allocation!CF416)</f>
      </c>
      <c r="Z416">
        <f>IF($A416="","",Allocation!CG416)</f>
      </c>
      <c r="AA416">
        <f>IF($A416="","",Allocation!CH416)</f>
      </c>
      <c r="AB416">
        <f>IF($A416="","",Allocation!CI416)</f>
      </c>
      <c r="AC416">
        <f>IF($A416="","",IF(Allocation!$N$4="VOL_EFF",$G416,IF(Allocation!$N$4="VOL_CLASS",$H416,$I416)))</f>
      </c>
      <c r="AD416">
        <f>IF($A416="","",IF(Allocation!$N$4="VOL_EFF",$L416,IF(Allocation!$N$4="VOL_CLASS",$M416,$N416)))</f>
      </c>
      <c r="AE416">
        <f>IF($A416="","",IF(Allocation!$N$3="VOL_EFF",$L416,IF(Allocation!$N$3="VOL_CLASS",$M416,$N416)))</f>
      </c>
      <c r="AF416">
        <f>IF($A416="","",IF(Allocation!$N$3="VOL_EFF",$Q416,IF(Allocation!$N$3="VOL_CLASS",$R416,$S416)))</f>
      </c>
      <c r="AG416">
        <f>IF($A416="","",IF(Allocation!$N$1="VOL_EFF",$Q416,IF(Allocation!$N$1="VOL_CLASS",$R416,$S416)))</f>
      </c>
      <c r="AH416">
        <f>IF($A416="","",IF(Allocation!$N$1="VOL_EFF",$T416,IF(Allocation!$N$1="VOL_CLASS",$U416,$V416)))</f>
      </c>
      <c r="AI416">
        <f>IF($A416="","",$W416*IFERROR($K416/$O416,0))</f>
      </c>
      <c r="AJ416">
        <f>IF($A416="","",$X416*IFERROR($K416/$O416,0))</f>
      </c>
      <c r="AK416">
        <f>IF($A416="","",$Y416*IFERROR($G416/$L416,0)+$Z416*IFERROR($J416/$P416,0))</f>
      </c>
      <c r="AL416">
        <f>IF($A416="","",$AA416*IFERROR($AC416/$AD416,0))</f>
      </c>
      <c r="AM416">
        <f>IF($A416="","",$AB416*IFERROR($AG416/$AH416,0)*IFERROR($AE416/$AF416,0)*IFERROR($AC416/$AD416,0))</f>
      </c>
      <c r="AN416">
        <f>IF($A416="","",$I416-($AI416+$AJ416+$AK416+$AL416+$AM416+$AR416))</f>
      </c>
      <c r="AO416">
        <f>IF($A416="","",Allocation!CJ416)</f>
      </c>
      <c r="AP416">
        <f>IF($A416="","",IF(Allocation!$N$2="VOL_EFF",$Q416,IF(Allocation!$N$2="VOL_CLASS",$R416,$S416)))</f>
      </c>
      <c r="AQ416">
        <f>IF($A416="","",IF(Allocation!$N$2="VOL_EFF",$T416,IF(Allocation!$N$2="VOL_CLASS",$U416,$V416)))</f>
      </c>
      <c r="AR416">
        <f>IF($A416="","",$AO416*IFERROR($AP416/$AQ416,0)*IFERROR($AE416/$AF416,0)*IFERROR($AC416/$AD416,0))</f>
      </c>
      <c r="AS416">
        <f>IF($A416="","",$A416&amp;"|"&amp;Allocation!BG416)</f>
      </c>
    </row>
    <row r="417" spans="1:45">
      <c r="A417">
        <f>IF(Allocation!BI417="","",Allocation!BI417)</f>
      </c>
      <c r="B417">
        <f>IF(Allocation!BJ417="","",Allocation!BJ417)</f>
      </c>
      <c r="C417">
        <f>IF(Allocation!BK417="","",Allocation!BK417)</f>
      </c>
      <c r="D417">
        <f>IF(Allocation!BL417="","",Allocation!BL417)</f>
      </c>
      <c r="E417">
        <f>IF(Allocation!BM417="","",Allocation!BM417)</f>
      </c>
      <c r="F417">
        <f>IF(Allocation!BN417="","",Allocation!BN417)</f>
      </c>
      <c r="G417">
        <f>IF(Allocation!BO417="","",Allocation!BO417)</f>
      </c>
      <c r="H417">
        <f>IF(Allocation!BP417="","",Allocation!BP417)</f>
      </c>
      <c r="I417">
        <f>IF(Allocation!BQ417="","",Allocation!BQ417)</f>
      </c>
      <c r="J417">
        <f>IF(Allocation!CC417="","",Allocation!CC417)</f>
      </c>
      <c r="K417">
        <f>IF($A417="","",$H417*IF(AND(LEFT($D417,3)="BAC",$F417="INIT"),600,IF(LEFT($D417,3)="BAC",480,IF(AND(LEFT($D417,3)="MAS",$F417="INIT"),520,IF(LEFT($D417,3)="MAS",420,IF($F417="INIT",1000,700))))))</f>
      </c>
      <c r="L417">
        <f>IF($A417="","",SUMIFS($G$1:$G$349,$AS$1:$AS$349,$AS417,$B$1:$B$349,$B417))</f>
      </c>
      <c r="M417">
        <f>IF($A417="","",SUMIFS($H$1:$H$349,$AS$1:$AS$349,$AS417,$B$1:$B$349,$B417))</f>
      </c>
      <c r="N417">
        <f>IF($A417="","",SUMIFS($I$1:$I$349,$AS$1:$AS$349,$AS417,$B$1:$B$349,$B417))</f>
      </c>
      <c r="O417">
        <f>IF($A417="","",SUMIFS($K$1:$K$349,$AS$1:$AS$349,$AS417,$B$1:$B$349,$B417))</f>
      </c>
      <c r="P417">
        <f>IF($A417="","",SUMIFS($J$1:$J$349,$AS$1:$AS$349,$AS417,$B$1:$B$349,$B417))</f>
      </c>
      <c r="Q417">
        <f>IF($A417="","",SUMIFS($G$1:$G$349,$AS$1:$AS$349,$AS417,$C$1:$C$349,$C417))</f>
      </c>
      <c r="R417">
        <f>IF($A417="","",SUMIFS($H$1:$H$349,$AS$1:$AS$349,$AS417,$C$1:$C$349,$C417))</f>
      </c>
      <c r="S417">
        <f>IF($A417="","",SUMIFS($I$1:$I$349,$AS$1:$AS$349,$AS417,$C$1:$C$349,$C417))</f>
      </c>
      <c r="T417">
        <f>IF($A417="","",SUMIFS($G$1:$G$349,$AS$1:$AS$349,$AS417))</f>
      </c>
      <c r="U417">
        <f>IF($A417="","",SUMIFS($H$1:$H$349,$AS$1:$AS$349,$AS417))</f>
      </c>
      <c r="V417">
        <f>IF($A417="","",SUMIFS($I$1:$I$349,$AS$1:$AS$349,$AS417))</f>
      </c>
      <c r="W417">
        <f>IF($A417="","",Allocation!CD417)</f>
      </c>
      <c r="X417">
        <f>IF($A417="","",Allocation!CE417)</f>
      </c>
      <c r="Y417">
        <f>IF($A417="","",Allocation!CF417)</f>
      </c>
      <c r="Z417">
        <f>IF($A417="","",Allocation!CG417)</f>
      </c>
      <c r="AA417">
        <f>IF($A417="","",Allocation!CH417)</f>
      </c>
      <c r="AB417">
        <f>IF($A417="","",Allocation!CI417)</f>
      </c>
      <c r="AC417">
        <f>IF($A417="","",IF(Allocation!$N$4="VOL_EFF",$G417,IF(Allocation!$N$4="VOL_CLASS",$H417,$I417)))</f>
      </c>
      <c r="AD417">
        <f>IF($A417="","",IF(Allocation!$N$4="VOL_EFF",$L417,IF(Allocation!$N$4="VOL_CLASS",$M417,$N417)))</f>
      </c>
      <c r="AE417">
        <f>IF($A417="","",IF(Allocation!$N$3="VOL_EFF",$L417,IF(Allocation!$N$3="VOL_CLASS",$M417,$N417)))</f>
      </c>
      <c r="AF417">
        <f>IF($A417="","",IF(Allocation!$N$3="VOL_EFF",$Q417,IF(Allocation!$N$3="VOL_CLASS",$R417,$S417)))</f>
      </c>
      <c r="AG417">
        <f>IF($A417="","",IF(Allocation!$N$1="VOL_EFF",$Q417,IF(Allocation!$N$1="VOL_CLASS",$R417,$S417)))</f>
      </c>
      <c r="AH417">
        <f>IF($A417="","",IF(Allocation!$N$1="VOL_EFF",$T417,IF(Allocation!$N$1="VOL_CLASS",$U417,$V417)))</f>
      </c>
      <c r="AI417">
        <f>IF($A417="","",$W417*IFERROR($K417/$O417,0))</f>
      </c>
      <c r="AJ417">
        <f>IF($A417="","",$X417*IFERROR($K417/$O417,0))</f>
      </c>
      <c r="AK417">
        <f>IF($A417="","",$Y417*IFERROR($G417/$L417,0)+$Z417*IFERROR($J417/$P417,0))</f>
      </c>
      <c r="AL417">
        <f>IF($A417="","",$AA417*IFERROR($AC417/$AD417,0))</f>
      </c>
      <c r="AM417">
        <f>IF($A417="","",$AB417*IFERROR($AG417/$AH417,0)*IFERROR($AE417/$AF417,0)*IFERROR($AC417/$AD417,0))</f>
      </c>
      <c r="AN417">
        <f>IF($A417="","",$I417-($AI417+$AJ417+$AK417+$AL417+$AM417+$AR417))</f>
      </c>
      <c r="AO417">
        <f>IF($A417="","",Allocation!CJ417)</f>
      </c>
      <c r="AP417">
        <f>IF($A417="","",IF(Allocation!$N$2="VOL_EFF",$Q417,IF(Allocation!$N$2="VOL_CLASS",$R417,$S417)))</f>
      </c>
      <c r="AQ417">
        <f>IF($A417="","",IF(Allocation!$N$2="VOL_EFF",$T417,IF(Allocation!$N$2="VOL_CLASS",$U417,$V417)))</f>
      </c>
      <c r="AR417">
        <f>IF($A417="","",$AO417*IFERROR($AP417/$AQ417,0)*IFERROR($AE417/$AF417,0)*IFERROR($AC417/$AD417,0))</f>
      </c>
      <c r="AS417">
        <f>IF($A417="","",$A417&amp;"|"&amp;Allocation!BG417)</f>
      </c>
    </row>
    <row r="418" spans="1:45">
      <c r="A418">
        <f>IF(Allocation!BI418="","",Allocation!BI418)</f>
      </c>
      <c r="B418">
        <f>IF(Allocation!BJ418="","",Allocation!BJ418)</f>
      </c>
      <c r="C418">
        <f>IF(Allocation!BK418="","",Allocation!BK418)</f>
      </c>
      <c r="D418">
        <f>IF(Allocation!BL418="","",Allocation!BL418)</f>
      </c>
      <c r="E418">
        <f>IF(Allocation!BM418="","",Allocation!BM418)</f>
      </c>
      <c r="F418">
        <f>IF(Allocation!BN418="","",Allocation!BN418)</f>
      </c>
      <c r="G418">
        <f>IF(Allocation!BO418="","",Allocation!BO418)</f>
      </c>
      <c r="H418">
        <f>IF(Allocation!BP418="","",Allocation!BP418)</f>
      </c>
      <c r="I418">
        <f>IF(Allocation!BQ418="","",Allocation!BQ418)</f>
      </c>
      <c r="J418">
        <f>IF(Allocation!CC418="","",Allocation!CC418)</f>
      </c>
      <c r="K418">
        <f>IF($A418="","",$H418*IF(AND(LEFT($D418,3)="BAC",$F418="INIT"),600,IF(LEFT($D418,3)="BAC",480,IF(AND(LEFT($D418,3)="MAS",$F418="INIT"),520,IF(LEFT($D418,3)="MAS",420,IF($F418="INIT",1000,700))))))</f>
      </c>
      <c r="L418">
        <f>IF($A418="","",SUMIFS($G$1:$G$349,$AS$1:$AS$349,$AS418,$B$1:$B$349,$B418))</f>
      </c>
      <c r="M418">
        <f>IF($A418="","",SUMIFS($H$1:$H$349,$AS$1:$AS$349,$AS418,$B$1:$B$349,$B418))</f>
      </c>
      <c r="N418">
        <f>IF($A418="","",SUMIFS($I$1:$I$349,$AS$1:$AS$349,$AS418,$B$1:$B$349,$B418))</f>
      </c>
      <c r="O418">
        <f>IF($A418="","",SUMIFS($K$1:$K$349,$AS$1:$AS$349,$AS418,$B$1:$B$349,$B418))</f>
      </c>
      <c r="P418">
        <f>IF($A418="","",SUMIFS($J$1:$J$349,$AS$1:$AS$349,$AS418,$B$1:$B$349,$B418))</f>
      </c>
      <c r="Q418">
        <f>IF($A418="","",SUMIFS($G$1:$G$349,$AS$1:$AS$349,$AS418,$C$1:$C$349,$C418))</f>
      </c>
      <c r="R418">
        <f>IF($A418="","",SUMIFS($H$1:$H$349,$AS$1:$AS$349,$AS418,$C$1:$C$349,$C418))</f>
      </c>
      <c r="S418">
        <f>IF($A418="","",SUMIFS($I$1:$I$349,$AS$1:$AS$349,$AS418,$C$1:$C$349,$C418))</f>
      </c>
      <c r="T418">
        <f>IF($A418="","",SUMIFS($G$1:$G$349,$AS$1:$AS$349,$AS418))</f>
      </c>
      <c r="U418">
        <f>IF($A418="","",SUMIFS($H$1:$H$349,$AS$1:$AS$349,$AS418))</f>
      </c>
      <c r="V418">
        <f>IF($A418="","",SUMIFS($I$1:$I$349,$AS$1:$AS$349,$AS418))</f>
      </c>
      <c r="W418">
        <f>IF($A418="","",Allocation!CD418)</f>
      </c>
      <c r="X418">
        <f>IF($A418="","",Allocation!CE418)</f>
      </c>
      <c r="Y418">
        <f>IF($A418="","",Allocation!CF418)</f>
      </c>
      <c r="Z418">
        <f>IF($A418="","",Allocation!CG418)</f>
      </c>
      <c r="AA418">
        <f>IF($A418="","",Allocation!CH418)</f>
      </c>
      <c r="AB418">
        <f>IF($A418="","",Allocation!CI418)</f>
      </c>
      <c r="AC418">
        <f>IF($A418="","",IF(Allocation!$N$4="VOL_EFF",$G418,IF(Allocation!$N$4="VOL_CLASS",$H418,$I418)))</f>
      </c>
      <c r="AD418">
        <f>IF($A418="","",IF(Allocation!$N$4="VOL_EFF",$L418,IF(Allocation!$N$4="VOL_CLASS",$M418,$N418)))</f>
      </c>
      <c r="AE418">
        <f>IF($A418="","",IF(Allocation!$N$3="VOL_EFF",$L418,IF(Allocation!$N$3="VOL_CLASS",$M418,$N418)))</f>
      </c>
      <c r="AF418">
        <f>IF($A418="","",IF(Allocation!$N$3="VOL_EFF",$Q418,IF(Allocation!$N$3="VOL_CLASS",$R418,$S418)))</f>
      </c>
      <c r="AG418">
        <f>IF($A418="","",IF(Allocation!$N$1="VOL_EFF",$Q418,IF(Allocation!$N$1="VOL_CLASS",$R418,$S418)))</f>
      </c>
      <c r="AH418">
        <f>IF($A418="","",IF(Allocation!$N$1="VOL_EFF",$T418,IF(Allocation!$N$1="VOL_CLASS",$U418,$V418)))</f>
      </c>
      <c r="AI418">
        <f>IF($A418="","",$W418*IFERROR($K418/$O418,0))</f>
      </c>
      <c r="AJ418">
        <f>IF($A418="","",$X418*IFERROR($K418/$O418,0))</f>
      </c>
      <c r="AK418">
        <f>IF($A418="","",$Y418*IFERROR($G418/$L418,0)+$Z418*IFERROR($J418/$P418,0))</f>
      </c>
      <c r="AL418">
        <f>IF($A418="","",$AA418*IFERROR($AC418/$AD418,0))</f>
      </c>
      <c r="AM418">
        <f>IF($A418="","",$AB418*IFERROR($AG418/$AH418,0)*IFERROR($AE418/$AF418,0)*IFERROR($AC418/$AD418,0))</f>
      </c>
      <c r="AN418">
        <f>IF($A418="","",$I418-($AI418+$AJ418+$AK418+$AL418+$AM418+$AR418))</f>
      </c>
      <c r="AO418">
        <f>IF($A418="","",Allocation!CJ418)</f>
      </c>
      <c r="AP418">
        <f>IF($A418="","",IF(Allocation!$N$2="VOL_EFF",$Q418,IF(Allocation!$N$2="VOL_CLASS",$R418,$S418)))</f>
      </c>
      <c r="AQ418">
        <f>IF($A418="","",IF(Allocation!$N$2="VOL_EFF",$T418,IF(Allocation!$N$2="VOL_CLASS",$U418,$V418)))</f>
      </c>
      <c r="AR418">
        <f>IF($A418="","",$AO418*IFERROR($AP418/$AQ418,0)*IFERROR($AE418/$AF418,0)*IFERROR($AC418/$AD418,0))</f>
      </c>
      <c r="AS418">
        <f>IF($A418="","",$A418&amp;"|"&amp;Allocation!BG418)</f>
      </c>
    </row>
    <row r="419" spans="1:45">
      <c r="A419">
        <f>IF(Allocation!BI419="","",Allocation!BI419)</f>
      </c>
      <c r="B419">
        <f>IF(Allocation!BJ419="","",Allocation!BJ419)</f>
      </c>
      <c r="C419">
        <f>IF(Allocation!BK419="","",Allocation!BK419)</f>
      </c>
      <c r="D419">
        <f>IF(Allocation!BL419="","",Allocation!BL419)</f>
      </c>
      <c r="E419">
        <f>IF(Allocation!BM419="","",Allocation!BM419)</f>
      </c>
      <c r="F419">
        <f>IF(Allocation!BN419="","",Allocation!BN419)</f>
      </c>
      <c r="G419">
        <f>IF(Allocation!BO419="","",Allocation!BO419)</f>
      </c>
      <c r="H419">
        <f>IF(Allocation!BP419="","",Allocation!BP419)</f>
      </c>
      <c r="I419">
        <f>IF(Allocation!BQ419="","",Allocation!BQ419)</f>
      </c>
      <c r="J419">
        <f>IF(Allocation!CC419="","",Allocation!CC419)</f>
      </c>
      <c r="K419">
        <f>IF($A419="","",$H419*IF(AND(LEFT($D419,3)="BAC",$F419="INIT"),600,IF(LEFT($D419,3)="BAC",480,IF(AND(LEFT($D419,3)="MAS",$F419="INIT"),520,IF(LEFT($D419,3)="MAS",420,IF($F419="INIT",1000,700))))))</f>
      </c>
      <c r="L419">
        <f>IF($A419="","",SUMIFS($G$1:$G$349,$AS$1:$AS$349,$AS419,$B$1:$B$349,$B419))</f>
      </c>
      <c r="M419">
        <f>IF($A419="","",SUMIFS($H$1:$H$349,$AS$1:$AS$349,$AS419,$B$1:$B$349,$B419))</f>
      </c>
      <c r="N419">
        <f>IF($A419="","",SUMIFS($I$1:$I$349,$AS$1:$AS$349,$AS419,$B$1:$B$349,$B419))</f>
      </c>
      <c r="O419">
        <f>IF($A419="","",SUMIFS($K$1:$K$349,$AS$1:$AS$349,$AS419,$B$1:$B$349,$B419))</f>
      </c>
      <c r="P419">
        <f>IF($A419="","",SUMIFS($J$1:$J$349,$AS$1:$AS$349,$AS419,$B$1:$B$349,$B419))</f>
      </c>
      <c r="Q419">
        <f>IF($A419="","",SUMIFS($G$1:$G$349,$AS$1:$AS$349,$AS419,$C$1:$C$349,$C419))</f>
      </c>
      <c r="R419">
        <f>IF($A419="","",SUMIFS($H$1:$H$349,$AS$1:$AS$349,$AS419,$C$1:$C$349,$C419))</f>
      </c>
      <c r="S419">
        <f>IF($A419="","",SUMIFS($I$1:$I$349,$AS$1:$AS$349,$AS419,$C$1:$C$349,$C419))</f>
      </c>
      <c r="T419">
        <f>IF($A419="","",SUMIFS($G$1:$G$349,$AS$1:$AS$349,$AS419))</f>
      </c>
      <c r="U419">
        <f>IF($A419="","",SUMIFS($H$1:$H$349,$AS$1:$AS$349,$AS419))</f>
      </c>
      <c r="V419">
        <f>IF($A419="","",SUMIFS($I$1:$I$349,$AS$1:$AS$349,$AS419))</f>
      </c>
      <c r="W419">
        <f>IF($A419="","",Allocation!CD419)</f>
      </c>
      <c r="X419">
        <f>IF($A419="","",Allocation!CE419)</f>
      </c>
      <c r="Y419">
        <f>IF($A419="","",Allocation!CF419)</f>
      </c>
      <c r="Z419">
        <f>IF($A419="","",Allocation!CG419)</f>
      </c>
      <c r="AA419">
        <f>IF($A419="","",Allocation!CH419)</f>
      </c>
      <c r="AB419">
        <f>IF($A419="","",Allocation!CI419)</f>
      </c>
      <c r="AC419">
        <f>IF($A419="","",IF(Allocation!$N$4="VOL_EFF",$G419,IF(Allocation!$N$4="VOL_CLASS",$H419,$I419)))</f>
      </c>
      <c r="AD419">
        <f>IF($A419="","",IF(Allocation!$N$4="VOL_EFF",$L419,IF(Allocation!$N$4="VOL_CLASS",$M419,$N419)))</f>
      </c>
      <c r="AE419">
        <f>IF($A419="","",IF(Allocation!$N$3="VOL_EFF",$L419,IF(Allocation!$N$3="VOL_CLASS",$M419,$N419)))</f>
      </c>
      <c r="AF419">
        <f>IF($A419="","",IF(Allocation!$N$3="VOL_EFF",$Q419,IF(Allocation!$N$3="VOL_CLASS",$R419,$S419)))</f>
      </c>
      <c r="AG419">
        <f>IF($A419="","",IF(Allocation!$N$1="VOL_EFF",$Q419,IF(Allocation!$N$1="VOL_CLASS",$R419,$S419)))</f>
      </c>
      <c r="AH419">
        <f>IF($A419="","",IF(Allocation!$N$1="VOL_EFF",$T419,IF(Allocation!$N$1="VOL_CLASS",$U419,$V419)))</f>
      </c>
      <c r="AI419">
        <f>IF($A419="","",$W419*IFERROR($K419/$O419,0))</f>
      </c>
      <c r="AJ419">
        <f>IF($A419="","",$X419*IFERROR($K419/$O419,0))</f>
      </c>
      <c r="AK419">
        <f>IF($A419="","",$Y419*IFERROR($G419/$L419,0)+$Z419*IFERROR($J419/$P419,0))</f>
      </c>
      <c r="AL419">
        <f>IF($A419="","",$AA419*IFERROR($AC419/$AD419,0))</f>
      </c>
      <c r="AM419">
        <f>IF($A419="","",$AB419*IFERROR($AG419/$AH419,0)*IFERROR($AE419/$AF419,0)*IFERROR($AC419/$AD419,0))</f>
      </c>
      <c r="AN419">
        <f>IF($A419="","",$I419-($AI419+$AJ419+$AK419+$AL419+$AM419+$AR419))</f>
      </c>
      <c r="AO419">
        <f>IF($A419="","",Allocation!CJ419)</f>
      </c>
      <c r="AP419">
        <f>IF($A419="","",IF(Allocation!$N$2="VOL_EFF",$Q419,IF(Allocation!$N$2="VOL_CLASS",$R419,$S419)))</f>
      </c>
      <c r="AQ419">
        <f>IF($A419="","",IF(Allocation!$N$2="VOL_EFF",$T419,IF(Allocation!$N$2="VOL_CLASS",$U419,$V419)))</f>
      </c>
      <c r="AR419">
        <f>IF($A419="","",$AO419*IFERROR($AP419/$AQ419,0)*IFERROR($AE419/$AF419,0)*IFERROR($AC419/$AD419,0))</f>
      </c>
      <c r="AS419">
        <f>IF($A419="","",$A419&amp;"|"&amp;Allocation!BG419)</f>
      </c>
    </row>
    <row r="420" spans="1:45">
      <c r="A420">
        <f>IF(Allocation!BI420="","",Allocation!BI420)</f>
      </c>
      <c r="B420">
        <f>IF(Allocation!BJ420="","",Allocation!BJ420)</f>
      </c>
      <c r="C420">
        <f>IF(Allocation!BK420="","",Allocation!BK420)</f>
      </c>
      <c r="D420">
        <f>IF(Allocation!BL420="","",Allocation!BL420)</f>
      </c>
      <c r="E420">
        <f>IF(Allocation!BM420="","",Allocation!BM420)</f>
      </c>
      <c r="F420">
        <f>IF(Allocation!BN420="","",Allocation!BN420)</f>
      </c>
      <c r="G420">
        <f>IF(Allocation!BO420="","",Allocation!BO420)</f>
      </c>
      <c r="H420">
        <f>IF(Allocation!BP420="","",Allocation!BP420)</f>
      </c>
      <c r="I420">
        <f>IF(Allocation!BQ420="","",Allocation!BQ420)</f>
      </c>
      <c r="J420">
        <f>IF(Allocation!CC420="","",Allocation!CC420)</f>
      </c>
      <c r="K420">
        <f>IF($A420="","",$H420*IF(AND(LEFT($D420,3)="BAC",$F420="INIT"),600,IF(LEFT($D420,3)="BAC",480,IF(AND(LEFT($D420,3)="MAS",$F420="INIT"),520,IF(LEFT($D420,3)="MAS",420,IF($F420="INIT",1000,700))))))</f>
      </c>
      <c r="L420">
        <f>IF($A420="","",SUMIFS($G$1:$G$349,$AS$1:$AS$349,$AS420,$B$1:$B$349,$B420))</f>
      </c>
      <c r="M420">
        <f>IF($A420="","",SUMIFS($H$1:$H$349,$AS$1:$AS$349,$AS420,$B$1:$B$349,$B420))</f>
      </c>
      <c r="N420">
        <f>IF($A420="","",SUMIFS($I$1:$I$349,$AS$1:$AS$349,$AS420,$B$1:$B$349,$B420))</f>
      </c>
      <c r="O420">
        <f>IF($A420="","",SUMIFS($K$1:$K$349,$AS$1:$AS$349,$AS420,$B$1:$B$349,$B420))</f>
      </c>
      <c r="P420">
        <f>IF($A420="","",SUMIFS($J$1:$J$349,$AS$1:$AS$349,$AS420,$B$1:$B$349,$B420))</f>
      </c>
      <c r="Q420">
        <f>IF($A420="","",SUMIFS($G$1:$G$349,$AS$1:$AS$349,$AS420,$C$1:$C$349,$C420))</f>
      </c>
      <c r="R420">
        <f>IF($A420="","",SUMIFS($H$1:$H$349,$AS$1:$AS$349,$AS420,$C$1:$C$349,$C420))</f>
      </c>
      <c r="S420">
        <f>IF($A420="","",SUMIFS($I$1:$I$349,$AS$1:$AS$349,$AS420,$C$1:$C$349,$C420))</f>
      </c>
      <c r="T420">
        <f>IF($A420="","",SUMIFS($G$1:$G$349,$AS$1:$AS$349,$AS420))</f>
      </c>
      <c r="U420">
        <f>IF($A420="","",SUMIFS($H$1:$H$349,$AS$1:$AS$349,$AS420))</f>
      </c>
      <c r="V420">
        <f>IF($A420="","",SUMIFS($I$1:$I$349,$AS$1:$AS$349,$AS420))</f>
      </c>
      <c r="W420">
        <f>IF($A420="","",Allocation!CD420)</f>
      </c>
      <c r="X420">
        <f>IF($A420="","",Allocation!CE420)</f>
      </c>
      <c r="Y420">
        <f>IF($A420="","",Allocation!CF420)</f>
      </c>
      <c r="Z420">
        <f>IF($A420="","",Allocation!CG420)</f>
      </c>
      <c r="AA420">
        <f>IF($A420="","",Allocation!CH420)</f>
      </c>
      <c r="AB420">
        <f>IF($A420="","",Allocation!CI420)</f>
      </c>
      <c r="AC420">
        <f>IF($A420="","",IF(Allocation!$N$4="VOL_EFF",$G420,IF(Allocation!$N$4="VOL_CLASS",$H420,$I420)))</f>
      </c>
      <c r="AD420">
        <f>IF($A420="","",IF(Allocation!$N$4="VOL_EFF",$L420,IF(Allocation!$N$4="VOL_CLASS",$M420,$N420)))</f>
      </c>
      <c r="AE420">
        <f>IF($A420="","",IF(Allocation!$N$3="VOL_EFF",$L420,IF(Allocation!$N$3="VOL_CLASS",$M420,$N420)))</f>
      </c>
      <c r="AF420">
        <f>IF($A420="","",IF(Allocation!$N$3="VOL_EFF",$Q420,IF(Allocation!$N$3="VOL_CLASS",$R420,$S420)))</f>
      </c>
      <c r="AG420">
        <f>IF($A420="","",IF(Allocation!$N$1="VOL_EFF",$Q420,IF(Allocation!$N$1="VOL_CLASS",$R420,$S420)))</f>
      </c>
      <c r="AH420">
        <f>IF($A420="","",IF(Allocation!$N$1="VOL_EFF",$T420,IF(Allocation!$N$1="VOL_CLASS",$U420,$V420)))</f>
      </c>
      <c r="AI420">
        <f>IF($A420="","",$W420*IFERROR($K420/$O420,0))</f>
      </c>
      <c r="AJ420">
        <f>IF($A420="","",$X420*IFERROR($K420/$O420,0))</f>
      </c>
      <c r="AK420">
        <f>IF($A420="","",$Y420*IFERROR($G420/$L420,0)+$Z420*IFERROR($J420/$P420,0))</f>
      </c>
      <c r="AL420">
        <f>IF($A420="","",$AA420*IFERROR($AC420/$AD420,0))</f>
      </c>
      <c r="AM420">
        <f>IF($A420="","",$AB420*IFERROR($AG420/$AH420,0)*IFERROR($AE420/$AF420,0)*IFERROR($AC420/$AD420,0))</f>
      </c>
      <c r="AN420">
        <f>IF($A420="","",$I420-($AI420+$AJ420+$AK420+$AL420+$AM420+$AR420))</f>
      </c>
      <c r="AO420">
        <f>IF($A420="","",Allocation!CJ420)</f>
      </c>
      <c r="AP420">
        <f>IF($A420="","",IF(Allocation!$N$2="VOL_EFF",$Q420,IF(Allocation!$N$2="VOL_CLASS",$R420,$S420)))</f>
      </c>
      <c r="AQ420">
        <f>IF($A420="","",IF(Allocation!$N$2="VOL_EFF",$T420,IF(Allocation!$N$2="VOL_CLASS",$U420,$V420)))</f>
      </c>
      <c r="AR420">
        <f>IF($A420="","",$AO420*IFERROR($AP420/$AQ420,0)*IFERROR($AE420/$AF420,0)*IFERROR($AC420/$AD420,0))</f>
      </c>
      <c r="AS420">
        <f>IF($A420="","",$A420&amp;"|"&amp;Allocation!BG420)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ALLOC</s>
        <a key="desc" refId="2" ln="4" eid="SYS_STR">
          <s>Allocation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Template09</s>
          </key>
          <val>
            <be refId="8" clsId="ReportTemplateVO">
              <s key="code">Template09</s>
              <s key="desc">Allocation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</m>
        <m key="templateLayouts" refId="32" keid="SYS_STR" veid="Reporting.com.tagetik.report.IReportTemplateLayoutVO,Reporting">
          <key>
            <s>Template09</s>
          </key>
          <val>
            <be refId="33" clsId="ReportTemplateLayoutVO">
              <i key="index">0</i>
              <s key="code">Template09</s>
              <m key="cellFieldAddresses" refId="34" keid="SYS_STR" veid="Reporting.com.tagetik.spreadsheet.gridwrappers.IGridReaderVO,Reporting"/>
              <m key="controlExpressionsAddresses" refId="35" keid="SYS_STR" veid="Reporting.com.tagetik.spreadsheet.gridwrappers.IGridReaderVO,Reporting"/>
              <m key="inlineParameterAddresses" refId="36" keid="SYS_STR" veid="Reporting.com.tagetik.spreadsheet.gridwrappers.IGridReaderVO,Reporting"/>
              <m key="dictionaryAddresses" refId="37" keid="SYS_STR" veid="Reporting.com.tagetik.spreadsheet.gridwrappers.IGridReaderVO,Reporting"/>
              <m key="hyperlinkAddresses" refId="38" keid="SYS_STR" veid="Reporting.com.tagetik.spreadsheet.gridwrappers.IGridReaderVO,Reporting"/>
              <m key="matrixGridReaders" refId="39" keid="SYS_STR" veid="Reporting.com.tagetik.spreadsheet.gridwrappers.IGridReaderVO,Reporting"/>
              <m key="queryGridReaders" refId="40" keid="SYS_STR" veid="Reporting.com.tagetik.spreadsheet.gridwrappers.IGridReaderVO,Reporting"/>
            </be>
          </val>
        </m>
        <m key="adHocParameters" refId="41" keid="SYS_STR" veid="ProspParametro"/>
        <l key="parametersToBeRequested" refId="42" ln="0" eid="ParameterInfo"/>
      </be>
      <be key="launchResult" refId="43" clsId="MultiRepLaunchResult">
        <be key="elabResult" refId="44" clsId="ElabResult"/>
        <m key="valori" refId="45" keid="SYS_STR" veid="ProspElaborationTaskResult"/>
        <m key="exportedType" refId="46" keid="SYS_STR" veid="SYS_STR"/>
        <m key="exportedResult" refId="47" keid="SYS_STR" veid="System.Byte[]"/>
        <b key="flagValidation">N</b>
      </be>
      <be key="parameters" refId="48" clsId="LaunchParameters">
        <i key="descLanguage">0</i>
        <b key="dataEntry">N</b>
        <b key="checkEdit">S</b>
        <b key="createMatrixAreas">N</b>
      </be>
      <be key="launchInfo" refId="49" clsId="LaunchInfo">
        <d key="launchTime">1789042653826</d>
        <s key="handlerId">f5ab216a-0046-4b5f-82ed-6f90c3536463</s>
      </be>
    </be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907CDA52-DCDA-409F-8D90-A2F90F8B37D6}">
  <ds:schemaRefs/>
</ds:datastoreItem>
</file>

<file path=customXml/itemProps2.xml><?xml version="1.0" encoding="utf-8"?>
<ds:datastoreItem xmlns:ds="http://schemas.openxmlformats.org/officeDocument/2006/customXml" ds:itemID="{3E573A1E-1E02-404F-BC9C-E4C7C6A65F42}">
  <ds:schemaRefs/>
</ds:datastoreItem>
</file>

<file path=customXml/itemProps3.xml><?xml version="1.0" encoding="utf-8"?>
<ds:datastoreItem xmlns:ds="http://schemas.openxmlformats.org/officeDocument/2006/customXml" ds:itemID="{7276553C-ADA5-45C8-918A-86A557840E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Allocation</vt:lpstr>
      <vt:lpstr>_CALC_ALLOC</vt:lpstr>
      <vt:lpstr>ALLOC_BRAND_CAMP</vt:lpstr>
      <vt:lpstr>ALLOC_CAMP_CLASS</vt:lpstr>
      <vt:lpstr>ALLOC_GRP_BRAND</vt:lpstr>
      <vt:lpstr>ALLOC_GRP_MARQUE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2026-09-10T12:18:46Z</dcterms:modified>
</cp:coreProperties>
</file>