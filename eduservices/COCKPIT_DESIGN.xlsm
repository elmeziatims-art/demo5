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#,##0.00,"/>
    <numFmt numFmtId="175" formatCode="#,##0,"/>
    <numFmt numFmtId="176" formatCode="mm/dd/yy;@"/>
    <numFmt numFmtId="177" formatCode="&quot;$&quot;#,##0.00"/>
    <numFmt numFmtId="178" formatCode="&quot;▲ &quot;0.0%;&quot;▼ &quot;0.0%;&quot;—&quot;"/>
    <numFmt numFmtId="179" formatCode="&quot;▲ &quot;0.00&quot; pt&quot;;&quot;▼ &quot;0.00&quot; pt&quot;;&quot;—&quot;"/>
    <numFmt numFmtId="180" formatCode="#,##0&quot; places libres&quot;;-#,##0&quot; places libres&quot;;&quot;—&quot;"/>
    <numFmt numFmtId="181" formatCode="&quot;▲ &quot;0.0%;&quot;▼ &quot;0.0%;&quot;&quot;"/>
    <numFmt numFmtId="182" formatCode="&quot;▲ &quot;0.00;&quot;▼ &quot;0.00;&quot;&quot;"/>
  </numFmts>
  <fonts count="48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Arial"/>
      <color rgb="0069778B"/>
      <sz val="8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4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75" fontId="1" fillId="0" borderId="0"/>
    <xf numFmtId="174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4" fontId="1" fillId="10" borderId="4"/>
    <xf numFmtId="0" fontId="3" fillId="9" borderId="5" applyAlignment="1">
      <alignment horizontal="center" vertical="center" wrapText="1"/>
    </xf>
    <xf numFmtId="176" fontId="1" fillId="0" borderId="0"/>
    <xf numFmtId="9" fontId="1" fillId="11" borderId="0"/>
    <xf numFmtId="174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77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4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4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31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27" fillId="21" borderId="27" applyAlignment="1" pivotButton="0" quotePrefix="1" xfId="0">
      <alignment horizontal="left" vertical="center"/>
    </xf>
    <xf numFmtId="0" fontId="27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0" fillId="19" borderId="11" applyAlignment="1" pivotButton="0" quotePrefix="0" xfId="56">
      <alignment horizontal="left" vertical="center"/>
    </xf>
    <xf numFmtId="0" fontId="1" fillId="19" borderId="12" pivotButton="0" quotePrefix="0" xfId="56"/>
    <xf numFmtId="0" fontId="26" fillId="19" borderId="18" applyAlignment="1" pivotButton="0" quotePrefix="0" xfId="56">
      <alignment horizontal="left" vertical="center" indent="1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0" fontId="0" fillId="22" borderId="31" pivotButton="0" quotePrefix="0" xfId="0"/>
    <xf numFmtId="170" fontId="21" fillId="19" borderId="13" applyAlignment="1" pivotButton="0" quotePrefix="0" xfId="56">
      <alignment horizontal="centerContinuous" vertical="center"/>
    </xf>
    <xf numFmtId="0" fontId="1" fillId="19" borderId="14" applyAlignment="1" pivotButton="0" quotePrefix="0" xfId="56">
      <alignment horizontal="centerContinuous"/>
    </xf>
    <xf numFmtId="164" fontId="28" fillId="19" borderId="20" applyAlignment="1" pivotButton="0" quotePrefix="0" xfId="56">
      <alignment horizontal="left" vertical="center" indent="1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0" fontId="0" fillId="22" borderId="32" pivotButton="0" quotePrefix="0" xfId="0"/>
    <xf numFmtId="171" fontId="19" fillId="19" borderId="15" applyAlignment="1" pivotButton="0" quotePrefix="0" xfId="56">
      <alignment horizontal="left" vertical="center" indent="1"/>
    </xf>
    <xf numFmtId="0" fontId="1" fillId="19" borderId="16" pivotButton="0" quotePrefix="0" xfId="56"/>
    <xf numFmtId="167" fontId="29" fillId="19" borderId="22" applyAlignment="1" pivotButton="0" quotePrefix="0" xfId="56">
      <alignment horizontal="left" vertical="center" indent="1"/>
    </xf>
    <xf numFmtId="178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9" fontId="40" fillId="22" borderId="30" applyAlignment="1" pivotButton="0" quotePrefix="0" xfId="56">
      <alignment horizontal="left" vertical="center" indent="1"/>
    </xf>
    <xf numFmtId="178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180" fontId="40" fillId="22" borderId="30" applyAlignment="1" pivotButton="0" quotePrefix="0" xfId="0">
      <alignment horizontal="left" vertical="center" indent="1"/>
    </xf>
    <xf numFmtId="0" fontId="0" fillId="22" borderId="33" pivotButton="0" quotePrefix="0" xfId="0"/>
    <xf numFmtId="0" fontId="30" fillId="19" borderId="18" applyAlignment="1" pivotButton="0" quotePrefix="0" xfId="0">
      <alignment horizontal="left" vertical="center" indent="2"/>
    </xf>
    <xf numFmtId="0" fontId="47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6" fillId="19" borderId="35" applyAlignment="1" pivotButton="0" quotePrefix="0" xfId="0">
      <alignment horizontal="left" vertical="center"/>
    </xf>
    <xf numFmtId="172" fontId="46" fillId="19" borderId="35" applyAlignment="1" pivotButton="0" quotePrefix="0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81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82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6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28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86" formatCode="#,##0&quot; €&quot;"/>
    </dxf>
    <dxf>
      <numFmt numFmtId="188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'2'!$AC$7:$AC$11</f>
            </strRef>
          </cat>
          <val>
            <numRef>
              <f>'2'!$AD$7:$AD$11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'2'!$AE$7:$AE$11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'2'!$AF$7:$AF$11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'2'!$AG$7:$AG$11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'2'!$AJ$7:$AJ$11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'2'!$AK$7:$AK$11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'2'!$AL$7:$AL$11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'2'!$BA$7:$BA$9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'2'!$BB$7:$BB$9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13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3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width="11" customWidth="1" min="16" max="16"/>
    <col width="11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55" t="n"/>
      <c r="Q1" s="55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55" t="n"/>
      <c r="Q2" s="55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55" t="n"/>
      <c r="Q3" s="55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58" t="n"/>
      <c r="Q4" s="58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62" t="inlineStr">
        <is>
          <t>Version</t>
        </is>
      </c>
      <c r="I5" s="63" t="inlineStr">
        <is>
          <t>V_FINAL</t>
        </is>
      </c>
      <c r="J5" s="59" t="inlineStr">
        <is>
          <t>VERSION</t>
        </is>
      </c>
      <c r="K5" s="64" t="inlineStr">
        <is>
          <t>Entité</t>
        </is>
      </c>
      <c r="L5" s="65" t="inlineStr">
        <is>
          <t>$Entity(HIERARCHY("EDU")).desc</t>
        </is>
      </c>
      <c r="M5" s="66" t="n"/>
      <c r="N5" s="59" t="inlineStr">
        <is>
          <t>ENTITÉ</t>
        </is>
      </c>
      <c r="O5" s="64" t="n"/>
      <c r="P5" s="67" t="n"/>
      <c r="Q5" s="67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58" t="n"/>
      <c r="Q6" s="58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58" t="n"/>
      <c r="Q7" s="58" t="n"/>
      <c r="AB7" s="1" t="n"/>
      <c r="AC7" s="1" t="n"/>
      <c r="AD7" s="1" t="n"/>
      <c r="AE7" s="1" t="n"/>
      <c r="AF7" s="1" t="n"/>
      <c r="AG7" s="1" t="n"/>
      <c r="AI7" s="1" t="n"/>
      <c r="AJ7" s="1" t="n"/>
      <c r="AK7" s="1" t="n"/>
      <c r="AL7" s="1" t="n"/>
      <c r="AM7" s="1" t="n"/>
      <c r="AN7" s="1" t="n"/>
      <c r="AO7" s="1" t="n"/>
      <c r="AP7" s="1" t="n"/>
      <c r="AQ7" s="1" t="n"/>
      <c r="AR7" s="1" t="n"/>
      <c r="AS7" s="1" t="n"/>
      <c r="AU7" s="2" t="n"/>
      <c r="AZ7" s="1" t="n"/>
      <c r="BA7" s="1" t="n"/>
      <c r="BB7" s="1" t="n"/>
      <c r="BC7" s="1" t="n"/>
      <c r="BD7" s="1" t="n"/>
      <c r="BE7" s="1" t="n"/>
      <c r="BF7" s="1" t="n"/>
    </row>
    <row r="8" ht="13" customHeight="1">
      <c r="A8" s="58" t="n"/>
      <c r="B8" s="58" t="n"/>
      <c r="C8" s="68" t="n"/>
      <c r="D8" s="69" t="n"/>
      <c r="E8" s="70" t="n"/>
      <c r="F8" s="71" t="inlineStr">
        <is>
          <t>CHIFFRE D'AFFAIRES</t>
        </is>
      </c>
      <c r="G8" s="72" t="n"/>
      <c r="H8" s="71" t="inlineStr">
        <is>
          <t>EBITDA</t>
        </is>
      </c>
      <c r="I8" s="72" t="n"/>
      <c r="J8" s="71" t="inlineStr">
        <is>
          <t>MARGE EBITDA</t>
        </is>
      </c>
      <c r="K8" s="72" t="n"/>
      <c r="L8" s="71" t="inlineStr">
        <is>
          <t>INSCRITS (NOUVEAUX)</t>
        </is>
      </c>
      <c r="M8" s="72" t="n"/>
      <c r="N8" s="73" t="inlineStr">
        <is>
          <t>COÛT D'ACQUISITION</t>
        </is>
      </c>
      <c r="O8" s="74" t="n"/>
      <c r="P8" s="73" t="inlineStr">
        <is>
          <t>REMPLISSAGE MOYEN</t>
        </is>
      </c>
      <c r="Q8" s="75" t="n"/>
    </row>
    <row r="9" ht="26" customHeight="1">
      <c r="A9" s="58" t="n"/>
      <c r="B9" s="58" t="n"/>
      <c r="C9" s="76" t="n"/>
      <c r="D9" s="77" t="n"/>
      <c r="E9" s="78" t="n"/>
      <c r="F9" s="79">
        <f>F38</f>
        <v/>
      </c>
      <c r="G9" s="80" t="n"/>
      <c r="H9" s="79">
        <f>H38</f>
        <v/>
      </c>
      <c r="I9" s="81" t="n"/>
      <c r="J9" s="82">
        <f>K38</f>
        <v/>
      </c>
      <c r="K9" s="83" t="n"/>
      <c r="L9" s="84">
        <f>M38</f>
        <v/>
      </c>
      <c r="M9" s="85" t="n"/>
      <c r="N9" s="86">
        <f>U38/M38</f>
        <v/>
      </c>
      <c r="O9" s="87" t="n"/>
      <c r="P9" s="88">
        <f>N38</f>
        <v/>
      </c>
      <c r="Q9" s="89" t="n"/>
    </row>
    <row r="10" ht="14" customHeight="1">
      <c r="A10" s="58" t="n"/>
      <c r="B10" s="58" t="n"/>
      <c r="C10" s="90" t="n"/>
      <c r="D10" s="91" t="n"/>
      <c r="E10" s="92" t="n"/>
      <c r="F10" s="93">
        <f>G38</f>
        <v/>
      </c>
      <c r="G10" s="94" t="n"/>
      <c r="H10" s="93">
        <f>I38</f>
        <v/>
      </c>
      <c r="I10" s="95" t="n"/>
      <c r="J10" s="96">
        <f>L38</f>
        <v/>
      </c>
      <c r="K10" s="94" t="n"/>
      <c r="L10" s="93">
        <f>AA38</f>
        <v/>
      </c>
      <c r="M10" s="94" t="n"/>
      <c r="N10" s="97">
        <f>IFERROR(N9/(V38/Y38)-1,"")</f>
        <v/>
      </c>
      <c r="O10" s="98" t="n"/>
      <c r="P10" s="99">
        <f>Q38-P38</f>
        <v/>
      </c>
      <c r="Q10" s="100" t="n"/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</row>
    <row r="12" ht="15.5" customHeight="1">
      <c r="A12" s="58" t="n"/>
      <c r="B12" s="58" t="n"/>
      <c r="C12" s="101" t="inlineStr">
        <is>
          <t xml:space="preserve">  Pont d'EBITDA 2025 → 2026</t>
        </is>
      </c>
      <c r="D12" s="102" t="inlineStr">
        <is>
          <t xml:space="preserve">  Pont d'EBITDA 2025 → 2026</t>
        </is>
      </c>
      <c r="E12" s="103" t="n"/>
      <c r="F12" s="103" t="n"/>
      <c r="G12" s="103" t="n"/>
      <c r="H12" s="104" t="n"/>
      <c r="I12" s="102" t="inlineStr">
        <is>
          <t xml:space="preserve">  Marge EBITDA — 3 exercices</t>
        </is>
      </c>
      <c r="J12" s="103" t="n"/>
      <c r="K12" s="103" t="n"/>
      <c r="L12" s="103" t="n"/>
      <c r="M12" s="104" t="n"/>
      <c r="N12" s="102" t="inlineStr">
        <is>
          <t xml:space="preserve">  Acquisition — dépenses vs inscrits</t>
        </is>
      </c>
      <c r="O12" s="103" t="n"/>
      <c r="P12" s="103" t="n"/>
      <c r="Q12" s="105" t="inlineStr">
        <is>
          <t xml:space="preserve">base 100  </t>
        </is>
      </c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106" t="n"/>
      <c r="D13" s="107" t="n"/>
      <c r="E13" s="108" t="n"/>
      <c r="F13" s="108" t="n"/>
      <c r="G13" s="108" t="n"/>
      <c r="H13" s="89" t="n"/>
      <c r="I13" s="107" t="n"/>
      <c r="J13" s="108" t="n"/>
      <c r="K13" s="108" t="n"/>
      <c r="L13" s="108" t="n"/>
      <c r="M13" s="89" t="n"/>
      <c r="N13" s="107" t="n"/>
      <c r="O13" s="108" t="n"/>
      <c r="P13" s="108" t="n"/>
      <c r="Q13" s="89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106" t="n"/>
      <c r="D14" s="107" t="n"/>
      <c r="E14" s="108" t="n"/>
      <c r="F14" s="108" t="n"/>
      <c r="G14" s="108" t="n"/>
      <c r="H14" s="89" t="n"/>
      <c r="I14" s="107" t="n"/>
      <c r="J14" s="108" t="n"/>
      <c r="K14" s="108" t="n"/>
      <c r="L14" s="108" t="n"/>
      <c r="M14" s="89" t="n"/>
      <c r="N14" s="107" t="n"/>
      <c r="O14" s="108" t="n"/>
      <c r="P14" s="108" t="n"/>
      <c r="Q14" s="89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106" t="n"/>
      <c r="D15" s="107" t="n"/>
      <c r="E15" s="108" t="n"/>
      <c r="F15" s="108" t="n"/>
      <c r="G15" s="108" t="n"/>
      <c r="H15" s="89" t="n"/>
      <c r="I15" s="107" t="n"/>
      <c r="J15" s="108" t="n"/>
      <c r="K15" s="108" t="n"/>
      <c r="L15" s="108" t="n"/>
      <c r="M15" s="89" t="n"/>
      <c r="N15" s="107" t="n"/>
      <c r="O15" s="108" t="n"/>
      <c r="P15" s="108" t="n"/>
      <c r="Q15" s="89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106" t="n"/>
      <c r="D16" s="107" t="n"/>
      <c r="E16" s="108" t="n"/>
      <c r="F16" s="108" t="n"/>
      <c r="G16" s="108" t="n"/>
      <c r="H16" s="89" t="n"/>
      <c r="I16" s="107" t="n"/>
      <c r="J16" s="108" t="n"/>
      <c r="K16" s="108" t="n"/>
      <c r="L16" s="108" t="n"/>
      <c r="M16" s="89" t="n"/>
      <c r="N16" s="107" t="n"/>
      <c r="O16" s="108" t="n"/>
      <c r="P16" s="108" t="n"/>
      <c r="Q16" s="89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106" t="n"/>
      <c r="D17" s="107" t="n"/>
      <c r="E17" s="108" t="n"/>
      <c r="F17" s="108" t="n"/>
      <c r="G17" s="108" t="n"/>
      <c r="H17" s="89" t="n"/>
      <c r="I17" s="107" t="n"/>
      <c r="J17" s="108" t="n"/>
      <c r="K17" s="108" t="n"/>
      <c r="L17" s="108" t="n"/>
      <c r="M17" s="89" t="n"/>
      <c r="N17" s="107" t="n"/>
      <c r="O17" s="108" t="n"/>
      <c r="P17" s="108" t="n"/>
      <c r="Q17" s="89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106" t="n"/>
      <c r="D18" s="107" t="n"/>
      <c r="E18" s="108" t="n"/>
      <c r="F18" s="108" t="n"/>
      <c r="G18" s="108" t="n"/>
      <c r="H18" s="89" t="n"/>
      <c r="I18" s="107" t="n"/>
      <c r="J18" s="108" t="n"/>
      <c r="K18" s="108" t="n"/>
      <c r="L18" s="108" t="n"/>
      <c r="M18" s="89" t="n"/>
      <c r="N18" s="107" t="n"/>
      <c r="O18" s="108" t="n"/>
      <c r="P18" s="108" t="n"/>
      <c r="Q18" s="89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106" t="n"/>
      <c r="D19" s="107" t="n"/>
      <c r="E19" s="108" t="n"/>
      <c r="F19" s="108" t="n"/>
      <c r="G19" s="108" t="n"/>
      <c r="H19" s="89" t="n"/>
      <c r="I19" s="107" t="n"/>
      <c r="J19" s="108" t="n"/>
      <c r="K19" s="108" t="n"/>
      <c r="L19" s="108" t="n"/>
      <c r="M19" s="89" t="n"/>
      <c r="N19" s="107" t="n"/>
      <c r="O19" s="108" t="n"/>
      <c r="P19" s="108" t="n"/>
      <c r="Q19" s="89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106" t="n"/>
      <c r="D20" s="107" t="n"/>
      <c r="E20" s="108" t="n"/>
      <c r="F20" s="108" t="n"/>
      <c r="G20" s="108" t="n"/>
      <c r="H20" s="89" t="n"/>
      <c r="I20" s="107" t="n"/>
      <c r="J20" s="108" t="n"/>
      <c r="K20" s="108" t="n"/>
      <c r="L20" s="108" t="n"/>
      <c r="M20" s="89" t="n"/>
      <c r="N20" s="107" t="n"/>
      <c r="O20" s="108" t="n"/>
      <c r="P20" s="108" t="n"/>
      <c r="Q20" s="89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106" t="n"/>
      <c r="D21" s="107" t="n"/>
      <c r="E21" s="108" t="n"/>
      <c r="F21" s="108" t="n"/>
      <c r="G21" s="108" t="n"/>
      <c r="H21" s="89" t="n"/>
      <c r="I21" s="107" t="n"/>
      <c r="J21" s="108" t="n"/>
      <c r="K21" s="108" t="n"/>
      <c r="L21" s="108" t="n"/>
      <c r="M21" s="89" t="n"/>
      <c r="N21" s="107" t="n"/>
      <c r="O21" s="108" t="n"/>
      <c r="P21" s="108" t="n"/>
      <c r="Q21" s="89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106" t="n"/>
      <c r="D22" s="107" t="n"/>
      <c r="E22" s="108" t="n"/>
      <c r="F22" s="108" t="n"/>
      <c r="G22" s="108" t="n"/>
      <c r="H22" s="89" t="n"/>
      <c r="I22" s="107" t="n"/>
      <c r="J22" s="108" t="n"/>
      <c r="K22" s="108" t="n"/>
      <c r="L22" s="108" t="n"/>
      <c r="M22" s="89" t="n"/>
      <c r="N22" s="107" t="n"/>
      <c r="O22" s="108" t="n"/>
      <c r="P22" s="108" t="n"/>
      <c r="Q22" s="89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106" t="n"/>
      <c r="D23" s="107" t="n"/>
      <c r="E23" s="108" t="n"/>
      <c r="F23" s="108" t="n"/>
      <c r="G23" s="108" t="n"/>
      <c r="H23" s="89" t="n"/>
      <c r="I23" s="107" t="n"/>
      <c r="J23" s="108" t="n"/>
      <c r="K23" s="108" t="n"/>
      <c r="L23" s="108" t="n"/>
      <c r="M23" s="89" t="n"/>
      <c r="N23" s="107" t="n"/>
      <c r="O23" s="108" t="n"/>
      <c r="P23" s="108" t="n"/>
      <c r="Q23" s="89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106" t="n"/>
      <c r="D24" s="107" t="n"/>
      <c r="E24" s="108" t="n"/>
      <c r="F24" s="108" t="n"/>
      <c r="G24" s="108" t="n"/>
      <c r="H24" s="89" t="n"/>
      <c r="I24" s="107" t="n"/>
      <c r="J24" s="108" t="n"/>
      <c r="K24" s="108" t="n"/>
      <c r="L24" s="108" t="n"/>
      <c r="M24" s="89" t="n"/>
      <c r="N24" s="107" t="n"/>
      <c r="O24" s="108" t="n"/>
      <c r="P24" s="108" t="n"/>
      <c r="Q24" s="89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106" t="n"/>
      <c r="D25" s="107" t="n"/>
      <c r="E25" s="108" t="n"/>
      <c r="F25" s="108" t="n"/>
      <c r="G25" s="108" t="n"/>
      <c r="H25" s="89" t="n"/>
      <c r="I25" s="107" t="n"/>
      <c r="J25" s="108" t="n"/>
      <c r="K25" s="108" t="n"/>
      <c r="L25" s="108" t="n"/>
      <c r="M25" s="89" t="n"/>
      <c r="N25" s="107" t="n"/>
      <c r="O25" s="108" t="n"/>
      <c r="P25" s="108" t="n"/>
      <c r="Q25" s="89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106" t="n"/>
      <c r="D26" s="107" t="n"/>
      <c r="E26" s="108" t="n"/>
      <c r="F26" s="108" t="n"/>
      <c r="G26" s="108" t="n"/>
      <c r="H26" s="89" t="n"/>
      <c r="I26" s="107" t="n"/>
      <c r="J26" s="108" t="n"/>
      <c r="K26" s="108" t="n"/>
      <c r="L26" s="108" t="n"/>
      <c r="M26" s="89" t="n"/>
      <c r="N26" s="107" t="n"/>
      <c r="O26" s="108" t="n"/>
      <c r="P26" s="108" t="n"/>
      <c r="Q26" s="89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106" t="n"/>
      <c r="D27" s="107" t="n"/>
      <c r="E27" s="108" t="n"/>
      <c r="F27" s="108" t="n"/>
      <c r="G27" s="108" t="n"/>
      <c r="H27" s="89" t="n"/>
      <c r="I27" s="107" t="n"/>
      <c r="J27" s="108" t="n"/>
      <c r="K27" s="108" t="n"/>
      <c r="L27" s="108" t="n"/>
      <c r="M27" s="89" t="n"/>
      <c r="N27" s="107" t="n"/>
      <c r="O27" s="108" t="n"/>
      <c r="P27" s="108" t="n"/>
      <c r="Q27" s="89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106" t="n"/>
      <c r="D28" s="107" t="n"/>
      <c r="E28" s="108" t="n"/>
      <c r="F28" s="108" t="n"/>
      <c r="G28" s="108" t="n"/>
      <c r="H28" s="89" t="n"/>
      <c r="I28" s="107" t="n"/>
      <c r="J28" s="108" t="n"/>
      <c r="K28" s="108" t="n"/>
      <c r="L28" s="108" t="n"/>
      <c r="M28" s="89" t="n"/>
      <c r="N28" s="107" t="n"/>
      <c r="O28" s="108" t="n"/>
      <c r="P28" s="108" t="n"/>
      <c r="Q28" s="89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106" t="n"/>
      <c r="D29" s="107" t="n"/>
      <c r="E29" s="108" t="n"/>
      <c r="F29" s="108" t="n"/>
      <c r="G29" s="108" t="n"/>
      <c r="H29" s="89" t="n"/>
      <c r="I29" s="107" t="n"/>
      <c r="J29" s="108" t="n"/>
      <c r="K29" s="108" t="n"/>
      <c r="L29" s="108" t="n"/>
      <c r="M29" s="89" t="n"/>
      <c r="N29" s="107" t="n"/>
      <c r="O29" s="108" t="n"/>
      <c r="P29" s="108" t="n"/>
      <c r="Q29" s="89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106" t="n"/>
      <c r="D30" s="107" t="n"/>
      <c r="E30" s="108" t="n"/>
      <c r="F30" s="108" t="n"/>
      <c r="G30" s="108" t="n"/>
      <c r="H30" s="89" t="n"/>
      <c r="I30" s="107" t="n"/>
      <c r="J30" s="108" t="n"/>
      <c r="K30" s="108" t="n"/>
      <c r="L30" s="108" t="n"/>
      <c r="M30" s="89" t="n"/>
      <c r="N30" s="107" t="n"/>
      <c r="O30" s="108" t="n"/>
      <c r="P30" s="108" t="n"/>
      <c r="Q30" s="89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106" t="n"/>
      <c r="D31" s="107" t="n"/>
      <c r="E31" s="108" t="n"/>
      <c r="F31" s="108" t="n"/>
      <c r="G31" s="108" t="n"/>
      <c r="H31" s="89" t="n"/>
      <c r="I31" s="107" t="n"/>
      <c r="J31" s="108" t="n"/>
      <c r="K31" s="108" t="n"/>
      <c r="L31" s="108" t="n"/>
      <c r="M31" s="89" t="n"/>
      <c r="N31" s="107" t="n"/>
      <c r="O31" s="108" t="n"/>
      <c r="P31" s="108" t="n"/>
      <c r="Q31" s="89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9" t="n"/>
      <c r="D32" s="107" t="n"/>
      <c r="E32" s="108" t="n"/>
      <c r="F32" s="108" t="n"/>
      <c r="G32" s="108" t="n"/>
      <c r="H32" s="89" t="n"/>
      <c r="I32" s="107" t="n"/>
      <c r="J32" s="108" t="n"/>
      <c r="K32" s="108" t="n"/>
      <c r="L32" s="108" t="n"/>
      <c r="M32" s="89" t="n"/>
      <c r="N32" s="107" t="n"/>
      <c r="O32" s="108" t="n"/>
      <c r="P32" s="108" t="n"/>
      <c r="Q32" s="89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107" t="n"/>
      <c r="E33" s="108" t="n"/>
      <c r="F33" s="108" t="n"/>
      <c r="G33" s="108" t="n"/>
      <c r="H33" s="89" t="n"/>
      <c r="I33" s="107" t="n"/>
      <c r="J33" s="108" t="n"/>
      <c r="K33" s="108" t="n"/>
      <c r="L33" s="108" t="n"/>
      <c r="M33" s="89" t="n"/>
      <c r="N33" s="107" t="n"/>
      <c r="O33" s="108" t="n"/>
      <c r="P33" s="108" t="n"/>
      <c r="Q33" s="89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107" t="n"/>
      <c r="E34" s="108" t="n"/>
      <c r="F34" s="108" t="n"/>
      <c r="G34" s="108" t="n"/>
      <c r="H34" s="89" t="n"/>
      <c r="I34" s="107" t="n"/>
      <c r="J34" s="108" t="n"/>
      <c r="K34" s="108" t="n"/>
      <c r="L34" s="108" t="n"/>
      <c r="M34" s="89" t="n"/>
      <c r="N34" s="107" t="n"/>
      <c r="O34" s="108" t="n"/>
      <c r="P34" s="108" t="n"/>
      <c r="Q34" s="89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10" t="n"/>
      <c r="E35" s="111" t="n"/>
      <c r="F35" s="111" t="n"/>
      <c r="G35" s="111" t="n"/>
      <c r="H35" s="100" t="n"/>
      <c r="I35" s="110" t="n"/>
      <c r="J35" s="111" t="n"/>
      <c r="K35" s="111" t="n"/>
      <c r="L35" s="111" t="n"/>
      <c r="M35" s="100" t="n"/>
      <c r="N35" s="110" t="n"/>
      <c r="O35" s="111" t="n"/>
      <c r="P35" s="111" t="n"/>
      <c r="Q35" s="100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12" t="inlineStr">
        <is>
          <t>PORTEFEUILLE — MARQUE, CAMPUS, PROGRAMME ET MODALITÉ</t>
        </is>
      </c>
      <c r="D36" s="58" t="n"/>
      <c r="E36" s="58" t="n"/>
      <c r="F36" s="58" t="n"/>
      <c r="G36" s="58" t="n"/>
      <c r="H36" s="113" t="inlineStr">
        <is>
          <t>graisse et fond donnent le niveau · échelle de couleur = performance relative</t>
        </is>
      </c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14" t="inlineStr">
        <is>
          <t>Niv.</t>
        </is>
      </c>
      <c r="C37" s="115" t="inlineStr">
        <is>
          <t>Entité</t>
        </is>
      </c>
      <c r="D37" s="115" t="inlineStr">
        <is>
          <t>Programme</t>
        </is>
      </c>
      <c r="E37" s="115" t="inlineStr">
        <is>
          <t>Modalité</t>
        </is>
      </c>
      <c r="F37" s="116" t="inlineStr">
        <is>
          <t>CA</t>
        </is>
      </c>
      <c r="G37" s="116" t="inlineStr">
        <is>
          <t>Δ CA</t>
        </is>
      </c>
      <c r="H37" s="116" t="inlineStr">
        <is>
          <t>EBITDA</t>
        </is>
      </c>
      <c r="I37" s="116" t="inlineStr">
        <is>
          <t>Δ EBITDA</t>
        </is>
      </c>
      <c r="J37" s="116" t="inlineStr">
        <is>
          <t>Part EBITDA</t>
        </is>
      </c>
      <c r="K37" s="116" t="inlineStr">
        <is>
          <t>Marge EBITDA</t>
        </is>
      </c>
      <c r="L37" s="116" t="inlineStr">
        <is>
          <t>Δ Marge (pt)</t>
        </is>
      </c>
      <c r="M37" s="116" t="inlineStr">
        <is>
          <t>Inscrits</t>
        </is>
      </c>
      <c r="N37" s="116" t="inlineStr">
        <is>
          <t>Remplissage</t>
        </is>
      </c>
      <c r="O37" s="116" t="inlineStr">
        <is>
          <t>Mix alternance</t>
        </is>
      </c>
      <c r="P37" s="114" t="inlineStr">
        <is>
          <t>Effectifs</t>
        </is>
      </c>
      <c r="Q37" s="114" t="inlineStr">
        <is>
          <t>Places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17" t="n"/>
      <c r="C38" s="118" t="inlineStr">
        <is>
          <t>EDUSERVICES</t>
        </is>
      </c>
      <c r="D38" s="119" t="n">
        <v>1000</v>
      </c>
      <c r="E38" s="120">
        <f>IFERROR((D38-R38)/R38,"")</f>
        <v/>
      </c>
      <c r="F38" s="121" t="n">
        <v>1000</v>
      </c>
      <c r="G38" s="122">
        <f>IFERROR((F38-Q38)/Q38,"")</f>
        <v/>
      </c>
      <c r="H38" s="121" t="n">
        <v>1000</v>
      </c>
      <c r="I38" s="122">
        <f>IFERROR(F38/D38,"")</f>
        <v/>
      </c>
      <c r="J38" s="123">
        <f>IFERROR((I38-U38)*100,"")</f>
        <v/>
      </c>
      <c r="K38" s="123" t="n">
        <v>1000</v>
      </c>
      <c r="L38" s="124">
        <f>IFERROR(N38/O38,"")</f>
        <v/>
      </c>
      <c r="M38" s="121">
        <f>IFERROR(P38/N38,"")</f>
        <v/>
      </c>
      <c r="N38" s="125" t="n">
        <v>1000</v>
      </c>
      <c r="O38" s="125" t="n">
        <v>1000</v>
      </c>
      <c r="P38" s="121" t="n">
        <v>1000</v>
      </c>
      <c r="Q38" s="121" t="n">
        <v>1000</v>
      </c>
      <c r="R38" s="6" t="n">
        <v>1000</v>
      </c>
      <c r="S38" s="6" t="n">
        <v>1000</v>
      </c>
      <c r="T38" s="6" t="n">
        <v>1000</v>
      </c>
      <c r="U38" s="6">
        <f>IFERROR(Q38/R38,"")</f>
        <v/>
      </c>
      <c r="V38" s="6" t="n">
        <v>1000</v>
      </c>
      <c r="W38" s="6" t="n">
        <v>1000</v>
      </c>
      <c r="X38" s="6" t="n">
        <v>1000</v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26" t="n"/>
      <c r="C39" s="118" t="n"/>
      <c r="D39" s="119" t="n"/>
      <c r="E39" s="120" t="n"/>
      <c r="F39" s="121" t="n"/>
      <c r="G39" s="122" t="n"/>
      <c r="H39" s="121" t="n"/>
      <c r="I39" s="122" t="n"/>
      <c r="J39" s="123" t="n"/>
      <c r="K39" s="123" t="n"/>
      <c r="L39" s="124" t="n"/>
      <c r="M39" s="121" t="n"/>
      <c r="N39" s="123" t="n"/>
      <c r="O39" s="123" t="n"/>
      <c r="P39" s="121" t="n"/>
      <c r="Q39" s="121" t="n"/>
      <c r="R39" s="6" t="n"/>
      <c r="S39" s="6" t="n"/>
      <c r="T39" s="6" t="n"/>
      <c r="U39" s="6" t="n"/>
      <c r="V39" s="6" t="n"/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26" t="n"/>
      <c r="C40" s="118" t="n"/>
      <c r="D40" s="119" t="n"/>
      <c r="E40" s="120" t="n"/>
      <c r="F40" s="121" t="n"/>
      <c r="G40" s="122" t="n"/>
      <c r="H40" s="121" t="n"/>
      <c r="I40" s="122" t="n"/>
      <c r="J40" s="123" t="n"/>
      <c r="K40" s="123" t="n"/>
      <c r="L40" s="124" t="n"/>
      <c r="M40" s="121" t="n"/>
      <c r="N40" s="123" t="n"/>
      <c r="O40" s="123" t="n"/>
      <c r="P40" s="121" t="n"/>
      <c r="Q40" s="121" t="n"/>
      <c r="R40" s="6" t="n"/>
      <c r="S40" s="6" t="n"/>
      <c r="T40" s="6" t="n"/>
      <c r="U40" s="6" t="n"/>
      <c r="V40" s="6" t="n"/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26" t="n"/>
      <c r="C41" s="118" t="n"/>
      <c r="D41" s="119" t="n"/>
      <c r="E41" s="120" t="n"/>
      <c r="F41" s="121" t="n"/>
      <c r="G41" s="122" t="n"/>
      <c r="H41" s="121" t="n"/>
      <c r="I41" s="122" t="n"/>
      <c r="J41" s="123" t="n"/>
      <c r="K41" s="123" t="n"/>
      <c r="L41" s="124" t="n"/>
      <c r="M41" s="121" t="n"/>
      <c r="N41" s="123" t="n"/>
      <c r="O41" s="123" t="n"/>
      <c r="P41" s="121" t="n"/>
      <c r="Q41" s="121" t="n"/>
      <c r="R41" s="6" t="n"/>
      <c r="S41" s="6" t="n"/>
      <c r="T41" s="6" t="n"/>
      <c r="U41" s="6" t="n"/>
      <c r="V41" s="6" t="n"/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26" t="n"/>
      <c r="C42" s="118" t="n"/>
      <c r="D42" s="119" t="n"/>
      <c r="E42" s="120" t="n"/>
      <c r="F42" s="121" t="n"/>
      <c r="G42" s="122" t="n"/>
      <c r="H42" s="121" t="n"/>
      <c r="I42" s="122" t="n"/>
      <c r="J42" s="123" t="n"/>
      <c r="K42" s="123" t="n"/>
      <c r="L42" s="124" t="n"/>
      <c r="M42" s="121" t="n"/>
      <c r="N42" s="123" t="n"/>
      <c r="O42" s="123" t="n"/>
      <c r="P42" s="121" t="n"/>
      <c r="Q42" s="121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26" t="n"/>
      <c r="C43" s="118" t="n"/>
      <c r="D43" s="119" t="n"/>
      <c r="E43" s="120" t="n"/>
      <c r="F43" s="121" t="n"/>
      <c r="G43" s="122" t="n"/>
      <c r="H43" s="121" t="n"/>
      <c r="I43" s="122" t="n"/>
      <c r="J43" s="123" t="n"/>
      <c r="K43" s="123" t="n"/>
      <c r="L43" s="124" t="n"/>
      <c r="M43" s="121" t="n"/>
      <c r="N43" s="123" t="n"/>
      <c r="O43" s="123" t="n"/>
      <c r="P43" s="121" t="n"/>
      <c r="Q43" s="121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26" t="n"/>
      <c r="C44" s="118" t="n"/>
      <c r="D44" s="119" t="n"/>
      <c r="E44" s="120" t="n"/>
      <c r="F44" s="121" t="n"/>
      <c r="G44" s="122" t="n"/>
      <c r="H44" s="121" t="n"/>
      <c r="I44" s="122" t="n"/>
      <c r="J44" s="123" t="n"/>
      <c r="K44" s="123" t="n"/>
      <c r="L44" s="124" t="n"/>
      <c r="M44" s="121" t="n"/>
      <c r="N44" s="123" t="n"/>
      <c r="O44" s="123" t="n"/>
      <c r="P44" s="121" t="n"/>
      <c r="Q44" s="121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26" t="n"/>
      <c r="C45" s="118" t="n"/>
      <c r="D45" s="119" t="n"/>
      <c r="E45" s="120" t="n"/>
      <c r="F45" s="121" t="n"/>
      <c r="G45" s="122" t="n"/>
      <c r="H45" s="121" t="n"/>
      <c r="I45" s="122" t="n"/>
      <c r="J45" s="123" t="n"/>
      <c r="K45" s="123" t="n"/>
      <c r="L45" s="124" t="n"/>
      <c r="M45" s="121" t="n"/>
      <c r="N45" s="123" t="n"/>
      <c r="O45" s="123" t="n"/>
      <c r="P45" s="121" t="n"/>
      <c r="Q45" s="121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26" t="n"/>
      <c r="C46" s="118" t="n"/>
      <c r="D46" s="119" t="n"/>
      <c r="E46" s="120" t="n"/>
      <c r="F46" s="121" t="n"/>
      <c r="G46" s="122" t="n"/>
      <c r="H46" s="121" t="n"/>
      <c r="I46" s="122" t="n"/>
      <c r="J46" s="123" t="n"/>
      <c r="K46" s="123" t="n"/>
      <c r="L46" s="124" t="n"/>
      <c r="M46" s="121" t="n"/>
      <c r="N46" s="123" t="n"/>
      <c r="O46" s="123" t="n"/>
      <c r="P46" s="121" t="n"/>
      <c r="Q46" s="121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26" t="n"/>
      <c r="C47" s="118" t="n"/>
      <c r="D47" s="119" t="n"/>
      <c r="E47" s="120" t="n"/>
      <c r="F47" s="121" t="n"/>
      <c r="G47" s="122" t="n"/>
      <c r="H47" s="121" t="n"/>
      <c r="I47" s="122" t="n"/>
      <c r="J47" s="123" t="n"/>
      <c r="K47" s="123" t="n"/>
      <c r="L47" s="124" t="n"/>
      <c r="M47" s="121" t="n"/>
      <c r="N47" s="123" t="n"/>
      <c r="O47" s="123" t="n"/>
      <c r="P47" s="121" t="n"/>
      <c r="Q47" s="121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26" t="n"/>
      <c r="C48" s="118" t="n"/>
      <c r="D48" s="119" t="n"/>
      <c r="E48" s="120" t="n"/>
      <c r="F48" s="121" t="n"/>
      <c r="G48" s="122" t="n"/>
      <c r="H48" s="121" t="n"/>
      <c r="I48" s="122" t="n"/>
      <c r="J48" s="123" t="n"/>
      <c r="K48" s="123" t="n"/>
      <c r="L48" s="124" t="n"/>
      <c r="M48" s="121" t="n"/>
      <c r="N48" s="123" t="n"/>
      <c r="O48" s="123" t="n"/>
      <c r="P48" s="121" t="n"/>
      <c r="Q48" s="121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26" t="n"/>
      <c r="C49" s="118" t="n"/>
      <c r="D49" s="119" t="n"/>
      <c r="E49" s="120" t="n"/>
      <c r="F49" s="121" t="n"/>
      <c r="G49" s="122" t="n"/>
      <c r="H49" s="121" t="n"/>
      <c r="I49" s="122" t="n"/>
      <c r="J49" s="123" t="n"/>
      <c r="K49" s="123" t="n"/>
      <c r="L49" s="124" t="n"/>
      <c r="M49" s="121" t="n"/>
      <c r="N49" s="123" t="n"/>
      <c r="O49" s="123" t="n"/>
      <c r="P49" s="121" t="n"/>
      <c r="Q49" s="121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26" t="n"/>
      <c r="C50" s="118" t="n"/>
      <c r="D50" s="119" t="n"/>
      <c r="E50" s="120" t="n"/>
      <c r="F50" s="121" t="n"/>
      <c r="G50" s="122" t="n"/>
      <c r="H50" s="121" t="n"/>
      <c r="I50" s="122" t="n"/>
      <c r="J50" s="123" t="n"/>
      <c r="K50" s="123" t="n"/>
      <c r="L50" s="124" t="n"/>
      <c r="M50" s="121" t="n"/>
      <c r="N50" s="123" t="n"/>
      <c r="O50" s="123" t="n"/>
      <c r="P50" s="121" t="n"/>
      <c r="Q50" s="121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26" t="n"/>
      <c r="C51" s="118" t="n"/>
      <c r="D51" s="119" t="n"/>
      <c r="E51" s="120" t="n"/>
      <c r="F51" s="121" t="n"/>
      <c r="G51" s="122" t="n"/>
      <c r="H51" s="121" t="n"/>
      <c r="I51" s="122" t="n"/>
      <c r="J51" s="123" t="n"/>
      <c r="K51" s="123" t="n"/>
      <c r="L51" s="124" t="n"/>
      <c r="M51" s="121" t="n"/>
      <c r="N51" s="123" t="n"/>
      <c r="O51" s="123" t="n"/>
      <c r="P51" s="121" t="n"/>
      <c r="Q51" s="121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26" t="n"/>
      <c r="C52" s="118" t="n"/>
      <c r="D52" s="119" t="n"/>
      <c r="E52" s="120" t="n"/>
      <c r="F52" s="121" t="n"/>
      <c r="G52" s="122" t="n"/>
      <c r="H52" s="121" t="n"/>
      <c r="I52" s="122" t="n"/>
      <c r="J52" s="123" t="n"/>
      <c r="K52" s="123" t="n"/>
      <c r="L52" s="124" t="n"/>
      <c r="M52" s="121" t="n"/>
      <c r="N52" s="123" t="n"/>
      <c r="O52" s="123" t="n"/>
      <c r="P52" s="121" t="n"/>
      <c r="Q52" s="121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26" t="n"/>
      <c r="C53" s="118" t="n"/>
      <c r="D53" s="119" t="n"/>
      <c r="E53" s="120" t="n"/>
      <c r="F53" s="121" t="n"/>
      <c r="G53" s="122" t="n"/>
      <c r="H53" s="121" t="n"/>
      <c r="I53" s="122" t="n"/>
      <c r="J53" s="123" t="n"/>
      <c r="K53" s="123" t="n"/>
      <c r="L53" s="124" t="n"/>
      <c r="M53" s="121" t="n"/>
      <c r="N53" s="123" t="n"/>
      <c r="O53" s="123" t="n"/>
      <c r="P53" s="121" t="n"/>
      <c r="Q53" s="121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26" t="n"/>
      <c r="C54" s="118" t="n"/>
      <c r="D54" s="119" t="n"/>
      <c r="E54" s="120" t="n"/>
      <c r="F54" s="121" t="n"/>
      <c r="G54" s="122" t="n"/>
      <c r="H54" s="121" t="n"/>
      <c r="I54" s="122" t="n"/>
      <c r="J54" s="123" t="n"/>
      <c r="K54" s="123" t="n"/>
      <c r="L54" s="124" t="n"/>
      <c r="M54" s="121" t="n"/>
      <c r="N54" s="123" t="n"/>
      <c r="O54" s="123" t="n"/>
      <c r="P54" s="121" t="n"/>
      <c r="Q54" s="121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26" t="n"/>
      <c r="C55" s="118" t="n"/>
      <c r="D55" s="119" t="n"/>
      <c r="E55" s="120" t="n"/>
      <c r="F55" s="121" t="n"/>
      <c r="G55" s="122" t="n"/>
      <c r="H55" s="121" t="n"/>
      <c r="I55" s="122" t="n"/>
      <c r="J55" s="123" t="n"/>
      <c r="K55" s="123" t="n"/>
      <c r="L55" s="124" t="n"/>
      <c r="M55" s="121" t="n"/>
      <c r="N55" s="123" t="n"/>
      <c r="O55" s="123" t="n"/>
      <c r="P55" s="121" t="n"/>
      <c r="Q55" s="121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26" t="n"/>
      <c r="C56" s="118" t="n"/>
      <c r="D56" s="119" t="n"/>
      <c r="E56" s="120" t="n"/>
      <c r="F56" s="121" t="n"/>
      <c r="G56" s="122" t="n"/>
      <c r="H56" s="121" t="n"/>
      <c r="I56" s="122" t="n"/>
      <c r="J56" s="123" t="n"/>
      <c r="K56" s="123" t="n"/>
      <c r="L56" s="124" t="n"/>
      <c r="M56" s="121" t="n"/>
      <c r="N56" s="123" t="n"/>
      <c r="O56" s="123" t="n"/>
      <c r="P56" s="121" t="n"/>
      <c r="Q56" s="121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26" t="n"/>
      <c r="C57" s="118" t="n"/>
      <c r="D57" s="119" t="n"/>
      <c r="E57" s="120" t="n"/>
      <c r="F57" s="121" t="n"/>
      <c r="G57" s="122" t="n"/>
      <c r="H57" s="121" t="n"/>
      <c r="I57" s="122" t="n"/>
      <c r="J57" s="123" t="n"/>
      <c r="K57" s="123" t="n"/>
      <c r="L57" s="124" t="n"/>
      <c r="M57" s="121" t="n"/>
      <c r="N57" s="123" t="n"/>
      <c r="O57" s="123" t="n"/>
      <c r="P57" s="121" t="n"/>
      <c r="Q57" s="121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 ht="15.5" customHeight="1">
      <c r="A58" s="58" t="n"/>
      <c r="B58" s="127" t="n"/>
      <c r="C58" s="128" t="n"/>
      <c r="D58" s="129" t="n"/>
      <c r="E58" s="129" t="n"/>
      <c r="F58" s="121" t="n"/>
      <c r="G58" s="122" t="n"/>
      <c r="H58" s="121" t="n"/>
      <c r="I58" s="122" t="n"/>
      <c r="J58" s="123" t="n"/>
      <c r="K58" s="123" t="n"/>
      <c r="L58" s="124" t="n"/>
      <c r="M58" s="121" t="n"/>
      <c r="N58" s="123" t="n"/>
      <c r="O58" s="123" t="n"/>
      <c r="P58" s="121" t="n"/>
      <c r="Q58" s="121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 ht="15.5" customHeight="1">
      <c r="A59" s="58" t="n"/>
      <c r="B59" s="127" t="n"/>
      <c r="C59" s="128" t="n"/>
      <c r="D59" s="129" t="n"/>
      <c r="E59" s="129" t="n"/>
      <c r="F59" s="121" t="n"/>
      <c r="G59" s="122" t="n"/>
      <c r="H59" s="121" t="n"/>
      <c r="I59" s="122" t="n"/>
      <c r="J59" s="123" t="n"/>
      <c r="K59" s="123" t="n"/>
      <c r="L59" s="124" t="n"/>
      <c r="M59" s="121" t="n"/>
      <c r="N59" s="123" t="n"/>
      <c r="O59" s="123" t="n"/>
      <c r="P59" s="121" t="n"/>
      <c r="Q59" s="121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 ht="15.5" customHeight="1">
      <c r="A60" s="58" t="n"/>
      <c r="B60" s="127" t="n"/>
      <c r="C60" s="128" t="n"/>
      <c r="D60" s="129" t="n"/>
      <c r="E60" s="129" t="n"/>
      <c r="F60" s="121" t="n"/>
      <c r="G60" s="122" t="n"/>
      <c r="H60" s="121" t="n"/>
      <c r="I60" s="122" t="n"/>
      <c r="J60" s="123" t="n"/>
      <c r="K60" s="123" t="n"/>
      <c r="L60" s="124" t="n"/>
      <c r="M60" s="121" t="n"/>
      <c r="N60" s="123" t="n"/>
      <c r="O60" s="123" t="n"/>
      <c r="P60" s="121" t="n"/>
      <c r="Q60" s="121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 ht="15.5" customHeight="1">
      <c r="A61" s="58" t="n"/>
      <c r="B61" s="127" t="n"/>
      <c r="C61" s="128" t="n"/>
      <c r="D61" s="129" t="n"/>
      <c r="E61" s="129" t="n"/>
      <c r="F61" s="121" t="n"/>
      <c r="G61" s="122" t="n"/>
      <c r="H61" s="121" t="n"/>
      <c r="I61" s="122" t="n"/>
      <c r="J61" s="123" t="n"/>
      <c r="K61" s="123" t="n"/>
      <c r="L61" s="124" t="n"/>
      <c r="M61" s="121" t="n"/>
      <c r="N61" s="123" t="n"/>
      <c r="O61" s="123" t="n"/>
      <c r="P61" s="121" t="n"/>
      <c r="Q61" s="121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 ht="15.5" customHeight="1">
      <c r="A62" s="58" t="n"/>
      <c r="B62" s="127" t="n"/>
      <c r="C62" s="128" t="n"/>
      <c r="D62" s="129" t="n"/>
      <c r="E62" s="129" t="n"/>
      <c r="F62" s="121" t="n"/>
      <c r="G62" s="122" t="n"/>
      <c r="H62" s="121" t="n"/>
      <c r="I62" s="122" t="n"/>
      <c r="J62" s="123" t="n"/>
      <c r="K62" s="123" t="n"/>
      <c r="L62" s="124" t="n"/>
      <c r="M62" s="121" t="n"/>
      <c r="N62" s="123" t="n"/>
      <c r="O62" s="123" t="n"/>
      <c r="P62" s="121" t="n"/>
      <c r="Q62" s="121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 ht="15.5" customHeight="1">
      <c r="A63" s="58" t="n"/>
      <c r="B63" s="127" t="n"/>
      <c r="C63" s="128" t="n"/>
      <c r="D63" s="129" t="n"/>
      <c r="E63" s="129" t="n"/>
      <c r="F63" s="121" t="n"/>
      <c r="G63" s="122" t="n"/>
      <c r="H63" s="121" t="n"/>
      <c r="I63" s="122" t="n"/>
      <c r="J63" s="123" t="n"/>
      <c r="K63" s="123" t="n"/>
      <c r="L63" s="124" t="n"/>
      <c r="M63" s="121" t="n"/>
      <c r="N63" s="123" t="n"/>
      <c r="O63" s="123" t="n"/>
      <c r="P63" s="121" t="n"/>
      <c r="Q63" s="121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 ht="15.5" customHeight="1">
      <c r="A64" s="58" t="n"/>
      <c r="B64" s="127" t="n"/>
      <c r="C64" s="128" t="n"/>
      <c r="D64" s="129" t="n"/>
      <c r="E64" s="129" t="n"/>
      <c r="F64" s="121" t="n"/>
      <c r="G64" s="122" t="n"/>
      <c r="H64" s="121" t="n"/>
      <c r="I64" s="122" t="n"/>
      <c r="J64" s="123" t="n"/>
      <c r="K64" s="123" t="n"/>
      <c r="L64" s="124" t="n"/>
      <c r="M64" s="121" t="n"/>
      <c r="N64" s="123" t="n"/>
      <c r="O64" s="123" t="n"/>
      <c r="P64" s="121" t="n"/>
      <c r="Q64" s="121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 ht="15.5" customHeight="1">
      <c r="A65" s="58" t="n"/>
      <c r="B65" s="127" t="n"/>
      <c r="C65" s="128" t="n"/>
      <c r="D65" s="129" t="n"/>
      <c r="E65" s="129" t="n"/>
      <c r="F65" s="121" t="n"/>
      <c r="G65" s="122" t="n"/>
      <c r="H65" s="121" t="n"/>
      <c r="I65" s="122" t="n"/>
      <c r="J65" s="123" t="n"/>
      <c r="K65" s="123" t="n"/>
      <c r="L65" s="124" t="n"/>
      <c r="M65" s="121" t="n"/>
      <c r="N65" s="123" t="n"/>
      <c r="O65" s="123" t="n"/>
      <c r="P65" s="121" t="n"/>
      <c r="Q65" s="121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 ht="15.5" customHeight="1">
      <c r="A66" s="58" t="n"/>
      <c r="B66" s="127" t="n"/>
      <c r="C66" s="128" t="n"/>
      <c r="D66" s="129" t="n"/>
      <c r="E66" s="129" t="n"/>
      <c r="F66" s="121" t="n"/>
      <c r="G66" s="122" t="n"/>
      <c r="H66" s="121" t="n"/>
      <c r="I66" s="122" t="n"/>
      <c r="J66" s="123" t="n"/>
      <c r="K66" s="123" t="n"/>
      <c r="L66" s="124" t="n"/>
      <c r="M66" s="121" t="n"/>
      <c r="N66" s="123" t="n"/>
      <c r="O66" s="123" t="n"/>
      <c r="P66" s="121" t="n"/>
      <c r="Q66" s="121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 ht="15.5" customHeight="1">
      <c r="A67" s="58" t="n"/>
      <c r="B67" s="127" t="n"/>
      <c r="C67" s="128" t="n"/>
      <c r="D67" s="129" t="n"/>
      <c r="E67" s="129" t="n"/>
      <c r="F67" s="121" t="n"/>
      <c r="G67" s="122" t="n"/>
      <c r="H67" s="121" t="n"/>
      <c r="I67" s="122" t="n"/>
      <c r="J67" s="123" t="n"/>
      <c r="K67" s="123" t="n"/>
      <c r="L67" s="124" t="n"/>
      <c r="M67" s="121" t="n"/>
      <c r="N67" s="123" t="n"/>
      <c r="O67" s="123" t="n"/>
      <c r="P67" s="121" t="n"/>
      <c r="Q67" s="121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 ht="15.5" customHeight="1">
      <c r="A68" s="58" t="n"/>
      <c r="B68" s="127" t="n"/>
      <c r="C68" s="128" t="n"/>
      <c r="D68" s="129" t="n"/>
      <c r="E68" s="129" t="n"/>
      <c r="F68" s="121" t="n"/>
      <c r="G68" s="122" t="n"/>
      <c r="H68" s="121" t="n"/>
      <c r="I68" s="122" t="n"/>
      <c r="J68" s="123" t="n"/>
      <c r="K68" s="123" t="n"/>
      <c r="L68" s="124" t="n"/>
      <c r="M68" s="121" t="n"/>
      <c r="N68" s="123" t="n"/>
      <c r="O68" s="123" t="n"/>
      <c r="P68" s="121" t="n"/>
      <c r="Q68" s="121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 ht="15.5" customHeight="1">
      <c r="A69" s="58" t="n"/>
      <c r="B69" s="127" t="n"/>
      <c r="C69" s="128" t="n"/>
      <c r="D69" s="129" t="n"/>
      <c r="E69" s="129" t="n"/>
      <c r="F69" s="121" t="n"/>
      <c r="G69" s="122" t="n"/>
      <c r="H69" s="121" t="n"/>
      <c r="I69" s="122" t="n"/>
      <c r="J69" s="123" t="n"/>
      <c r="K69" s="123" t="n"/>
      <c r="L69" s="124" t="n"/>
      <c r="M69" s="121" t="n"/>
      <c r="N69" s="123" t="n"/>
      <c r="O69" s="123" t="n"/>
      <c r="P69" s="121" t="n"/>
      <c r="Q69" s="121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 ht="15.5" customHeight="1">
      <c r="A70" s="58" t="n"/>
      <c r="B70" s="127" t="n"/>
      <c r="C70" s="128" t="n"/>
      <c r="D70" s="129" t="n"/>
      <c r="E70" s="129" t="n"/>
      <c r="F70" s="121" t="n"/>
      <c r="G70" s="122" t="n"/>
      <c r="H70" s="121" t="n"/>
      <c r="I70" s="122" t="n"/>
      <c r="J70" s="123" t="n"/>
      <c r="K70" s="123" t="n"/>
      <c r="L70" s="124" t="n"/>
      <c r="M70" s="121" t="n"/>
      <c r="N70" s="123" t="n"/>
      <c r="O70" s="123" t="n"/>
      <c r="P70" s="121" t="n"/>
      <c r="Q70" s="121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 ht="15.5" customHeight="1">
      <c r="A71" s="58" t="n"/>
      <c r="B71" s="127" t="n"/>
      <c r="C71" s="128" t="n"/>
      <c r="D71" s="129" t="n"/>
      <c r="E71" s="129" t="n"/>
      <c r="F71" s="121" t="n"/>
      <c r="G71" s="122" t="n"/>
      <c r="H71" s="121" t="n"/>
      <c r="I71" s="122" t="n"/>
      <c r="J71" s="123" t="n"/>
      <c r="K71" s="123" t="n"/>
      <c r="L71" s="124" t="n"/>
      <c r="M71" s="121" t="n"/>
      <c r="N71" s="123" t="n"/>
      <c r="O71" s="123" t="n"/>
      <c r="P71" s="121" t="n"/>
      <c r="Q71" s="121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 ht="15.5" customHeight="1">
      <c r="A72" s="58" t="n"/>
      <c r="B72" s="127" t="n"/>
      <c r="C72" s="128" t="n"/>
      <c r="D72" s="129" t="n"/>
      <c r="E72" s="129" t="n"/>
      <c r="F72" s="121" t="n"/>
      <c r="G72" s="122" t="n"/>
      <c r="H72" s="121" t="n"/>
      <c r="I72" s="122" t="n"/>
      <c r="J72" s="123" t="n"/>
      <c r="K72" s="123" t="n"/>
      <c r="L72" s="124" t="n"/>
      <c r="M72" s="121" t="n"/>
      <c r="N72" s="123" t="n"/>
      <c r="O72" s="123" t="n"/>
      <c r="P72" s="121" t="n"/>
      <c r="Q72" s="121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 ht="15.5" customHeight="1">
      <c r="A73" s="58" t="n"/>
      <c r="B73" s="127" t="n"/>
      <c r="C73" s="128" t="n"/>
      <c r="D73" s="129" t="n"/>
      <c r="E73" s="129" t="n"/>
      <c r="F73" s="121" t="n"/>
      <c r="G73" s="122" t="n"/>
      <c r="H73" s="121" t="n"/>
      <c r="I73" s="122" t="n"/>
      <c r="J73" s="123" t="n"/>
      <c r="K73" s="123" t="n"/>
      <c r="L73" s="124" t="n"/>
      <c r="M73" s="121" t="n"/>
      <c r="N73" s="123" t="n"/>
      <c r="O73" s="123" t="n"/>
      <c r="P73" s="121" t="n"/>
      <c r="Q73" s="121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 ht="15.5" customHeight="1">
      <c r="A74" s="58" t="n"/>
      <c r="B74" s="127" t="n"/>
      <c r="C74" s="128" t="n"/>
      <c r="D74" s="129" t="n"/>
      <c r="E74" s="129" t="n"/>
      <c r="F74" s="121" t="n"/>
      <c r="G74" s="122" t="n"/>
      <c r="H74" s="121" t="n"/>
      <c r="I74" s="122" t="n"/>
      <c r="J74" s="123" t="n"/>
      <c r="K74" s="123" t="n"/>
      <c r="L74" s="124" t="n"/>
      <c r="M74" s="121" t="n"/>
      <c r="N74" s="123" t="n"/>
      <c r="O74" s="123" t="n"/>
      <c r="P74" s="121" t="n"/>
      <c r="Q74" s="121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 ht="15.5" customHeight="1">
      <c r="A75" s="58" t="n"/>
      <c r="B75" s="127" t="n"/>
      <c r="C75" s="128" t="n"/>
      <c r="D75" s="129" t="n"/>
      <c r="E75" s="129" t="n"/>
      <c r="F75" s="121" t="n"/>
      <c r="G75" s="122" t="n"/>
      <c r="H75" s="121" t="n"/>
      <c r="I75" s="122" t="n"/>
      <c r="J75" s="123" t="n"/>
      <c r="K75" s="123" t="n"/>
      <c r="L75" s="124" t="n"/>
      <c r="M75" s="121" t="n"/>
      <c r="N75" s="123" t="n"/>
      <c r="O75" s="123" t="n"/>
      <c r="P75" s="121" t="n"/>
      <c r="Q75" s="121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 ht="15.5" customHeight="1">
      <c r="A76" s="58" t="n"/>
      <c r="B76" s="127" t="n"/>
      <c r="C76" s="128" t="n"/>
      <c r="D76" s="129" t="n"/>
      <c r="E76" s="129" t="n"/>
      <c r="F76" s="121" t="n"/>
      <c r="G76" s="122" t="n"/>
      <c r="H76" s="121" t="n"/>
      <c r="I76" s="122" t="n"/>
      <c r="J76" s="123" t="n"/>
      <c r="K76" s="123" t="n"/>
      <c r="L76" s="124" t="n"/>
      <c r="M76" s="121" t="n"/>
      <c r="N76" s="123" t="n"/>
      <c r="O76" s="123" t="n"/>
      <c r="P76" s="121" t="n"/>
      <c r="Q76" s="121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 ht="15.5" customHeight="1">
      <c r="A77" s="58" t="n"/>
      <c r="B77" s="127" t="n"/>
      <c r="C77" s="128" t="n"/>
      <c r="D77" s="129" t="n"/>
      <c r="E77" s="129" t="n"/>
      <c r="F77" s="121" t="n"/>
      <c r="G77" s="122" t="n"/>
      <c r="H77" s="121" t="n"/>
      <c r="I77" s="122" t="n"/>
      <c r="J77" s="123" t="n"/>
      <c r="K77" s="123" t="n"/>
      <c r="L77" s="124" t="n"/>
      <c r="M77" s="121" t="n"/>
      <c r="N77" s="123" t="n"/>
      <c r="O77" s="123" t="n"/>
      <c r="P77" s="121" t="n"/>
      <c r="Q77" s="121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 ht="15.5" customHeight="1">
      <c r="A78" s="58" t="n"/>
      <c r="B78" s="127" t="n"/>
      <c r="C78" s="128" t="n"/>
      <c r="D78" s="129" t="n"/>
      <c r="E78" s="129" t="n"/>
      <c r="F78" s="121" t="n"/>
      <c r="G78" s="122" t="n"/>
      <c r="H78" s="121" t="n"/>
      <c r="I78" s="122" t="n"/>
      <c r="J78" s="123" t="n"/>
      <c r="K78" s="123" t="n"/>
      <c r="L78" s="124" t="n"/>
      <c r="M78" s="121" t="n"/>
      <c r="N78" s="123" t="n"/>
      <c r="O78" s="123" t="n"/>
      <c r="P78" s="121" t="n"/>
      <c r="Q78" s="121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 ht="15.5" customHeight="1">
      <c r="A79" s="58" t="n"/>
      <c r="B79" s="127" t="n"/>
      <c r="C79" s="128" t="n"/>
      <c r="D79" s="129" t="n"/>
      <c r="E79" s="129" t="n"/>
      <c r="F79" s="121" t="n"/>
      <c r="G79" s="122" t="n"/>
      <c r="H79" s="121" t="n"/>
      <c r="I79" s="122" t="n"/>
      <c r="J79" s="123" t="n"/>
      <c r="K79" s="123" t="n"/>
      <c r="L79" s="124" t="n"/>
      <c r="M79" s="121" t="n"/>
      <c r="N79" s="123" t="n"/>
      <c r="O79" s="123" t="n"/>
      <c r="P79" s="121" t="n"/>
      <c r="Q79" s="121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 ht="15.5" customHeight="1">
      <c r="A80" s="58" t="n"/>
      <c r="B80" s="127" t="n"/>
      <c r="C80" s="128" t="n"/>
      <c r="D80" s="129" t="n"/>
      <c r="E80" s="129" t="n"/>
      <c r="F80" s="121" t="n"/>
      <c r="G80" s="122" t="n"/>
      <c r="H80" s="121" t="n"/>
      <c r="I80" s="122" t="n"/>
      <c r="J80" s="123" t="n"/>
      <c r="K80" s="123" t="n"/>
      <c r="L80" s="124" t="n"/>
      <c r="M80" s="121" t="n"/>
      <c r="N80" s="123" t="n"/>
      <c r="O80" s="123" t="n"/>
      <c r="P80" s="121" t="n"/>
      <c r="Q80" s="121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 ht="15.5" customHeight="1">
      <c r="A81" s="58" t="n"/>
      <c r="B81" s="127" t="n"/>
      <c r="C81" s="128" t="n"/>
      <c r="D81" s="129" t="n"/>
      <c r="E81" s="129" t="n"/>
      <c r="F81" s="121" t="n"/>
      <c r="G81" s="122" t="n"/>
      <c r="H81" s="121" t="n"/>
      <c r="I81" s="122" t="n"/>
      <c r="J81" s="123" t="n"/>
      <c r="K81" s="123" t="n"/>
      <c r="L81" s="124" t="n"/>
      <c r="M81" s="121" t="n"/>
      <c r="N81" s="123" t="n"/>
      <c r="O81" s="123" t="n"/>
      <c r="P81" s="121" t="n"/>
      <c r="Q81" s="121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 ht="15.5" customHeight="1">
      <c r="A82" s="58" t="n"/>
      <c r="B82" s="127" t="n"/>
      <c r="C82" s="128" t="n"/>
      <c r="D82" s="129" t="n"/>
      <c r="E82" s="129" t="n"/>
      <c r="F82" s="121" t="n"/>
      <c r="G82" s="122" t="n"/>
      <c r="H82" s="121" t="n"/>
      <c r="I82" s="122" t="n"/>
      <c r="J82" s="123" t="n"/>
      <c r="K82" s="123" t="n"/>
      <c r="L82" s="124" t="n"/>
      <c r="M82" s="121" t="n"/>
      <c r="N82" s="123" t="n"/>
      <c r="O82" s="123" t="n"/>
      <c r="P82" s="121" t="n"/>
      <c r="Q82" s="121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 ht="15.5" customHeight="1">
      <c r="A83" s="58" t="n"/>
      <c r="B83" s="127" t="n"/>
      <c r="C83" s="128" t="n"/>
      <c r="D83" s="129" t="n"/>
      <c r="E83" s="129" t="n"/>
      <c r="F83" s="121" t="n"/>
      <c r="G83" s="122" t="n"/>
      <c r="H83" s="121" t="n"/>
      <c r="I83" s="122" t="n"/>
      <c r="J83" s="123" t="n"/>
      <c r="K83" s="123" t="n"/>
      <c r="L83" s="124" t="n"/>
      <c r="M83" s="121" t="n"/>
      <c r="N83" s="123" t="n"/>
      <c r="O83" s="123" t="n"/>
      <c r="P83" s="121" t="n"/>
      <c r="Q83" s="121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 ht="15.5" customHeight="1">
      <c r="A84" s="58" t="n"/>
      <c r="B84" s="127" t="n"/>
      <c r="C84" s="128" t="n"/>
      <c r="D84" s="129" t="n"/>
      <c r="E84" s="129" t="n"/>
      <c r="F84" s="121" t="n"/>
      <c r="G84" s="122" t="n"/>
      <c r="H84" s="121" t="n"/>
      <c r="I84" s="122" t="n"/>
      <c r="J84" s="123" t="n"/>
      <c r="K84" s="123" t="n"/>
      <c r="L84" s="124" t="n"/>
      <c r="M84" s="121" t="n"/>
      <c r="N84" s="123" t="n"/>
      <c r="O84" s="123" t="n"/>
      <c r="P84" s="121" t="n"/>
      <c r="Q84" s="121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 ht="15.5" customHeight="1">
      <c r="A85" s="58" t="n"/>
      <c r="B85" s="127" t="n"/>
      <c r="C85" s="128" t="n"/>
      <c r="D85" s="129" t="n"/>
      <c r="E85" s="129" t="n"/>
      <c r="F85" s="121" t="n"/>
      <c r="G85" s="122" t="n"/>
      <c r="H85" s="121" t="n"/>
      <c r="I85" s="122" t="n"/>
      <c r="J85" s="123" t="n"/>
      <c r="K85" s="123" t="n"/>
      <c r="L85" s="124" t="n"/>
      <c r="M85" s="121" t="n"/>
      <c r="N85" s="123" t="n"/>
      <c r="O85" s="123" t="n"/>
      <c r="P85" s="121" t="n"/>
      <c r="Q85" s="121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 ht="15.5" customHeight="1">
      <c r="A86" s="58" t="n"/>
      <c r="B86" s="127" t="n"/>
      <c r="C86" s="128" t="n"/>
      <c r="D86" s="129" t="n"/>
      <c r="E86" s="129" t="n"/>
      <c r="F86" s="121" t="n"/>
      <c r="G86" s="122" t="n"/>
      <c r="H86" s="121" t="n"/>
      <c r="I86" s="122" t="n"/>
      <c r="J86" s="123" t="n"/>
      <c r="K86" s="123" t="n"/>
      <c r="L86" s="124" t="n"/>
      <c r="M86" s="121" t="n"/>
      <c r="N86" s="123" t="n"/>
      <c r="O86" s="123" t="n"/>
      <c r="P86" s="121" t="n"/>
      <c r="Q86" s="121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 ht="15.5" customHeight="1">
      <c r="A87" s="58" t="n"/>
      <c r="B87" s="127" t="n"/>
      <c r="C87" s="128" t="n"/>
      <c r="D87" s="129" t="n"/>
      <c r="E87" s="129" t="n"/>
      <c r="F87" s="121" t="n"/>
      <c r="G87" s="122" t="n"/>
      <c r="H87" s="121" t="n"/>
      <c r="I87" s="122" t="n"/>
      <c r="J87" s="123" t="n"/>
      <c r="K87" s="123" t="n"/>
      <c r="L87" s="124" t="n"/>
      <c r="M87" s="121" t="n"/>
      <c r="N87" s="123" t="n"/>
      <c r="O87" s="123" t="n"/>
      <c r="P87" s="121" t="n"/>
      <c r="Q87" s="121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 ht="15.5" customHeight="1">
      <c r="A88" s="58" t="n"/>
      <c r="B88" s="127" t="n"/>
      <c r="C88" s="128" t="n"/>
      <c r="D88" s="129" t="n"/>
      <c r="E88" s="129" t="n"/>
      <c r="F88" s="121" t="n"/>
      <c r="G88" s="122" t="n"/>
      <c r="H88" s="121" t="n"/>
      <c r="I88" s="122" t="n"/>
      <c r="J88" s="123" t="n"/>
      <c r="K88" s="123" t="n"/>
      <c r="L88" s="124" t="n"/>
      <c r="M88" s="121" t="n"/>
      <c r="N88" s="123" t="n"/>
      <c r="O88" s="123" t="n"/>
      <c r="P88" s="121" t="n"/>
      <c r="Q88" s="121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 ht="15.5" customHeight="1">
      <c r="A89" s="58" t="n"/>
      <c r="B89" s="127" t="n"/>
      <c r="C89" s="128" t="n"/>
      <c r="D89" s="129" t="n"/>
      <c r="E89" s="129" t="n"/>
      <c r="F89" s="121" t="n"/>
      <c r="G89" s="122" t="n"/>
      <c r="H89" s="121" t="n"/>
      <c r="I89" s="122" t="n"/>
      <c r="J89" s="123" t="n"/>
      <c r="K89" s="123" t="n"/>
      <c r="L89" s="124" t="n"/>
      <c r="M89" s="121" t="n"/>
      <c r="N89" s="123" t="n"/>
      <c r="O89" s="123" t="n"/>
      <c r="P89" s="121" t="n"/>
      <c r="Q89" s="121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 ht="15.5" customHeight="1">
      <c r="A90" s="58" t="n"/>
      <c r="B90" s="127" t="n"/>
      <c r="C90" s="128" t="n"/>
      <c r="D90" s="129" t="n"/>
      <c r="E90" s="129" t="n"/>
      <c r="F90" s="121" t="n"/>
      <c r="G90" s="122" t="n"/>
      <c r="H90" s="121" t="n"/>
      <c r="I90" s="122" t="n"/>
      <c r="J90" s="123" t="n"/>
      <c r="K90" s="123" t="n"/>
      <c r="L90" s="124" t="n"/>
      <c r="M90" s="121" t="n"/>
      <c r="N90" s="123" t="n"/>
      <c r="O90" s="123" t="n"/>
      <c r="P90" s="121" t="n"/>
      <c r="Q90" s="121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27" t="n"/>
      <c r="C91" s="128" t="n"/>
      <c r="D91" s="129" t="n"/>
      <c r="E91" s="129" t="n"/>
      <c r="F91" s="121" t="n"/>
      <c r="G91" s="122" t="n"/>
      <c r="H91" s="121" t="n"/>
      <c r="I91" s="122" t="n"/>
      <c r="J91" s="123" t="n"/>
      <c r="K91" s="123" t="n"/>
      <c r="L91" s="124" t="n"/>
      <c r="M91" s="121" t="n"/>
      <c r="N91" s="123" t="n"/>
      <c r="O91" s="123" t="n"/>
      <c r="P91" s="121" t="n"/>
      <c r="Q91" s="121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27" t="n"/>
      <c r="C92" s="130" t="inlineStr">
        <is>
          <t>Source : V_ALLOCATION et AW_002_000002_000001. Marges et indices divisés après somme, jamais moyennés.</t>
        </is>
      </c>
      <c r="D92" s="129" t="n"/>
      <c r="E92" s="129" t="n"/>
      <c r="F92" s="121" t="n"/>
      <c r="G92" s="122" t="n"/>
      <c r="H92" s="121" t="n"/>
      <c r="I92" s="122" t="n"/>
      <c r="J92" s="123" t="n"/>
      <c r="K92" s="123" t="n"/>
      <c r="L92" s="124" t="n"/>
      <c r="M92" s="121" t="n"/>
      <c r="N92" s="123" t="n"/>
      <c r="O92" s="123" t="n"/>
      <c r="P92" s="121" t="n"/>
      <c r="Q92" s="121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27" t="n"/>
      <c r="C93" s="128" t="n"/>
      <c r="D93" s="129" t="n"/>
      <c r="E93" s="129" t="n"/>
      <c r="F93" s="121" t="n"/>
      <c r="G93" s="122" t="n"/>
      <c r="H93" s="121" t="n"/>
      <c r="I93" s="122" t="n"/>
      <c r="J93" s="123" t="n"/>
      <c r="K93" s="123" t="n"/>
      <c r="L93" s="124" t="n"/>
      <c r="M93" s="121" t="n"/>
      <c r="N93" s="123" t="n"/>
      <c r="O93" s="123" t="n"/>
      <c r="P93" s="121" t="n"/>
      <c r="Q93" s="121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27" t="n"/>
      <c r="C94" s="128" t="n"/>
      <c r="D94" s="129" t="n"/>
      <c r="E94" s="129" t="n"/>
      <c r="F94" s="121" t="n"/>
      <c r="G94" s="122" t="n"/>
      <c r="H94" s="121" t="n"/>
      <c r="I94" s="122" t="n"/>
      <c r="J94" s="123" t="n"/>
      <c r="K94" s="123" t="n"/>
      <c r="L94" s="124" t="n"/>
      <c r="M94" s="121" t="n"/>
      <c r="N94" s="123" t="n"/>
      <c r="O94" s="123" t="n"/>
      <c r="P94" s="121" t="n"/>
      <c r="Q94" s="121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27" t="n"/>
      <c r="C95" s="128" t="n"/>
      <c r="D95" s="129" t="n"/>
      <c r="E95" s="129" t="n"/>
      <c r="F95" s="121" t="n"/>
      <c r="G95" s="122" t="n"/>
      <c r="H95" s="121" t="n"/>
      <c r="I95" s="122" t="n"/>
      <c r="J95" s="123" t="n"/>
      <c r="K95" s="123" t="n"/>
      <c r="L95" s="124" t="n"/>
      <c r="M95" s="121" t="n"/>
      <c r="N95" s="123" t="n"/>
      <c r="O95" s="123" t="n"/>
      <c r="P95" s="121" t="n"/>
      <c r="Q95" s="121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27" t="n"/>
      <c r="C96" s="128" t="n"/>
      <c r="D96" s="129" t="n"/>
      <c r="E96" s="129" t="n"/>
      <c r="F96" s="121" t="n"/>
      <c r="G96" s="122" t="n"/>
      <c r="H96" s="121" t="n"/>
      <c r="I96" s="122" t="n"/>
      <c r="J96" s="123" t="n"/>
      <c r="K96" s="123" t="n"/>
      <c r="L96" s="124" t="n"/>
      <c r="M96" s="121" t="n"/>
      <c r="N96" s="123" t="n"/>
      <c r="O96" s="123" t="n"/>
      <c r="P96" s="121" t="n"/>
      <c r="Q96" s="121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27" t="n"/>
      <c r="C97" s="128" t="n"/>
      <c r="D97" s="129" t="n"/>
      <c r="E97" s="129" t="n"/>
      <c r="F97" s="121" t="n"/>
      <c r="G97" s="122" t="n"/>
      <c r="H97" s="121" t="n"/>
      <c r="I97" s="122" t="n"/>
      <c r="J97" s="123" t="n"/>
      <c r="K97" s="123" t="n"/>
      <c r="L97" s="124" t="n"/>
      <c r="M97" s="121" t="n"/>
      <c r="N97" s="123" t="n"/>
      <c r="O97" s="123" t="n"/>
      <c r="P97" s="121" t="n"/>
      <c r="Q97" s="121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27" t="n"/>
      <c r="C98" s="128" t="n"/>
      <c r="D98" s="129" t="n"/>
      <c r="E98" s="129" t="n"/>
      <c r="F98" s="121" t="n"/>
      <c r="G98" s="122" t="n"/>
      <c r="H98" s="121" t="n"/>
      <c r="I98" s="122" t="n"/>
      <c r="J98" s="123" t="n"/>
      <c r="K98" s="123" t="n"/>
      <c r="L98" s="124" t="n"/>
      <c r="M98" s="121" t="n"/>
      <c r="N98" s="123" t="n"/>
      <c r="O98" s="123" t="n"/>
      <c r="P98" s="121" t="n"/>
      <c r="Q98" s="121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27" t="n"/>
      <c r="C99" s="128" t="n"/>
      <c r="D99" s="129" t="n"/>
      <c r="E99" s="129" t="n"/>
      <c r="F99" s="121" t="n"/>
      <c r="G99" s="122" t="n"/>
      <c r="H99" s="121" t="n"/>
      <c r="I99" s="122" t="n"/>
      <c r="J99" s="123" t="n"/>
      <c r="K99" s="123" t="n"/>
      <c r="L99" s="124" t="n"/>
      <c r="M99" s="121" t="n"/>
      <c r="N99" s="123" t="n"/>
      <c r="O99" s="123" t="n"/>
      <c r="P99" s="121" t="n"/>
      <c r="Q99" s="121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27" t="n"/>
      <c r="C100" s="128" t="n"/>
      <c r="D100" s="129" t="n"/>
      <c r="E100" s="129" t="n"/>
      <c r="F100" s="121" t="n"/>
      <c r="G100" s="122" t="n"/>
      <c r="H100" s="121" t="n"/>
      <c r="I100" s="122" t="n"/>
      <c r="J100" s="123" t="n"/>
      <c r="K100" s="123" t="n"/>
      <c r="L100" s="124" t="n"/>
      <c r="M100" s="121" t="n"/>
      <c r="N100" s="123" t="n"/>
      <c r="O100" s="123" t="n"/>
      <c r="P100" s="121" t="n"/>
      <c r="Q100" s="121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27" t="n"/>
      <c r="C101" s="128" t="n"/>
      <c r="D101" s="129" t="n"/>
      <c r="E101" s="129" t="n"/>
      <c r="F101" s="121" t="n"/>
      <c r="G101" s="122" t="n"/>
      <c r="H101" s="121" t="n"/>
      <c r="I101" s="122" t="n"/>
      <c r="J101" s="123" t="n"/>
      <c r="K101" s="123" t="n"/>
      <c r="L101" s="124" t="n"/>
      <c r="M101" s="121" t="n"/>
      <c r="N101" s="123" t="n"/>
      <c r="O101" s="123" t="n"/>
      <c r="P101" s="121" t="n"/>
      <c r="Q101" s="121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27" t="n"/>
      <c r="C102" s="128" t="n"/>
      <c r="D102" s="129" t="n"/>
      <c r="E102" s="129" t="n"/>
      <c r="F102" s="121" t="n"/>
      <c r="G102" s="122" t="n"/>
      <c r="H102" s="121" t="n"/>
      <c r="I102" s="122" t="n"/>
      <c r="J102" s="123" t="n"/>
      <c r="K102" s="123" t="n"/>
      <c r="L102" s="124" t="n"/>
      <c r="M102" s="121" t="n"/>
      <c r="N102" s="123" t="n"/>
      <c r="O102" s="123" t="n"/>
      <c r="P102" s="121" t="n"/>
      <c r="Q102" s="121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27" t="n"/>
      <c r="C103" s="128" t="n"/>
      <c r="D103" s="129" t="n"/>
      <c r="E103" s="129" t="n"/>
      <c r="F103" s="121" t="n"/>
      <c r="G103" s="122" t="n"/>
      <c r="H103" s="121" t="n"/>
      <c r="I103" s="122" t="n"/>
      <c r="J103" s="123" t="n"/>
      <c r="K103" s="123" t="n"/>
      <c r="L103" s="124" t="n"/>
      <c r="M103" s="121" t="n"/>
      <c r="N103" s="123" t="n"/>
      <c r="O103" s="123" t="n"/>
      <c r="P103" s="121" t="n"/>
      <c r="Q103" s="121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27" t="n"/>
      <c r="C104" s="128" t="n"/>
      <c r="D104" s="129" t="n"/>
      <c r="E104" s="129" t="n"/>
      <c r="F104" s="121" t="n"/>
      <c r="G104" s="122" t="n"/>
      <c r="H104" s="121" t="n"/>
      <c r="I104" s="122" t="n"/>
      <c r="J104" s="123" t="n"/>
      <c r="K104" s="123" t="n"/>
      <c r="L104" s="124" t="n"/>
      <c r="M104" s="121" t="n"/>
      <c r="N104" s="123" t="n"/>
      <c r="O104" s="123" t="n"/>
      <c r="P104" s="121" t="n"/>
      <c r="Q104" s="121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27" t="n"/>
      <c r="C105" s="128" t="n"/>
      <c r="D105" s="129" t="n"/>
      <c r="E105" s="129" t="n"/>
      <c r="F105" s="121" t="n"/>
      <c r="G105" s="122" t="n"/>
      <c r="H105" s="121" t="n"/>
      <c r="I105" s="122" t="n"/>
      <c r="J105" s="123" t="n"/>
      <c r="K105" s="123" t="n"/>
      <c r="L105" s="124" t="n"/>
      <c r="M105" s="121" t="n"/>
      <c r="N105" s="123" t="n"/>
      <c r="O105" s="123" t="n"/>
      <c r="P105" s="121" t="n"/>
      <c r="Q105" s="121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27" t="n"/>
      <c r="C106" s="128" t="n"/>
      <c r="D106" s="129" t="n"/>
      <c r="E106" s="129" t="n"/>
      <c r="F106" s="121" t="n"/>
      <c r="G106" s="122" t="n"/>
      <c r="H106" s="121" t="n"/>
      <c r="I106" s="122" t="n"/>
      <c r="J106" s="123" t="n"/>
      <c r="K106" s="123" t="n"/>
      <c r="L106" s="124" t="n"/>
      <c r="M106" s="121" t="n"/>
      <c r="N106" s="123" t="n"/>
      <c r="O106" s="123" t="n"/>
      <c r="P106" s="121" t="n"/>
      <c r="Q106" s="121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27" t="n"/>
      <c r="C107" s="128" t="n"/>
      <c r="D107" s="129" t="n"/>
      <c r="E107" s="129" t="n"/>
      <c r="F107" s="121" t="n"/>
      <c r="G107" s="122" t="n"/>
      <c r="H107" s="121" t="n"/>
      <c r="I107" s="122" t="n"/>
      <c r="J107" s="123" t="n"/>
      <c r="K107" s="123" t="n"/>
      <c r="L107" s="124" t="n"/>
      <c r="M107" s="121" t="n"/>
      <c r="N107" s="123" t="n"/>
      <c r="O107" s="123" t="n"/>
      <c r="P107" s="121" t="n"/>
      <c r="Q107" s="121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27" t="n"/>
      <c r="C108" s="128" t="n"/>
      <c r="D108" s="129" t="n"/>
      <c r="E108" s="129" t="n"/>
      <c r="F108" s="121" t="n"/>
      <c r="G108" s="122" t="n"/>
      <c r="H108" s="121" t="n"/>
      <c r="I108" s="122" t="n"/>
      <c r="J108" s="123" t="n"/>
      <c r="K108" s="123" t="n"/>
      <c r="L108" s="124" t="n"/>
      <c r="M108" s="121" t="n"/>
      <c r="N108" s="123" t="n"/>
      <c r="O108" s="123" t="n"/>
      <c r="P108" s="121" t="n"/>
      <c r="Q108" s="121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27" t="n"/>
      <c r="C109" s="128" t="n"/>
      <c r="D109" s="129" t="n"/>
      <c r="E109" s="129" t="n"/>
      <c r="F109" s="121" t="n"/>
      <c r="G109" s="122" t="n"/>
      <c r="H109" s="121" t="n"/>
      <c r="I109" s="122" t="n"/>
      <c r="J109" s="123" t="n"/>
      <c r="K109" s="123" t="n"/>
      <c r="L109" s="124" t="n"/>
      <c r="M109" s="121" t="n"/>
      <c r="N109" s="123" t="n"/>
      <c r="O109" s="123" t="n"/>
      <c r="P109" s="121" t="n"/>
      <c r="Q109" s="121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27" t="n"/>
      <c r="C110" s="128" t="n"/>
      <c r="D110" s="129" t="n"/>
      <c r="E110" s="129" t="n"/>
      <c r="F110" s="121" t="n"/>
      <c r="G110" s="122" t="n"/>
      <c r="H110" s="121" t="n"/>
      <c r="I110" s="122" t="n"/>
      <c r="J110" s="123" t="n"/>
      <c r="K110" s="123" t="n"/>
      <c r="L110" s="124" t="n"/>
      <c r="M110" s="121" t="n"/>
      <c r="N110" s="123" t="n"/>
      <c r="O110" s="123" t="n"/>
      <c r="P110" s="121" t="n"/>
      <c r="Q110" s="121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27" t="n"/>
      <c r="C111" s="128" t="n"/>
      <c r="D111" s="129" t="n"/>
      <c r="E111" s="129" t="n"/>
      <c r="F111" s="121" t="n"/>
      <c r="G111" s="122" t="n"/>
      <c r="H111" s="121" t="n"/>
      <c r="I111" s="122" t="n"/>
      <c r="J111" s="123" t="n"/>
      <c r="K111" s="123" t="n"/>
      <c r="L111" s="124" t="n"/>
      <c r="M111" s="121" t="n"/>
      <c r="N111" s="123" t="n"/>
      <c r="O111" s="123" t="n"/>
      <c r="P111" s="121" t="n"/>
      <c r="Q111" s="121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27" t="n"/>
      <c r="C112" s="128" t="n"/>
      <c r="D112" s="129" t="n"/>
      <c r="E112" s="129" t="n"/>
      <c r="F112" s="121" t="n"/>
      <c r="G112" s="122" t="n"/>
      <c r="H112" s="121" t="n"/>
      <c r="I112" s="122" t="n"/>
      <c r="J112" s="123" t="n"/>
      <c r="K112" s="123" t="n"/>
      <c r="L112" s="124" t="n"/>
      <c r="M112" s="121" t="n"/>
      <c r="N112" s="123" t="n"/>
      <c r="O112" s="123" t="n"/>
      <c r="P112" s="121" t="n"/>
      <c r="Q112" s="121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27" t="n"/>
      <c r="C113" s="128" t="n"/>
      <c r="D113" s="129" t="n"/>
      <c r="E113" s="129" t="n"/>
      <c r="F113" s="121" t="n"/>
      <c r="G113" s="122" t="n"/>
      <c r="H113" s="121" t="n"/>
      <c r="I113" s="122" t="n"/>
      <c r="J113" s="123" t="n"/>
      <c r="K113" s="123" t="n"/>
      <c r="L113" s="124" t="n"/>
      <c r="M113" s="121" t="n"/>
      <c r="N113" s="123" t="n"/>
      <c r="O113" s="123" t="n"/>
      <c r="P113" s="121" t="n"/>
      <c r="Q113" s="121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27" t="n"/>
      <c r="C114" s="128" t="n"/>
      <c r="D114" s="129" t="n"/>
      <c r="E114" s="129" t="n"/>
      <c r="F114" s="121" t="n"/>
      <c r="G114" s="122" t="n"/>
      <c r="H114" s="121" t="n"/>
      <c r="I114" s="122" t="n"/>
      <c r="J114" s="123" t="n"/>
      <c r="K114" s="123" t="n"/>
      <c r="L114" s="124" t="n"/>
      <c r="M114" s="121" t="n"/>
      <c r="N114" s="123" t="n"/>
      <c r="O114" s="123" t="n"/>
      <c r="P114" s="121" t="n"/>
      <c r="Q114" s="121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27" t="n"/>
      <c r="C115" s="128" t="n"/>
      <c r="D115" s="129" t="n"/>
      <c r="E115" s="129" t="n"/>
      <c r="F115" s="121" t="n"/>
      <c r="G115" s="122" t="n"/>
      <c r="H115" s="121" t="n"/>
      <c r="I115" s="122" t="n"/>
      <c r="J115" s="123" t="n"/>
      <c r="K115" s="123" t="n"/>
      <c r="L115" s="124" t="n"/>
      <c r="M115" s="121" t="n"/>
      <c r="N115" s="123" t="n"/>
      <c r="O115" s="123" t="n"/>
      <c r="P115" s="121" t="n"/>
      <c r="Q115" s="121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27" t="n"/>
      <c r="C116" s="128" t="n"/>
      <c r="D116" s="129" t="n"/>
      <c r="E116" s="129" t="n"/>
      <c r="F116" s="121" t="n"/>
      <c r="G116" s="122" t="n"/>
      <c r="H116" s="121" t="n"/>
      <c r="I116" s="122" t="n"/>
      <c r="J116" s="123" t="n"/>
      <c r="K116" s="123" t="n"/>
      <c r="L116" s="124" t="n"/>
      <c r="M116" s="121" t="n"/>
      <c r="N116" s="123" t="n"/>
      <c r="O116" s="123" t="n"/>
      <c r="P116" s="121" t="n"/>
      <c r="Q116" s="121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27" t="n"/>
      <c r="C117" s="128" t="n"/>
      <c r="D117" s="129" t="n"/>
      <c r="E117" s="129" t="n"/>
      <c r="F117" s="121" t="n"/>
      <c r="G117" s="122" t="n"/>
      <c r="H117" s="121" t="n"/>
      <c r="I117" s="122" t="n"/>
      <c r="J117" s="123" t="n"/>
      <c r="K117" s="123" t="n"/>
      <c r="L117" s="124" t="n"/>
      <c r="M117" s="121" t="n"/>
      <c r="N117" s="123" t="n"/>
      <c r="O117" s="123" t="n"/>
      <c r="P117" s="121" t="n"/>
      <c r="Q117" s="121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27" t="n"/>
      <c r="C118" s="128" t="n"/>
      <c r="D118" s="129" t="n"/>
      <c r="E118" s="129" t="n"/>
      <c r="F118" s="121" t="n"/>
      <c r="G118" s="122" t="n"/>
      <c r="H118" s="121" t="n"/>
      <c r="I118" s="122" t="n"/>
      <c r="J118" s="123" t="n"/>
      <c r="K118" s="123" t="n"/>
      <c r="L118" s="124" t="n"/>
      <c r="M118" s="121" t="n"/>
      <c r="N118" s="123" t="n"/>
      <c r="O118" s="123" t="n"/>
      <c r="P118" s="121" t="n"/>
      <c r="Q118" s="121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27" t="n"/>
      <c r="C119" s="128" t="n"/>
      <c r="D119" s="129" t="n"/>
      <c r="E119" s="129" t="n"/>
      <c r="F119" s="121" t="n"/>
      <c r="G119" s="122" t="n"/>
      <c r="H119" s="121" t="n"/>
      <c r="I119" s="122" t="n"/>
      <c r="J119" s="123" t="n"/>
      <c r="K119" s="123" t="n"/>
      <c r="L119" s="124" t="n"/>
      <c r="M119" s="121" t="n"/>
      <c r="N119" s="123" t="n"/>
      <c r="O119" s="123" t="n"/>
      <c r="P119" s="121" t="n"/>
      <c r="Q119" s="121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27" t="n"/>
      <c r="C120" s="128" t="n"/>
      <c r="D120" s="129" t="n"/>
      <c r="E120" s="129" t="n"/>
      <c r="F120" s="121" t="n"/>
      <c r="G120" s="122" t="n"/>
      <c r="H120" s="121" t="n"/>
      <c r="I120" s="122" t="n"/>
      <c r="J120" s="123" t="n"/>
      <c r="K120" s="123" t="n"/>
      <c r="L120" s="124" t="n"/>
      <c r="M120" s="121" t="n"/>
      <c r="N120" s="123" t="n"/>
      <c r="O120" s="123" t="n"/>
      <c r="P120" s="121" t="n"/>
      <c r="Q120" s="121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58" t="n"/>
      <c r="Q121" s="58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58" t="n"/>
      <c r="Q122" s="58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58" t="n"/>
      <c r="Q123" s="58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K38:K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N38:N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J38:J120">
    <cfRule type="dataBar" priority="3">
      <dataBar showValue="1">
        <cfvo type="num" val="0"/>
        <cfvo type="num" val="1"/>
        <color rgb="FFB8CFEC"/>
      </dataBar>
    </cfRule>
  </conditionalFormatting>
  <conditionalFormatting sqref="G38:G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I38:I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L38:L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Q120">
    <cfRule type="expression" priority="10" dxfId="21">
      <formula>$B38=2</formula>
    </cfRule>
  </conditionalFormatting>
  <conditionalFormatting sqref="B38:O120">
    <cfRule type="expression" priority="11" dxfId="22">
      <formula>$B38=3</formula>
    </cfRule>
    <cfRule type="expression" priority="12" dxfId="23">
      <formula>$B38=4</formula>
    </cfRule>
  </conditionalFormatting>
  <conditionalFormatting sqref="F9">
    <cfRule type="cellIs" priority="13" operator="lessThan" dxfId="24">
      <formula>1000000</formula>
    </cfRule>
  </conditionalFormatting>
  <conditionalFormatting sqref="H9">
    <cfRule type="cellIs" priority="14" operator="lessThan" dxfId="25">
      <formula>1000000</formula>
    </cfRule>
  </conditionalFormatting>
  <conditionalFormatting sqref="F10">
    <cfRule type="cellIs" priority="15" operator="greaterThan" dxfId="26">
      <formula>0</formula>
    </cfRule>
    <cfRule type="cellIs" priority="16" operator="lessThan" dxfId="27">
      <formula>0</formula>
    </cfRule>
  </conditionalFormatting>
  <conditionalFormatting sqref="H10">
    <cfRule type="cellIs" priority="17" operator="greaterThan" dxfId="26">
      <formula>0</formula>
    </cfRule>
    <cfRule type="cellIs" priority="18" operator="lessThan" dxfId="27">
      <formula>0</formula>
    </cfRule>
  </conditionalFormatting>
  <conditionalFormatting sqref="J10">
    <cfRule type="cellIs" priority="19" operator="greaterThan" dxfId="26">
      <formula>0</formula>
    </cfRule>
    <cfRule type="cellIs" priority="20" operator="lessThan" dxfId="27">
      <formula>0</formula>
    </cfRule>
  </conditionalFormatting>
  <conditionalFormatting sqref="L10">
    <cfRule type="cellIs" priority="21" operator="greaterThan" dxfId="26">
      <formula>0</formula>
    </cfRule>
    <cfRule type="cellIs" priority="22" operator="lessThan" dxfId="27">
      <formula>0</formula>
    </cfRule>
  </conditionalFormatting>
  <conditionalFormatting sqref="N10">
    <cfRule type="cellIs" priority="23" operator="greaterThan" dxfId="27">
      <formula>0</formula>
    </cfRule>
    <cfRule type="cellIs" priority="24" operator="lessThan" dxfId="26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2026-09-07T01:32:00Z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