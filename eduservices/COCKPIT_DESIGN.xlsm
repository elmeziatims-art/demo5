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#,##0.00,"/>
    <numFmt numFmtId="175" formatCode="#,##0,"/>
    <numFmt numFmtId="176" formatCode="mm/dd/yy;@"/>
    <numFmt numFmtId="177" formatCode="&quot;$&quot;#,##0.00"/>
    <numFmt numFmtId="178" formatCode="&quot;▲ &quot;0.0%;&quot;▼ &quot;0.0%;&quot;—&quot;"/>
    <numFmt numFmtId="179" formatCode="&quot;▲ &quot;0.00&quot; pt&quot;;&quot;▼ &quot;0.00&quot; pt&quot;;&quot;—&quot;"/>
    <numFmt numFmtId="180" formatCode="#,##0&quot; places libres&quot;;-#,##0&quot; places libres&quot;;&quot;—&quot;"/>
    <numFmt numFmtId="181" formatCode="&quot;▲ &quot;0.0%;&quot;▼ &quot;0.0%;&quot;&quot;"/>
    <numFmt numFmtId="182" formatCode="&quot;▲ &quot;0.00;&quot;▼ &quot;0.00;&quot;&quot;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>
      <bottom style="thin">
        <color rgb="00E9EDF3"/>
      </bottom>
    </border>
    <border>
      <top style="thin">
        <color rgb="00E9EDF3"/>
      </top>
    </border>
    <border/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4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75" fontId="1" fillId="0" borderId="0"/>
    <xf numFmtId="174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4" fontId="1" fillId="10" borderId="4"/>
    <xf numFmtId="0" fontId="3" fillId="9" borderId="5" applyAlignment="1">
      <alignment horizontal="center" vertical="center" wrapText="1"/>
    </xf>
    <xf numFmtId="176" fontId="1" fillId="0" borderId="0"/>
    <xf numFmtId="9" fontId="1" fillId="11" borderId="0"/>
    <xf numFmtId="174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77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4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4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18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8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9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80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42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31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7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5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22" borderId="35" applyAlignment="1" pivotButton="0" quotePrefix="1" xfId="56">
      <alignment horizontal="center" vertical="center"/>
    </xf>
    <xf numFmtId="3" fontId="45" fillId="22" borderId="35" applyAlignment="1" pivotButton="0" quotePrefix="1" xfId="0">
      <alignment horizontal="left" vertical="center"/>
    </xf>
    <xf numFmtId="3" fontId="45" fillId="22" borderId="35" applyAlignment="1" pivotButton="0" quotePrefix="0" xfId="0">
      <alignment horizontal="right" vertical="center"/>
    </xf>
    <xf numFmtId="181" fontId="45" fillId="22" borderId="35" applyAlignment="1" pivotButton="0" quotePrefix="0" xfId="0">
      <alignment horizontal="right" vertical="center"/>
    </xf>
    <xf numFmtId="165" fontId="45" fillId="22" borderId="35" applyAlignment="1" pivotButton="0" quotePrefix="0" xfId="0">
      <alignment horizontal="right" vertical="center"/>
    </xf>
    <xf numFmtId="182" fontId="45" fillId="22" borderId="35" applyAlignment="1" pivotButton="0" quotePrefix="0" xfId="0">
      <alignment horizontal="right" vertical="center"/>
    </xf>
    <xf numFmtId="3" fontId="45" fillId="22" borderId="35" applyAlignment="1" pivotButton="0" quotePrefix="0" xfId="38">
      <alignment horizontal="right" vertical="center"/>
    </xf>
    <xf numFmtId="0" fontId="44" fillId="22" borderId="35" applyAlignment="1" pivotButton="0" quotePrefix="0" xfId="56">
      <alignment horizontal="center" vertical="center"/>
    </xf>
    <xf numFmtId="0" fontId="42" fillId="16" borderId="0" applyAlignment="1" pivotButton="0" quotePrefix="0" xfId="0">
      <alignment horizontal="lef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9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</dxf>
    <dxf>
      <font>
        <b val="1"/>
        <color rgb="00202733"/>
      </font>
      <fill>
        <patternFill>
          <bgColor rgb="00EAF2FC"/>
        </patternFill>
      </fill>
    </dxf>
    <dxf>
      <font>
        <color rgb="00202733"/>
      </font>
    </dxf>
    <dxf>
      <border>
        <top style="medium">
          <color rgb="00526071"/>
        </top>
      </border>
    </dxf>
    <dxf>
      <numFmt numFmtId="171" formatCode="&quot;  &quot;@"/>
    </dxf>
    <dxf>
      <numFmt numFmtId="172" formatCode="&quot;      &quot;@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'2'!$BH$7:$BH$11</f>
            </strRef>
          </cat>
          <val>
            <numRef>
              <f>'2'!$BI$7:$BI$11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'2'!$BJ$7:$BJ$11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'2'!$BK$7:$BK$11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'2'!$BL$7:$BL$11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5000000"/>
          <min val="3000000"/>
        </scaling>
        <delete val="0"/>
        <axPos val="l"/>
        <majorGridlines/>
        <numFmt formatCode="0.0,,&quot; M€&quot;" sourceLinked="0"/>
        <majorTickMark val="none"/>
        <minorTickMark val="none"/>
        <crossAx val="10"/>
        <majorUnit val="50000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'2'!$BO$7:$BO$11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'2'!$BP$7:$BP$11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'2'!$BQ$7:$BQ$11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'2'!$BT$7:$BT$10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'2'!$BU$7:$BU$10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U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0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  <c r="BH7">
        <f>IF($AC7="","",$AC7)</f>
        <v/>
      </c>
      <c r="BI7">
        <f>IF($AC7="",NA(),$AD7)</f>
        <v/>
      </c>
      <c r="BJ7">
        <f>IF($AC7="",NA(),$AE7)</f>
        <v/>
      </c>
      <c r="BK7">
        <f>IF($AC7="",NA(),$AF7)</f>
        <v/>
      </c>
      <c r="BL7">
        <f>IF($AC7="",NA(),$AG7)</f>
        <v/>
      </c>
      <c r="BN7">
        <f>IF($AK7="","",$AK7)</f>
        <v/>
      </c>
      <c r="BO7">
        <f>IF($AK7="",NA(),$AN7)</f>
        <v/>
      </c>
      <c r="BP7">
        <f>IF($AK7="",NA(),$AQ7)</f>
        <v/>
      </c>
      <c r="BQ7">
        <f>IF($AK7="",NA(),$AT7)</f>
        <v/>
      </c>
      <c r="BS7">
        <f>IF($AZ7="","",$AZ7)</f>
        <v/>
      </c>
      <c r="BT7">
        <f>IF($AZ7="",NA(),$BC7)</f>
        <v/>
      </c>
      <c r="BU7">
        <f>IF($AZ7="",NA(),$BD7)</f>
        <v/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BH8">
        <f>IF($AC8="","",$AC8)</f>
        <v/>
      </c>
      <c r="BI8">
        <f>IF($AC8="",NA(),$AD8)</f>
        <v/>
      </c>
      <c r="BJ8">
        <f>IF($AC8="",NA(),$AE8)</f>
        <v/>
      </c>
      <c r="BK8">
        <f>IF($AC8="",NA(),$AF8)</f>
        <v/>
      </c>
      <c r="BL8">
        <f>IF($AC8="",NA(),$AG8)</f>
        <v/>
      </c>
      <c r="BN8">
        <f>IF($AK8="","",$AK8)</f>
        <v/>
      </c>
      <c r="BO8">
        <f>IF($AK8="",NA(),$AN8)</f>
        <v/>
      </c>
      <c r="BP8">
        <f>IF($AK8="",NA(),$AQ8)</f>
        <v/>
      </c>
      <c r="BQ8">
        <f>IF($AK8="",NA(),$AT8)</f>
        <v/>
      </c>
      <c r="BS8">
        <f>IF($AZ8="","",$AZ8)</f>
        <v/>
      </c>
      <c r="BT8">
        <f>IF($AZ8="",NA(),$BC8)</f>
        <v/>
      </c>
      <c r="BU8">
        <f>IF($AZ8="",NA(),$BD8)</f>
        <v/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BH9">
        <f>IF($AC9="","",$AC9)</f>
        <v/>
      </c>
      <c r="BI9">
        <f>IF($AC9="",NA(),$AD9)</f>
        <v/>
      </c>
      <c r="BJ9">
        <f>IF($AC9="",NA(),$AE9)</f>
        <v/>
      </c>
      <c r="BK9">
        <f>IF($AC9="",NA(),$AF9)</f>
        <v/>
      </c>
      <c r="BL9">
        <f>IF($AC9="",NA(),$AG9)</f>
        <v/>
      </c>
      <c r="BN9">
        <f>IF($AK9="","",$AK9)</f>
        <v/>
      </c>
      <c r="BO9">
        <f>IF($AK9="",NA(),$AN9)</f>
        <v/>
      </c>
      <c r="BP9">
        <f>IF($AK9="",NA(),$AQ9)</f>
        <v/>
      </c>
      <c r="BQ9">
        <f>IF($AK9="",NA(),$AT9)</f>
        <v/>
      </c>
      <c r="BS9">
        <f>IF($AZ9="","",$AZ9)</f>
        <v/>
      </c>
      <c r="BT9">
        <f>IF($AZ9="",NA(),$BC9)</f>
        <v/>
      </c>
      <c r="BU9">
        <f>IF($AZ9="",NA(),$BD9)</f>
        <v/>
      </c>
    </row>
    <row r="10" ht="14" customHeight="1">
      <c r="A10" s="58" t="n"/>
      <c r="B10" s="58" t="n"/>
      <c r="C10" s="83" t="n"/>
      <c r="D10" s="84">
        <f>E38</f>
        <v/>
      </c>
      <c r="E10" s="85" t="n"/>
      <c r="F10" s="84">
        <f>G38</f>
        <v/>
      </c>
      <c r="G10" s="85" t="n"/>
      <c r="H10" s="86">
        <f>J38</f>
        <v/>
      </c>
      <c r="I10" s="87" t="n"/>
      <c r="J10" s="84">
        <f>Y38</f>
        <v/>
      </c>
      <c r="K10" s="85" t="n"/>
      <c r="L10" s="84">
        <f>IFERROR(L9/(T38/W38)-1,"")</f>
        <v/>
      </c>
      <c r="M10" s="85" t="n"/>
      <c r="N10" s="88">
        <f>O38-N38</f>
        <v/>
      </c>
      <c r="O10" s="89" t="n"/>
      <c r="P10" s="26" t="n"/>
      <c r="BH10">
        <f>IF($AC10="","",$AC10)</f>
        <v/>
      </c>
      <c r="BI10">
        <f>IF($AC10="",NA(),$AD10)</f>
        <v/>
      </c>
      <c r="BJ10">
        <f>IF($AC10="",NA(),$AE10)</f>
        <v/>
      </c>
      <c r="BK10">
        <f>IF($AC10="",NA(),$AF10)</f>
        <v/>
      </c>
      <c r="BL10">
        <f>IF($AC10="",NA(),$AG10)</f>
        <v/>
      </c>
      <c r="BN10">
        <f>IF($AK10="","",$AK10)</f>
        <v/>
      </c>
      <c r="BO10">
        <f>IF($AK10="",NA(),$AN10)</f>
        <v/>
      </c>
      <c r="BP10">
        <f>IF($AK10="",NA(),$AQ10)</f>
        <v/>
      </c>
      <c r="BQ10">
        <f>IF($AK10="",NA(),$AT10)</f>
        <v/>
      </c>
      <c r="BS10">
        <f>IF($AZ10="","",$AZ10)</f>
        <v/>
      </c>
      <c r="BT10">
        <f>IF($AZ10="",NA(),$BC10)</f>
        <v/>
      </c>
      <c r="BU10">
        <f>IF($AZ10="",NA(),$BD10)</f>
        <v/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BH11">
        <f>IF($AC11="","",$AC11)</f>
        <v/>
      </c>
      <c r="BI11">
        <f>IF($AC11="",NA(),$AD11)</f>
        <v/>
      </c>
      <c r="BJ11">
        <f>IF($AC11="",NA(),$AE11)</f>
        <v/>
      </c>
      <c r="BK11">
        <f>IF($AC11="",NA(),$AF11)</f>
        <v/>
      </c>
      <c r="BL11">
        <f>IF($AC11="",NA(),$AG11)</f>
        <v/>
      </c>
      <c r="BN11">
        <f>IF($AK11="","",$AK11)</f>
        <v/>
      </c>
      <c r="BO11">
        <f>IF($AK11="",NA(),$AN11)</f>
        <v/>
      </c>
      <c r="BP11">
        <f>IF($AK11="",NA(),$AQ11)</f>
        <v/>
      </c>
      <c r="BQ11">
        <f>IF($AK11="",NA(),$AT11)</f>
        <v/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inlineStr">
        <is>
          <t xml:space="preserve">axe tronqué  </t>
        </is>
      </c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5" t="n"/>
      <c r="L12" s="91" t="inlineStr">
        <is>
          <t xml:space="preserve">  Acquisition — dépenses vs inscrits</t>
        </is>
      </c>
      <c r="M12" s="92" t="n"/>
      <c r="N12" s="92" t="n"/>
      <c r="O12" s="93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12">
        <f>IFERROR((D38-R38)/R38,"")</f>
        <v/>
      </c>
      <c r="F38" s="111" t="n">
        <v>1000</v>
      </c>
      <c r="G38" s="112">
        <f>IFERROR((F38-Q38)/Q38,"")</f>
        <v/>
      </c>
      <c r="H38" s="113" t="n">
        <v>1000</v>
      </c>
      <c r="I38" s="113">
        <f>IFERROR(F38/D38,"")</f>
        <v/>
      </c>
      <c r="J38" s="11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12" t="n"/>
      <c r="F39" s="111" t="n"/>
      <c r="G39" s="112" t="n"/>
      <c r="H39" s="113" t="n"/>
      <c r="I39" s="113" t="n"/>
      <c r="J39" s="11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12" t="n"/>
      <c r="F40" s="111" t="n"/>
      <c r="G40" s="112" t="n"/>
      <c r="H40" s="113" t="n"/>
      <c r="I40" s="113" t="n"/>
      <c r="J40" s="11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12" t="n"/>
      <c r="F41" s="111" t="n"/>
      <c r="G41" s="112" t="n"/>
      <c r="H41" s="113" t="n"/>
      <c r="I41" s="113" t="n"/>
      <c r="J41" s="11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12" t="n"/>
      <c r="F42" s="111" t="n"/>
      <c r="G42" s="112" t="n"/>
      <c r="H42" s="113" t="n"/>
      <c r="I42" s="113" t="n"/>
      <c r="J42" s="11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12" t="n"/>
      <c r="F43" s="111" t="n"/>
      <c r="G43" s="112" t="n"/>
      <c r="H43" s="113" t="n"/>
      <c r="I43" s="113" t="n"/>
      <c r="J43" s="11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12" t="n"/>
      <c r="F44" s="111" t="n"/>
      <c r="G44" s="112" t="n"/>
      <c r="H44" s="113" t="n"/>
      <c r="I44" s="113" t="n"/>
      <c r="J44" s="11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12" t="n"/>
      <c r="F45" s="111" t="n"/>
      <c r="G45" s="112" t="n"/>
      <c r="H45" s="113" t="n"/>
      <c r="I45" s="113" t="n"/>
      <c r="J45" s="11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12" t="n"/>
      <c r="F46" s="111" t="n"/>
      <c r="G46" s="112" t="n"/>
      <c r="H46" s="113" t="n"/>
      <c r="I46" s="113" t="n"/>
      <c r="J46" s="11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12" t="n"/>
      <c r="F47" s="111" t="n"/>
      <c r="G47" s="112" t="n"/>
      <c r="H47" s="113" t="n"/>
      <c r="I47" s="113" t="n"/>
      <c r="J47" s="11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12" t="n"/>
      <c r="F48" s="111" t="n"/>
      <c r="G48" s="112" t="n"/>
      <c r="H48" s="113" t="n"/>
      <c r="I48" s="113" t="n"/>
      <c r="J48" s="11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12" t="n"/>
      <c r="F49" s="111" t="n"/>
      <c r="G49" s="112" t="n"/>
      <c r="H49" s="113" t="n"/>
      <c r="I49" s="113" t="n"/>
      <c r="J49" s="11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12" t="n"/>
      <c r="F50" s="111" t="n"/>
      <c r="G50" s="112" t="n"/>
      <c r="H50" s="113" t="n"/>
      <c r="I50" s="113" t="n"/>
      <c r="J50" s="11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12" t="n"/>
      <c r="F51" s="111" t="n"/>
      <c r="G51" s="112" t="n"/>
      <c r="H51" s="113" t="n"/>
      <c r="I51" s="113" t="n"/>
      <c r="J51" s="11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12" t="n"/>
      <c r="F52" s="111" t="n"/>
      <c r="G52" s="112" t="n"/>
      <c r="H52" s="113" t="n"/>
      <c r="I52" s="113" t="n"/>
      <c r="J52" s="11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12" t="n"/>
      <c r="F53" s="111" t="n"/>
      <c r="G53" s="112" t="n"/>
      <c r="H53" s="113" t="n"/>
      <c r="I53" s="113" t="n"/>
      <c r="J53" s="11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12" t="n"/>
      <c r="F54" s="111" t="n"/>
      <c r="G54" s="112" t="n"/>
      <c r="H54" s="113" t="n"/>
      <c r="I54" s="113" t="n"/>
      <c r="J54" s="11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12" t="n"/>
      <c r="F55" s="111" t="n"/>
      <c r="G55" s="112" t="n"/>
      <c r="H55" s="113" t="n"/>
      <c r="I55" s="113" t="n"/>
      <c r="J55" s="11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12" t="n"/>
      <c r="F56" s="111" t="n"/>
      <c r="G56" s="112" t="n"/>
      <c r="H56" s="113" t="n"/>
      <c r="I56" s="113" t="n"/>
      <c r="J56" s="11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12" t="n"/>
      <c r="F57" s="111" t="n"/>
      <c r="G57" s="112" t="n"/>
      <c r="H57" s="113" t="n"/>
      <c r="I57" s="113" t="n"/>
      <c r="J57" s="11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6" t="n"/>
      <c r="B58" s="6" t="n"/>
      <c r="C58" s="6" t="n"/>
      <c r="D58" s="6" t="n"/>
      <c r="E58" s="6" t="n"/>
      <c r="F58" s="6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6" t="n"/>
      <c r="B59" s="6" t="n"/>
      <c r="C59" s="117" t="inlineStr">
        <is>
          <t>Source : V_ALLOCATION et AW_002_000002_000001. Marges et indices divisés après somme, jamais moyennés.</t>
        </is>
      </c>
      <c r="D59" s="6" t="n"/>
      <c r="E59" s="6" t="n"/>
      <c r="F59" s="6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6" t="n"/>
      <c r="B60" s="6" t="n"/>
      <c r="C60" s="6" t="n"/>
      <c r="D60" s="6" t="n"/>
      <c r="E60" s="6" t="n"/>
      <c r="F60" s="6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6" t="n"/>
      <c r="B61" s="6" t="n"/>
      <c r="C61" s="6" t="n"/>
      <c r="D61" s="6" t="n"/>
      <c r="E61" s="6" t="n"/>
      <c r="F61" s="6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6" t="n"/>
      <c r="B62" s="6" t="n"/>
      <c r="C62" s="6" t="n"/>
      <c r="D62" s="6" t="n"/>
      <c r="E62" s="6" t="n"/>
      <c r="F62" s="6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6" t="n"/>
      <c r="B63" s="6" t="n"/>
      <c r="C63" s="6" t="n"/>
      <c r="D63" s="6" t="n"/>
      <c r="E63" s="6" t="n"/>
      <c r="F63" s="6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6" t="n"/>
      <c r="B64" s="6" t="n"/>
      <c r="C64" s="6" t="n"/>
      <c r="D64" s="6" t="n"/>
      <c r="E64" s="6" t="n"/>
      <c r="F64" s="6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6" t="n"/>
      <c r="B65" s="6" t="n"/>
      <c r="C65" s="6" t="n"/>
      <c r="D65" s="6" t="n"/>
      <c r="E65" s="6" t="n"/>
      <c r="F65" s="6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6" t="n"/>
      <c r="B66" s="6" t="n"/>
      <c r="C66" s="6" t="n"/>
      <c r="D66" s="6" t="n"/>
      <c r="E66" s="6" t="n"/>
      <c r="F66" s="6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6" t="n"/>
      <c r="B67" s="6" t="n"/>
      <c r="C67" s="6" t="n"/>
      <c r="D67" s="6" t="n"/>
      <c r="E67" s="6" t="n"/>
      <c r="F67" s="6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6" t="n"/>
      <c r="B68" s="6" t="n"/>
      <c r="C68" s="6" t="n"/>
      <c r="D68" s="6" t="n"/>
      <c r="E68" s="6" t="n"/>
      <c r="F68" s="6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6" t="n"/>
      <c r="B69" s="6" t="n"/>
      <c r="C69" s="6" t="n"/>
      <c r="D69" s="6" t="n"/>
      <c r="E69" s="6" t="n"/>
      <c r="F69" s="6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6" t="n"/>
      <c r="B70" s="6" t="n"/>
      <c r="C70" s="6" t="n"/>
      <c r="D70" s="6" t="n"/>
      <c r="E70" s="6" t="n"/>
      <c r="F70" s="6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6" t="n"/>
      <c r="B71" s="6" t="n"/>
      <c r="C71" s="6" t="n"/>
      <c r="D71" s="6" t="n"/>
      <c r="E71" s="6" t="n"/>
      <c r="F71" s="6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6" t="n"/>
      <c r="B72" s="6" t="n"/>
      <c r="C72" s="6" t="n"/>
      <c r="D72" s="6" t="n"/>
      <c r="E72" s="6" t="n"/>
      <c r="F72" s="6" t="n"/>
      <c r="G72" s="6" t="n"/>
      <c r="H72" s="6" t="n"/>
      <c r="I72" s="6" t="n"/>
      <c r="J72" s="6" t="n"/>
      <c r="K72" s="6" t="n"/>
      <c r="L72" s="6" t="n"/>
      <c r="M72" s="6" t="n"/>
      <c r="N72" s="6" t="n"/>
      <c r="O72" s="6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6" t="n"/>
      <c r="B73" s="6" t="n"/>
      <c r="C73" s="6" t="n"/>
      <c r="D73" s="6" t="n"/>
      <c r="E73" s="6" t="n"/>
      <c r="F73" s="6" t="n"/>
      <c r="G73" s="6" t="n"/>
      <c r="H73" s="6" t="n"/>
      <c r="I73" s="6" t="n"/>
      <c r="J73" s="6" t="n"/>
      <c r="K73" s="6" t="n"/>
      <c r="L73" s="6" t="n"/>
      <c r="M73" s="6" t="n"/>
      <c r="N73" s="6" t="n"/>
      <c r="O73" s="6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6" t="n"/>
      <c r="B74" s="6" t="n"/>
      <c r="C74" s="6" t="n"/>
      <c r="D74" s="6" t="n"/>
      <c r="E74" s="6" t="n"/>
      <c r="F74" s="6" t="n"/>
      <c r="G74" s="6" t="n"/>
      <c r="H74" s="6" t="n"/>
      <c r="I74" s="6" t="n"/>
      <c r="J74" s="6" t="n"/>
      <c r="K74" s="6" t="n"/>
      <c r="L74" s="6" t="n"/>
      <c r="M74" s="6" t="n"/>
      <c r="N74" s="6" t="n"/>
      <c r="O74" s="6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6" t="n"/>
      <c r="B75" s="6" t="n"/>
      <c r="C75" s="6" t="n"/>
      <c r="D75" s="6" t="n"/>
      <c r="E75" s="6" t="n"/>
      <c r="F75" s="6" t="n"/>
      <c r="G75" s="6" t="n"/>
      <c r="H75" s="6" t="n"/>
      <c r="I75" s="6" t="n"/>
      <c r="J75" s="6" t="n"/>
      <c r="K75" s="6" t="n"/>
      <c r="L75" s="6" t="n"/>
      <c r="M75" s="6" t="n"/>
      <c r="N75" s="6" t="n"/>
      <c r="O75" s="6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6" t="n"/>
      <c r="B76" s="6" t="n"/>
      <c r="C76" s="6" t="n"/>
      <c r="D76" s="6" t="n"/>
      <c r="E76" s="6" t="n"/>
      <c r="F76" s="6" t="n"/>
      <c r="G76" s="6" t="n"/>
      <c r="H76" s="6" t="n"/>
      <c r="I76" s="6" t="n"/>
      <c r="J76" s="6" t="n"/>
      <c r="K76" s="6" t="n"/>
      <c r="L76" s="6" t="n"/>
      <c r="M76" s="6" t="n"/>
      <c r="N76" s="6" t="n"/>
      <c r="O76" s="6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6" t="n"/>
      <c r="B77" s="6" t="n"/>
      <c r="C77" s="6" t="n"/>
      <c r="D77" s="6" t="n"/>
      <c r="E77" s="6" t="n"/>
      <c r="F77" s="6" t="n"/>
      <c r="G77" s="6" t="n"/>
      <c r="H77" s="6" t="n"/>
      <c r="I77" s="6" t="n"/>
      <c r="J77" s="6" t="n"/>
      <c r="K77" s="6" t="n"/>
      <c r="L77" s="6" t="n"/>
      <c r="M77" s="6" t="n"/>
      <c r="N77" s="6" t="n"/>
      <c r="O77" s="6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6" t="n"/>
      <c r="B78" s="6" t="n"/>
      <c r="C78" s="6" t="n"/>
      <c r="D78" s="6" t="n"/>
      <c r="E78" s="6" t="n"/>
      <c r="F78" s="6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6" t="n"/>
      <c r="B79" s="6" t="n"/>
      <c r="C79" s="6" t="n"/>
      <c r="D79" s="6" t="n"/>
      <c r="E79" s="6" t="n"/>
      <c r="F79" s="6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6" t="n"/>
      <c r="B80" s="6" t="n"/>
      <c r="C80" s="6" t="n"/>
      <c r="D80" s="6" t="n"/>
      <c r="E80" s="6" t="n"/>
      <c r="F80" s="6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6" t="n"/>
      <c r="B81" s="6" t="n"/>
      <c r="C81" s="6" t="n"/>
      <c r="D81" s="6" t="n"/>
      <c r="E81" s="6" t="n"/>
      <c r="F81" s="6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6" t="n"/>
      <c r="B82" s="6" t="n"/>
      <c r="C82" s="6" t="n"/>
      <c r="D82" s="6" t="n"/>
      <c r="E82" s="6" t="n"/>
      <c r="F82" s="6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6" t="n"/>
      <c r="B83" s="6" t="n"/>
      <c r="C83" s="6" t="n"/>
      <c r="D83" s="6" t="n"/>
      <c r="E83" s="6" t="n"/>
      <c r="F83" s="6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6" t="n"/>
      <c r="B84" s="6" t="n"/>
      <c r="C84" s="6" t="n"/>
      <c r="D84" s="6" t="n"/>
      <c r="E84" s="6" t="n"/>
      <c r="F84" s="6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6" t="n"/>
      <c r="B85" s="6" t="n"/>
      <c r="C85" s="6" t="n"/>
      <c r="D85" s="6" t="n"/>
      <c r="E85" s="6" t="n"/>
      <c r="F85" s="6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6" t="n"/>
      <c r="B86" s="6" t="n"/>
      <c r="C86" s="6" t="n"/>
      <c r="D86" s="6" t="n"/>
      <c r="E86" s="6" t="n"/>
      <c r="F86" s="6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6" t="n"/>
      <c r="B87" s="6" t="n"/>
      <c r="C87" s="6" t="n"/>
      <c r="D87" s="6" t="n"/>
      <c r="E87" s="6" t="n"/>
      <c r="F87" s="6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6" t="n"/>
      <c r="B88" s="6" t="n"/>
      <c r="C88" s="6" t="n"/>
      <c r="D88" s="6" t="n"/>
      <c r="E88" s="6" t="n"/>
      <c r="F88" s="6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6" t="n"/>
      <c r="B89" s="6" t="n"/>
      <c r="C89" s="6" t="n"/>
      <c r="D89" s="6" t="n"/>
      <c r="E89" s="6" t="n"/>
      <c r="F89" s="6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6" t="n"/>
      <c r="B90" s="6" t="n"/>
      <c r="C90" s="6" t="n"/>
      <c r="D90" s="6" t="n"/>
      <c r="E90" s="6" t="n"/>
      <c r="F90" s="6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6" t="n"/>
      <c r="B91" s="6" t="n"/>
      <c r="C91" s="6" t="n"/>
      <c r="D91" s="6" t="n"/>
      <c r="E91" s="6" t="n"/>
      <c r="F91" s="6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6" t="n"/>
      <c r="B92" s="6" t="n"/>
      <c r="C92" s="6" t="n"/>
      <c r="D92" s="6" t="n"/>
      <c r="E92" s="6" t="n"/>
      <c r="F92" s="6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6" t="n"/>
      <c r="B93" s="6" t="n"/>
      <c r="C93" s="6" t="n"/>
      <c r="D93" s="6" t="n"/>
      <c r="E93" s="6" t="n"/>
      <c r="F93" s="6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6" t="n"/>
      <c r="B94" s="6" t="n"/>
      <c r="C94" s="6" t="n"/>
      <c r="D94" s="6" t="n"/>
      <c r="E94" s="6" t="n"/>
      <c r="F94" s="6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6" t="n"/>
      <c r="B95" s="6" t="n"/>
      <c r="C95" s="6" t="n"/>
      <c r="D95" s="6" t="n"/>
      <c r="E95" s="6" t="n"/>
      <c r="F95" s="6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6" t="n"/>
      <c r="B96" s="6" t="n"/>
      <c r="C96" s="6" t="n"/>
      <c r="D96" s="6" t="n"/>
      <c r="E96" s="6" t="n"/>
      <c r="F96" s="6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6" t="n"/>
      <c r="B97" s="6" t="n"/>
      <c r="C97" s="6" t="n"/>
      <c r="D97" s="6" t="n"/>
      <c r="E97" s="6" t="n"/>
      <c r="F97" s="6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6" t="n"/>
      <c r="B98" s="6" t="n"/>
      <c r="C98" s="6" t="n"/>
      <c r="D98" s="6" t="n"/>
      <c r="E98" s="6" t="n"/>
      <c r="F98" s="6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6" t="n"/>
      <c r="B99" s="6" t="n"/>
      <c r="C99" s="6" t="n"/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6" t="n"/>
      <c r="B100" s="6" t="n"/>
      <c r="C100" s="6" t="n"/>
      <c r="D100" s="6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6" t="n"/>
      <c r="B101" s="6" t="n"/>
      <c r="C101" s="6" t="n"/>
      <c r="D101" s="6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6" t="n"/>
      <c r="B102" s="6" t="n"/>
      <c r="C102" s="6" t="n"/>
      <c r="D102" s="6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6" t="n"/>
      <c r="B103" s="6" t="n"/>
      <c r="C103" s="6" t="n"/>
      <c r="D103" s="6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6" t="n"/>
      <c r="B104" s="6" t="n"/>
      <c r="C104" s="6" t="n"/>
      <c r="D104" s="6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6" t="n"/>
      <c r="B105" s="6" t="n"/>
      <c r="C105" s="6" t="n"/>
      <c r="D105" s="6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6" t="n"/>
      <c r="B106" s="6" t="n"/>
      <c r="C106" s="6" t="n"/>
      <c r="D106" s="6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6" t="n"/>
      <c r="B107" s="6" t="n"/>
      <c r="C107" s="6" t="n"/>
      <c r="D107" s="6" t="n"/>
      <c r="E107" s="6" t="n"/>
      <c r="F107" s="6" t="n"/>
      <c r="G107" s="6" t="n"/>
      <c r="H107" s="6" t="n"/>
      <c r="I107" s="6" t="n"/>
      <c r="J107" s="6" t="n"/>
      <c r="K107" s="6" t="n"/>
      <c r="L107" s="6" t="n"/>
      <c r="M107" s="6" t="n"/>
      <c r="N107" s="6" t="n"/>
      <c r="O107" s="6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6" t="n"/>
      <c r="B108" s="6" t="n"/>
      <c r="C108" s="6" t="n"/>
      <c r="D108" s="6" t="n"/>
      <c r="E108" s="6" t="n"/>
      <c r="F108" s="6" t="n"/>
      <c r="G108" s="6" t="n"/>
      <c r="H108" s="6" t="n"/>
      <c r="I108" s="6" t="n"/>
      <c r="J108" s="6" t="n"/>
      <c r="K108" s="6" t="n"/>
      <c r="L108" s="6" t="n"/>
      <c r="M108" s="6" t="n"/>
      <c r="N108" s="6" t="n"/>
      <c r="O108" s="6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6" t="n"/>
      <c r="B109" s="6" t="n"/>
      <c r="C109" s="6" t="n"/>
      <c r="D109" s="6" t="n"/>
      <c r="E109" s="6" t="n"/>
      <c r="F109" s="6" t="n"/>
      <c r="G109" s="6" t="n"/>
      <c r="H109" s="6" t="n"/>
      <c r="I109" s="6" t="n"/>
      <c r="J109" s="6" t="n"/>
      <c r="K109" s="6" t="n"/>
      <c r="L109" s="6" t="n"/>
      <c r="M109" s="6" t="n"/>
      <c r="N109" s="6" t="n"/>
      <c r="O109" s="6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6" t="n"/>
      <c r="B110" s="6" t="n"/>
      <c r="C110" s="6" t="n"/>
      <c r="D110" s="6" t="n"/>
      <c r="E110" s="6" t="n"/>
      <c r="F110" s="6" t="n"/>
      <c r="G110" s="6" t="n"/>
      <c r="H110" s="6" t="n"/>
      <c r="I110" s="6" t="n"/>
      <c r="J110" s="6" t="n"/>
      <c r="K110" s="6" t="n"/>
      <c r="L110" s="6" t="n"/>
      <c r="M110" s="6" t="n"/>
      <c r="N110" s="6" t="n"/>
      <c r="O110" s="6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6" t="n"/>
      <c r="B111" s="6" t="n"/>
      <c r="C111" s="6" t="n"/>
      <c r="D111" s="6" t="n"/>
      <c r="E111" s="6" t="n"/>
      <c r="F111" s="6" t="n"/>
      <c r="G111" s="6" t="n"/>
      <c r="H111" s="6" t="n"/>
      <c r="I111" s="6" t="n"/>
      <c r="J111" s="6" t="n"/>
      <c r="K111" s="6" t="n"/>
      <c r="L111" s="6" t="n"/>
      <c r="M111" s="6" t="n"/>
      <c r="N111" s="6" t="n"/>
      <c r="O111" s="6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6" t="n"/>
      <c r="B112" s="6" t="n"/>
      <c r="C112" s="6" t="n"/>
      <c r="D112" s="6" t="n"/>
      <c r="E112" s="6" t="n"/>
      <c r="F112" s="6" t="n"/>
      <c r="G112" s="6" t="n"/>
      <c r="H112" s="6" t="n"/>
      <c r="I112" s="6" t="n"/>
      <c r="J112" s="6" t="n"/>
      <c r="K112" s="6" t="n"/>
      <c r="L112" s="6" t="n"/>
      <c r="M112" s="6" t="n"/>
      <c r="N112" s="6" t="n"/>
      <c r="O112" s="6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6" t="n"/>
      <c r="B113" s="6" t="n"/>
      <c r="C113" s="6" t="n"/>
      <c r="D113" s="6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6" t="n"/>
      <c r="B114" s="6" t="n"/>
      <c r="C114" s="6" t="n"/>
      <c r="D114" s="6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6" t="n"/>
      <c r="B115" s="6" t="n"/>
      <c r="C115" s="6" t="n"/>
      <c r="D115" s="6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6" t="n"/>
      <c r="B116" s="6" t="n"/>
      <c r="C116" s="6" t="n"/>
      <c r="D116" s="6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6" t="n"/>
      <c r="B117" s="6" t="n"/>
      <c r="C117" s="6" t="n"/>
      <c r="D117" s="6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6" t="n"/>
      <c r="B118" s="6" t="n"/>
      <c r="C118" s="6" t="n"/>
      <c r="D118" s="6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6" t="n"/>
      <c r="B119" s="6" t="n"/>
      <c r="C119" s="6" t="n"/>
      <c r="D119" s="6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6" t="n"/>
      <c r="B120" s="6" t="n"/>
      <c r="C120" s="6" t="n"/>
      <c r="D120" s="6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6" t="n"/>
      <c r="B121" s="6" t="n"/>
      <c r="C121" s="6" t="n"/>
      <c r="D121" s="6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6" t="n"/>
      <c r="B122" s="6" t="n"/>
      <c r="C122" s="6" t="n"/>
      <c r="D122" s="6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6" t="n"/>
      <c r="B123" s="6" t="n"/>
      <c r="C123" s="6" t="n"/>
      <c r="D123" s="6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0.3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  <cfRule type="expression" priority="13" dxfId="24">
      <formula>$B38=2</formula>
    </cfRule>
  </conditionalFormatting>
  <conditionalFormatting sqref="C38:C120">
    <cfRule type="expression" priority="14" dxfId="25">
      <formula>$B38=3</formula>
    </cfRule>
    <cfRule type="expression" priority="15" dxfId="26">
      <formula>$B38=4</formula>
    </cfRule>
  </conditionalFormatting>
  <conditionalFormatting sqref="D10">
    <cfRule type="cellIs" priority="16" operator="greaterThan" dxfId="27">
      <formula>0</formula>
    </cfRule>
    <cfRule type="cellIs" priority="17" operator="lessThan" dxfId="28">
      <formula>0</formula>
    </cfRule>
  </conditionalFormatting>
  <conditionalFormatting sqref="F10">
    <cfRule type="cellIs" priority="18" operator="greaterThan" dxfId="27">
      <formula>0</formula>
    </cfRule>
    <cfRule type="cellIs" priority="19" operator="lessThan" dxfId="28">
      <formula>0</formula>
    </cfRule>
  </conditionalFormatting>
  <conditionalFormatting sqref="H10">
    <cfRule type="cellIs" priority="20" operator="greaterThan" dxfId="27">
      <formula>0</formula>
    </cfRule>
    <cfRule type="cellIs" priority="21" operator="lessThan" dxfId="28">
      <formula>0</formula>
    </cfRule>
  </conditionalFormatting>
  <conditionalFormatting sqref="J10">
    <cfRule type="cellIs" priority="22" operator="greaterThan" dxfId="27">
      <formula>0</formula>
    </cfRule>
    <cfRule type="cellIs" priority="23" operator="lessThan" dxfId="28">
      <formula>0</formula>
    </cfRule>
  </conditionalFormatting>
  <conditionalFormatting sqref="L10">
    <cfRule type="cellIs" priority="24" operator="greaterThan" dxfId="28">
      <formula>0</formula>
    </cfRule>
    <cfRule type="cellIs" priority="25" operator="lessThan" dxfId="27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2026-09-06T02:20:47Z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