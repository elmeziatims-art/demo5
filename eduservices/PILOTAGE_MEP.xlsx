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lot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 €&quot;;\-#,##0&quot; €&quot;;&quot;–&quot;"/>
    <numFmt numFmtId="165" formatCode="0.0%;\-0.0%;&quot;–&quot;"/>
    <numFmt numFmtId="166" formatCode="#,##0;\-#,##0;&quot;–&quot;"/>
    <numFmt numFmtId="167" formatCode="&quot;▲ &quot;0.0%;&quot;▼ &quot;0.0%;&quot;–&quot;"/>
  </numFmts>
  <fonts count="17">
    <font>
      <name val="Calibri"/>
      <family val="2"/>
      <color theme="1"/>
      <sz val="11"/>
      <scheme val="minor"/>
    </font>
    <font>
      <name val="Arial"/>
      <color rgb="00A6D0EA"/>
      <sz val="7.5"/>
    </font>
    <font>
      <name val="Arial"/>
      <b val="1"/>
      <color rgb="00FFFFFF"/>
      <sz val="14"/>
    </font>
    <font>
      <name val="Arial"/>
      <b val="1"/>
      <color rgb="00262626"/>
      <sz val="12"/>
    </font>
    <font>
      <name val="Arial"/>
      <b val="1"/>
      <color rgb="00007AC3"/>
      <sz val="10"/>
    </font>
    <font>
      <name val="Arial"/>
      <i val="1"/>
      <color rgb="006B7075"/>
      <sz val="8"/>
    </font>
    <font>
      <name val="Arial"/>
      <color rgb="006B7075"/>
      <sz val="7.5"/>
    </font>
    <font>
      <name val="Arial"/>
      <b val="1"/>
      <color rgb="00262626"/>
      <sz val="7.5"/>
    </font>
    <font>
      <name val="Arial"/>
      <color rgb="00262626"/>
      <sz val="20"/>
    </font>
    <font>
      <name val="Arial"/>
      <i val="1"/>
      <color rgb="006B7075"/>
      <sz val="9"/>
    </font>
    <font>
      <name val="Arial"/>
      <color rgb="00007AC3"/>
      <sz val="20"/>
    </font>
    <font>
      <name val="Arial"/>
      <b val="1"/>
      <color rgb="00262626"/>
      <sz val="10"/>
    </font>
    <font>
      <name val="Arial"/>
      <b val="1"/>
      <color rgb="00262626"/>
      <sz val="8.5"/>
    </font>
    <font>
      <name val="Arial"/>
      <color rgb="00262626"/>
      <sz val="8.5"/>
    </font>
    <font>
      <name val="Arial"/>
      <b val="1"/>
      <color rgb="00007AC3"/>
      <sz val="9"/>
    </font>
    <font>
      <name val="Arial"/>
      <b val="1"/>
      <color rgb="00262626"/>
      <sz val="9"/>
    </font>
    <font>
      <name val="Arial"/>
      <b val="1"/>
      <color rgb="005F8A17"/>
      <sz val="10"/>
    </font>
  </fonts>
  <fills count="9">
    <fill>
      <patternFill/>
    </fill>
    <fill>
      <patternFill patternType="gray125"/>
    </fill>
    <fill>
      <patternFill patternType="solid">
        <fgColor rgb="00F5F6F7"/>
      </patternFill>
    </fill>
    <fill>
      <patternFill patternType="solid">
        <fgColor rgb="00262626"/>
      </patternFill>
    </fill>
    <fill>
      <patternFill patternType="solid">
        <fgColor rgb="00007AC3"/>
      </patternFill>
    </fill>
    <fill>
      <patternFill patternType="solid">
        <fgColor rgb="00FFFFFF"/>
      </patternFill>
    </fill>
    <fill>
      <patternFill patternType="solid">
        <fgColor rgb="00E7E6E6"/>
      </patternFill>
    </fill>
    <fill>
      <patternFill patternType="solid">
        <fgColor rgb="00E8F1F9"/>
      </patternFill>
    </fill>
    <fill>
      <patternFill patternType="solid">
        <fgColor rgb="00F0EDE4"/>
      </patternFill>
    </fill>
  </fills>
  <borders count="7">
    <border>
      <left/>
      <right/>
      <top/>
      <bottom/>
      <diagonal/>
    </border>
    <border>
      <left style="thin">
        <color rgb="00007AC3"/>
      </left>
      <right style="thin">
        <color rgb="00007AC3"/>
      </right>
      <top style="thin">
        <color rgb="00007AC3"/>
      </top>
      <bottom style="thin">
        <color rgb="00007AC3"/>
      </bottom>
    </border>
    <border>
      <bottom style="thin">
        <color rgb="00D5D7DA"/>
      </bottom>
    </border>
    <border>
      <top style="thin">
        <color rgb="00D5D7DA"/>
      </top>
      <bottom style="thin">
        <color rgb="00262626"/>
      </bottom>
    </border>
    <border>
      <bottom style="thin">
        <color rgb="00EDEEF0"/>
      </bottom>
    </border>
    <border>
      <left style="thin">
        <color rgb="00D8D2C0"/>
      </left>
      <right style="thin">
        <color rgb="00D8D2C0"/>
      </right>
      <top style="thin">
        <color rgb="00D8D2C0"/>
      </top>
      <bottom style="thin">
        <color rgb="00D8D2C0"/>
      </bottom>
    </border>
    <border>
      <top style="thin">
        <color rgb="00262626"/>
      </top>
      <bottom style="thin">
        <color rgb="00262626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3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13" fillId="0" borderId="0" pivotButton="0" quotePrefix="0" xfId="0"/>
    <xf numFmtId="0" fontId="6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13" fillId="4" borderId="0" pivotButton="0" quotePrefix="0" xfId="0"/>
    <xf numFmtId="0" fontId="13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13" fillId="6" borderId="0" pivotButton="0" quotePrefix="0" xfId="0"/>
    <xf numFmtId="0" fontId="7" fillId="6" borderId="2" applyAlignment="1" pivotButton="0" quotePrefix="0" xfId="0">
      <alignment horizontal="left" vertical="center" indent="1"/>
    </xf>
    <xf numFmtId="164" fontId="8" fillId="5" borderId="0" applyAlignment="1" pivotButton="0" quotePrefix="0" xfId="0">
      <alignment horizontal="left" vertical="center" indent="1"/>
    </xf>
    <xf numFmtId="0" fontId="13" fillId="5" borderId="0" pivotButton="0" quotePrefix="0" xfId="0"/>
    <xf numFmtId="165" fontId="8" fillId="5" borderId="0" applyAlignment="1" pivotButton="0" quotePrefix="0" xfId="0">
      <alignment horizontal="left" vertical="center" indent="1"/>
    </xf>
    <xf numFmtId="166" fontId="8" fillId="5" borderId="0" applyAlignment="1" pivotButton="0" quotePrefix="0" xfId="0">
      <alignment horizontal="left" vertical="center" indent="1"/>
    </xf>
    <xf numFmtId="167" fontId="10" fillId="5" borderId="0" applyAlignment="1" pivotButton="0" quotePrefix="0" xfId="0">
      <alignment horizontal="left" vertical="center" indent="1"/>
    </xf>
    <xf numFmtId="0" fontId="9" fillId="5" borderId="2" applyAlignment="1" pivotButton="0" quotePrefix="0" xfId="0">
      <alignment horizontal="left" vertical="center" indent="1"/>
    </xf>
    <xf numFmtId="0" fontId="13" fillId="5" borderId="2" pivotButton="0" quotePrefix="0" xfId="0"/>
    <xf numFmtId="0" fontId="11" fillId="2" borderId="0" applyAlignment="1" pivotButton="0" quotePrefix="0" xfId="0">
      <alignment horizontal="left" vertical="center"/>
    </xf>
    <xf numFmtId="0" fontId="7" fillId="6" borderId="3" applyAlignment="1" pivotButton="0" quotePrefix="0" xfId="0">
      <alignment horizontal="left" vertical="center"/>
    </xf>
    <xf numFmtId="0" fontId="7" fillId="6" borderId="3" applyAlignment="1" pivotButton="0" quotePrefix="0" xfId="0">
      <alignment horizontal="center" vertical="bottom" wrapText="1"/>
    </xf>
    <xf numFmtId="0" fontId="12" fillId="5" borderId="4" applyAlignment="1" pivotButton="0" quotePrefix="0" xfId="0">
      <alignment horizontal="left" vertical="center"/>
    </xf>
    <xf numFmtId="0" fontId="13" fillId="5" borderId="4" applyAlignment="1" pivotButton="0" quotePrefix="0" xfId="0">
      <alignment horizontal="left" vertical="center"/>
    </xf>
    <xf numFmtId="164" fontId="13" fillId="7" borderId="4" applyAlignment="1" pivotButton="0" quotePrefix="0" xfId="0">
      <alignment horizontal="right" vertical="center"/>
    </xf>
    <xf numFmtId="165" fontId="13" fillId="7" borderId="4" applyAlignment="1" pivotButton="0" quotePrefix="0" xfId="0">
      <alignment horizontal="right" vertical="center"/>
    </xf>
    <xf numFmtId="2" fontId="13" fillId="7" borderId="4" applyAlignment="1" pivotButton="0" quotePrefix="0" xfId="0">
      <alignment horizontal="right" vertical="center"/>
    </xf>
    <xf numFmtId="166" fontId="14" fillId="8" borderId="5" applyAlignment="1" pivotButton="0" quotePrefix="0" xfId="0">
      <alignment horizontal="center" vertical="center"/>
    </xf>
    <xf numFmtId="0" fontId="13" fillId="5" borderId="4" applyAlignment="1" pivotButton="0" quotePrefix="0" xfId="0">
      <alignment horizontal="right" vertical="center"/>
    </xf>
    <xf numFmtId="166" fontId="13" fillId="5" borderId="4" applyAlignment="1" pivotButton="0" quotePrefix="0" xfId="0">
      <alignment horizontal="right" vertical="center"/>
    </xf>
    <xf numFmtId="164" fontId="13" fillId="5" borderId="4" applyAlignment="1" pivotButton="0" quotePrefix="0" xfId="0">
      <alignment horizontal="right" vertical="center"/>
    </xf>
    <xf numFmtId="165" fontId="13" fillId="5" borderId="4" applyAlignment="1" pivotButton="0" quotePrefix="0" xfId="0">
      <alignment horizontal="right" vertical="center"/>
    </xf>
    <xf numFmtId="0" fontId="15" fillId="6" borderId="6" applyAlignment="1" pivotButton="0" quotePrefix="0" xfId="0">
      <alignment horizontal="left" vertical="center"/>
    </xf>
    <xf numFmtId="166" fontId="15" fillId="6" borderId="6" applyAlignment="1" pivotButton="0" quotePrefix="0" xfId="0">
      <alignment horizontal="right" vertical="center"/>
    </xf>
    <xf numFmtId="164" fontId="15" fillId="6" borderId="6" applyAlignment="1" pivotButton="0" quotePrefix="0" xfId="0">
      <alignment horizontal="right" vertical="center"/>
    </xf>
    <xf numFmtId="165" fontId="15" fillId="6" borderId="6" applyAlignment="1" pivotButton="0" quotePrefix="0" xfId="0">
      <alignment horizontal="right" vertical="center"/>
    </xf>
    <xf numFmtId="0" fontId="11" fillId="6" borderId="6" applyAlignment="1" pivotButton="0" quotePrefix="0" xfId="0">
      <alignment horizontal="left" vertical="center"/>
    </xf>
    <xf numFmtId="166" fontId="11" fillId="6" borderId="6" applyAlignment="1" pivotButton="0" quotePrefix="0" xfId="0">
      <alignment horizontal="right" vertical="center"/>
    </xf>
    <xf numFmtId="164" fontId="11" fillId="6" borderId="6" applyAlignment="1" pivotButton="0" quotePrefix="0" xfId="0">
      <alignment horizontal="right" vertical="center"/>
    </xf>
    <xf numFmtId="165" fontId="11" fillId="6" borderId="6" applyAlignment="1" pivotButton="0" quotePrefix="0" xfId="0">
      <alignment horizontal="right" vertical="center"/>
    </xf>
    <xf numFmtId="164" fontId="16" fillId="6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AC3"/>
    <outlinePr summaryBelow="1" summaryRight="1"/>
    <pageSetUpPr fitToPage="1"/>
  </sheetPr>
  <dimension ref="A1:P60"/>
  <sheetViews>
    <sheetView showGridLines="0" workbookViewId="0">
      <pane xSplit="3" ySplit="18" topLeftCell="D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hidden="1" width="13.5" customWidth="1" min="12" max="12"/>
    <col width="2.6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21" max="21"/>
    <col hidden="1" width="13" customWidth="1" min="22" max="22"/>
    <col hidden="1" width="13" customWidth="1" min="23" max="23"/>
  </cols>
  <sheetData>
    <row r="1" ht="14.1" customHeight="1">
      <c r="A1" s="1" t="n"/>
      <c r="B1" s="2" t="inlineStr">
        <is>
          <t>EDUSERVICES · budget 2027 piloté par l'EBITDA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3" t="n"/>
      <c r="O1" s="4" t="inlineStr">
        <is>
          <t>code scénario -&gt;</t>
        </is>
      </c>
      <c r="P1" s="4">
        <f>IF($E$6="Cadrage","V01",IF($E$6="Optimiste","V02","V03"))</f>
        <v/>
      </c>
    </row>
    <row r="2" ht="46.5" customHeight="1">
      <c r="A2" s="1" t="n"/>
      <c r="B2" s="5" t="inlineStr">
        <is>
          <t>PILOTAGE  ·  le cockpit, campus par campus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3" t="n"/>
    </row>
    <row r="3" ht="11.2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3" t="n"/>
    </row>
    <row r="4" ht="8" customHeight="1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3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3" t="n"/>
    </row>
    <row r="6" ht="24" customHeight="1">
      <c r="A6" s="7" t="n"/>
      <c r="B6" s="8" t="inlineStr">
        <is>
          <t>Scénario actif :</t>
        </is>
      </c>
      <c r="C6" s="7" t="n"/>
      <c r="D6" s="7" t="n"/>
      <c r="E6" s="9" t="inlineStr">
        <is>
          <t>Cadrage</t>
        </is>
      </c>
      <c r="F6" s="7" t="n"/>
      <c r="G6" s="10" t="inlineStr">
        <is>
          <t>il commande les deux tableaux ci-dessous</t>
        </is>
      </c>
      <c r="H6" s="7" t="n"/>
      <c r="I6" s="7" t="n"/>
      <c r="J6" s="7" t="n"/>
      <c r="K6" s="7" t="n"/>
      <c r="L6" s="7" t="n"/>
      <c r="M6" s="7" t="n"/>
      <c r="N6" s="3" t="n"/>
    </row>
    <row r="7" ht="8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3" t="n"/>
    </row>
    <row r="8" ht="4" customHeight="1">
      <c r="A8" s="7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7" t="n"/>
      <c r="M8" s="7" t="n"/>
      <c r="N8" s="3" t="n"/>
    </row>
    <row r="9" ht="24" customHeight="1">
      <c r="A9" s="7" t="n"/>
      <c r="B9" s="12" t="inlineStr">
        <is>
          <t>CHIFFRE D'AFFAIRES 2027</t>
        </is>
      </c>
      <c r="C9" s="11" t="n"/>
      <c r="D9" s="12" t="inlineStr">
        <is>
          <t>EBITDA APRÈS SIÈGE</t>
        </is>
      </c>
      <c r="E9" s="11" t="n"/>
      <c r="F9" s="12" t="inlineStr">
        <is>
          <t>MARGE D'EBITDA</t>
        </is>
      </c>
      <c r="G9" s="11" t="n"/>
      <c r="H9" s="12" t="inlineStr">
        <is>
          <t>EFFECTIF</t>
        </is>
      </c>
      <c r="I9" s="11" t="n"/>
      <c r="J9" s="12" t="inlineStr">
        <is>
          <t>CROISSANCE DU CA</t>
        </is>
      </c>
      <c r="K9" s="11" t="n"/>
      <c r="L9" s="7" t="n"/>
      <c r="M9" s="7" t="n"/>
      <c r="N9" s="3" t="n"/>
    </row>
    <row r="10" ht="33.8" customHeight="1">
      <c r="A10" s="7" t="n"/>
      <c r="B10" s="13">
        <f>E55</f>
        <v/>
      </c>
      <c r="C10" s="14" t="n"/>
      <c r="D10" s="13">
        <f>H55</f>
        <v/>
      </c>
      <c r="E10" s="14" t="n"/>
      <c r="F10" s="15">
        <f>I55</f>
        <v/>
      </c>
      <c r="G10" s="14" t="n"/>
      <c r="H10" s="16">
        <f>D55</f>
        <v/>
      </c>
      <c r="I10" s="14" t="n"/>
      <c r="J10" s="17">
        <f>IFERROR(E55/Cadrage!$C$12-1,0)</f>
        <v/>
      </c>
      <c r="K10" s="14" t="n"/>
      <c r="L10" s="7" t="n"/>
      <c r="M10" s="7" t="n"/>
      <c r="N10" s="3" t="n"/>
    </row>
    <row r="11" ht="16" customHeight="1">
      <c r="A11" s="7" t="n"/>
      <c r="B11" s="18">
        <f>"contre "&amp;TEXT(Cadrage!$C$12,"#,##0 €")&amp;" en 2026"</f>
        <v/>
      </c>
      <c r="C11" s="19" t="n"/>
      <c r="D11" s="18">
        <f>"contre "&amp;TEXT(Cadrage!$C$13,"#,##0 €")&amp;" en 2026"</f>
        <v/>
      </c>
      <c r="E11" s="19" t="n"/>
      <c r="F11" s="18">
        <f>"contre "&amp;TEXT(Cadrage!$C$14,"0.0%")&amp;" en 2026"</f>
        <v/>
      </c>
      <c r="G11" s="19" t="n"/>
      <c r="H11" s="18">
        <f>"contre "&amp;TEXT(Cadrage!$C$15,"#,##0")&amp;" en 2026"</f>
        <v/>
      </c>
      <c r="I11" s="19" t="n"/>
      <c r="J11" s="18" t="inlineStr">
        <is>
          <t>vs 2026 — la correction du patch</t>
        </is>
      </c>
      <c r="K11" s="19" t="n"/>
      <c r="L11" s="7" t="n"/>
      <c r="M11" s="7" t="n"/>
      <c r="N11" s="3" t="n"/>
    </row>
    <row r="12" ht="8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3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3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3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3" t="n"/>
    </row>
    <row r="16" ht="30" customHeight="1">
      <c r="A16" s="7" t="n"/>
      <c r="B16" s="20" t="inlineStr">
        <is>
          <t>①   CAP STRATÉGIQUE PAR CAMPUS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3" t="n"/>
    </row>
    <row r="17" ht="14" customHeight="1">
      <c r="A17" s="7" t="n"/>
      <c r="B17" s="10" t="inlineStr">
        <is>
          <t>Le cap retenu redistribue le budget d'acquisition entre campus, à enveloppe constante. Colonnes bleutées : elles viennent de l'onglet Campagne et se réalignent toutes seules sur le campus.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3" t="n"/>
    </row>
    <row r="18" ht="30" customHeight="1">
      <c r="A18" s="21" t="inlineStr">
        <is>
          <t>Campus</t>
        </is>
      </c>
      <c r="B18" s="21" t="inlineStr">
        <is>
          <t>Marque</t>
        </is>
      </c>
      <c r="C18" s="21" t="inlineStr">
        <is>
          <t>Ville</t>
        </is>
      </c>
      <c r="D18" s="22" t="inlineStr">
        <is>
          <t>CAC marginal</t>
        </is>
      </c>
      <c r="E18" s="22" t="inlineStr">
        <is>
          <t>Croiss. leads</t>
        </is>
      </c>
      <c r="F18" s="22" t="inlineStr">
        <is>
          <t>Intensité mkt</t>
        </is>
      </c>
      <c r="G18" s="22" t="inlineStr">
        <is>
          <t>Cap effectif</t>
        </is>
      </c>
      <c r="H18" s="22" t="inlineStr">
        <is>
          <t>Cap moment</t>
        </is>
      </c>
      <c r="I18" s="22" t="inlineStr">
        <is>
          <t>Cap potentiel</t>
        </is>
      </c>
      <c r="J18" s="22" t="inlineStr">
        <is>
          <t>CAP RETENU</t>
        </is>
      </c>
      <c r="K18" s="22" t="inlineStr">
        <is>
          <t>Budget acq. réf.</t>
        </is>
      </c>
      <c r="L18" s="22" t="inlineStr"/>
      <c r="M18" s="7" t="n"/>
      <c r="N18" s="3" t="n"/>
    </row>
    <row r="19" ht="18" customHeight="1">
      <c r="A19" s="23" t="inlineStr">
        <is>
          <t>MBWAY_PAR</t>
        </is>
      </c>
      <c r="B19" s="24" t="inlineStr">
        <is>
          <t>MBway</t>
        </is>
      </c>
      <c r="C19" s="24" t="inlineStr">
        <is>
          <t>Paris</t>
        </is>
      </c>
      <c r="D19" s="25">
        <f>SUMIFS(Campagne!$N$2:$N$15,Campagne!$C$2:$C$15,$A19)</f>
        <v/>
      </c>
      <c r="E19" s="26" t="n">
        <v>0.110736</v>
      </c>
      <c r="F19" s="26" t="n">
        <v>0.021756</v>
      </c>
      <c r="G19" s="27" t="n">
        <v>0.81498244</v>
      </c>
      <c r="H19" s="27" t="n">
        <v>1.059715</v>
      </c>
      <c r="I19" s="27" t="n">
        <v>0.842823</v>
      </c>
      <c r="J19" s="28" t="n">
        <v>1</v>
      </c>
      <c r="K19" s="25">
        <f>SUMIFS(Campagne!$G$2:$G$15,Campagne!$C$2:$C$15,$A19)</f>
        <v/>
      </c>
      <c r="L19" s="29">
        <f>$A19</f>
        <v/>
      </c>
      <c r="M19" s="7" t="n"/>
      <c r="N19" s="3" t="n"/>
    </row>
    <row r="20" ht="18" customHeight="1">
      <c r="A20" s="23" t="inlineStr">
        <is>
          <t>MBWAY_LYO</t>
        </is>
      </c>
      <c r="B20" s="24" t="inlineStr">
        <is>
          <t>MBway</t>
        </is>
      </c>
      <c r="C20" s="24" t="inlineStr">
        <is>
          <t>Lyon</t>
        </is>
      </c>
      <c r="D20" s="25">
        <f>SUMIFS(Campagne!$N$2:$N$15,Campagne!$C$2:$C$15,$A20)</f>
        <v/>
      </c>
      <c r="E20" s="26" t="n">
        <v>0.118871</v>
      </c>
      <c r="F20" s="26" t="n">
        <v>0.016735</v>
      </c>
      <c r="G20" s="27" t="n">
        <v>1.091239591</v>
      </c>
      <c r="H20" s="27" t="n">
        <v>1.137565</v>
      </c>
      <c r="I20" s="27" t="n">
        <v>1.095717</v>
      </c>
      <c r="J20" s="28" t="n">
        <v>1</v>
      </c>
      <c r="K20" s="25">
        <f>SUMIFS(Campagne!$G$2:$G$15,Campagne!$C$2:$C$15,$A20)</f>
        <v/>
      </c>
      <c r="L20" s="29">
        <f>$A20</f>
        <v/>
      </c>
      <c r="M20" s="7" t="n"/>
      <c r="N20" s="3" t="n"/>
    </row>
    <row r="21" ht="18" customHeight="1">
      <c r="A21" s="23" t="inlineStr">
        <is>
          <t>MBWAY_NAN</t>
        </is>
      </c>
      <c r="B21" s="24" t="inlineStr">
        <is>
          <t>MBway</t>
        </is>
      </c>
      <c r="C21" s="24" t="inlineStr">
        <is>
          <t>Nantes</t>
        </is>
      </c>
      <c r="D21" s="25">
        <f>SUMIFS(Campagne!$N$2:$N$15,Campagne!$C$2:$C$15,$A21)</f>
        <v/>
      </c>
      <c r="E21" s="26" t="n">
        <v>0.123795</v>
      </c>
      <c r="F21" s="26" t="n">
        <v>0.01461</v>
      </c>
      <c r="G21" s="27" t="n">
        <v>1.247554611</v>
      </c>
      <c r="H21" s="27" t="n">
        <v>1.184686</v>
      </c>
      <c r="I21" s="27" t="n">
        <v>1.255097</v>
      </c>
      <c r="J21" s="28" t="n">
        <v>1</v>
      </c>
      <c r="K21" s="25">
        <f>SUMIFS(Campagne!$G$2:$G$15,Campagne!$C$2:$C$15,$A21)</f>
        <v/>
      </c>
      <c r="L21" s="29">
        <f>$A21</f>
        <v/>
      </c>
      <c r="M21" s="7" t="n"/>
      <c r="N21" s="3" t="n"/>
    </row>
    <row r="22" ht="18" customHeight="1">
      <c r="A22" s="23" t="inlineStr">
        <is>
          <t>MBWAY_BOR</t>
        </is>
      </c>
      <c r="B22" s="24" t="inlineStr">
        <is>
          <t>MBway</t>
        </is>
      </c>
      <c r="C22" s="24" t="inlineStr">
        <is>
          <t>Bordeaux</t>
        </is>
      </c>
      <c r="D22" s="25">
        <f>SUMIFS(Campagne!$N$2:$N$15,Campagne!$C$2:$C$15,$A22)</f>
        <v/>
      </c>
      <c r="E22" s="26" t="n">
        <v>0.126094</v>
      </c>
      <c r="F22" s="26" t="n">
        <v>0.014052</v>
      </c>
      <c r="G22" s="27" t="n">
        <v>1.351308271</v>
      </c>
      <c r="H22" s="27" t="n">
        <v>1.206687</v>
      </c>
      <c r="I22" s="27" t="n">
        <v>1.304934</v>
      </c>
      <c r="J22" s="28" t="n">
        <v>1</v>
      </c>
      <c r="K22" s="25">
        <f>SUMIFS(Campagne!$G$2:$G$15,Campagne!$C$2:$C$15,$A22)</f>
        <v/>
      </c>
      <c r="L22" s="29">
        <f>$A22</f>
        <v/>
      </c>
      <c r="M22" s="7" t="n"/>
      <c r="N22" s="3" t="n"/>
    </row>
    <row r="23" ht="18" customHeight="1">
      <c r="A23" s="23" t="inlineStr">
        <is>
          <t>ISCOM_PAR</t>
        </is>
      </c>
      <c r="B23" s="24" t="inlineStr">
        <is>
          <t>ISCOM</t>
        </is>
      </c>
      <c r="C23" s="24" t="inlineStr">
        <is>
          <t>Paris</t>
        </is>
      </c>
      <c r="D23" s="25">
        <f>SUMIFS(Campagne!$N$2:$N$15,Campagne!$C$2:$C$15,$A23)</f>
        <v/>
      </c>
      <c r="E23" s="26" t="n">
        <v>0.07774399999999999</v>
      </c>
      <c r="F23" s="26" t="n">
        <v>0.020902</v>
      </c>
      <c r="G23" s="27" t="n">
        <v>0.780429318</v>
      </c>
      <c r="H23" s="27" t="n">
        <v>0.74399</v>
      </c>
      <c r="I23" s="27" t="n">
        <v>0.877261</v>
      </c>
      <c r="J23" s="28" t="n">
        <v>1</v>
      </c>
      <c r="K23" s="25">
        <f>SUMIFS(Campagne!$G$2:$G$15,Campagne!$C$2:$C$15,$A23)</f>
        <v/>
      </c>
      <c r="L23" s="29">
        <f>$A23</f>
        <v/>
      </c>
      <c r="M23" s="7" t="n"/>
      <c r="N23" s="3" t="n"/>
    </row>
    <row r="24" ht="18" customHeight="1">
      <c r="A24" s="23" t="inlineStr">
        <is>
          <t>ISCOM_LIL</t>
        </is>
      </c>
      <c r="B24" s="24" t="inlineStr">
        <is>
          <t>ISCOM</t>
        </is>
      </c>
      <c r="C24" s="24" t="inlineStr">
        <is>
          <t>Lille</t>
        </is>
      </c>
      <c r="D24" s="25">
        <f>SUMIFS(Campagne!$N$2:$N$15,Campagne!$C$2:$C$15,$A24)</f>
        <v/>
      </c>
      <c r="E24" s="26" t="n">
        <v>0.08154500000000001</v>
      </c>
      <c r="F24" s="26" t="n">
        <v>0.014363</v>
      </c>
      <c r="G24" s="27" t="n">
        <v>1.228421903</v>
      </c>
      <c r="H24" s="27" t="n">
        <v>0.7803639999999999</v>
      </c>
      <c r="I24" s="27" t="n">
        <v>1.276654</v>
      </c>
      <c r="J24" s="28" t="n">
        <v>1</v>
      </c>
      <c r="K24" s="25">
        <f>SUMIFS(Campagne!$G$2:$G$15,Campagne!$C$2:$C$15,$A24)</f>
        <v/>
      </c>
      <c r="L24" s="29">
        <f>$A24</f>
        <v/>
      </c>
      <c r="M24" s="7" t="n"/>
      <c r="N24" s="3" t="n"/>
    </row>
    <row r="25" ht="18" customHeight="1">
      <c r="A25" s="23" t="inlineStr">
        <is>
          <t>ISCOM_TLS</t>
        </is>
      </c>
      <c r="B25" s="24" t="inlineStr">
        <is>
          <t>ISCOM</t>
        </is>
      </c>
      <c r="C25" s="24" t="inlineStr">
        <is>
          <t>Toulouse</t>
        </is>
      </c>
      <c r="D25" s="25">
        <f>SUMIFS(Campagne!$N$2:$N$15,Campagne!$C$2:$C$15,$A25)</f>
        <v/>
      </c>
      <c r="E25" s="26" t="n">
        <v>0.08211599999999999</v>
      </c>
      <c r="F25" s="26" t="n">
        <v>0.013564</v>
      </c>
      <c r="G25" s="27" t="n">
        <v>1.308018814</v>
      </c>
      <c r="H25" s="27" t="n">
        <v>0.785829</v>
      </c>
      <c r="I25" s="27" t="n">
        <v>1.351829</v>
      </c>
      <c r="J25" s="28" t="n">
        <v>1</v>
      </c>
      <c r="K25" s="25">
        <f>SUMIFS(Campagne!$G$2:$G$15,Campagne!$C$2:$C$15,$A25)</f>
        <v/>
      </c>
      <c r="L25" s="29">
        <f>$A25</f>
        <v/>
      </c>
      <c r="M25" s="7" t="n"/>
      <c r="N25" s="3" t="n"/>
    </row>
    <row r="26" ht="18" customHeight="1">
      <c r="A26" s="23" t="inlineStr">
        <is>
          <t>IPAC_NAN</t>
        </is>
      </c>
      <c r="B26" s="24" t="inlineStr">
        <is>
          <t>Ipac</t>
        </is>
      </c>
      <c r="C26" s="24" t="inlineStr">
        <is>
          <t>Nantes</t>
        </is>
      </c>
      <c r="D26" s="25">
        <f>SUMIFS(Campagne!$N$2:$N$15,Campagne!$C$2:$C$15,$A26)</f>
        <v/>
      </c>
      <c r="E26" s="26" t="n">
        <v>0.137884</v>
      </c>
      <c r="F26" s="26" t="n">
        <v>0.021343</v>
      </c>
      <c r="G26" s="27" t="n">
        <v>0.988342973</v>
      </c>
      <c r="H26" s="27" t="n">
        <v>1.319514</v>
      </c>
      <c r="I26" s="27" t="n">
        <v>0.8591299999999999</v>
      </c>
      <c r="J26" s="28" t="n">
        <v>1</v>
      </c>
      <c r="K26" s="25">
        <f>SUMIFS(Campagne!$G$2:$G$15,Campagne!$C$2:$C$15,$A26)</f>
        <v/>
      </c>
      <c r="L26" s="29">
        <f>$A26</f>
        <v/>
      </c>
      <c r="M26" s="7" t="n"/>
      <c r="N26" s="3" t="n"/>
    </row>
    <row r="27" ht="18" customHeight="1">
      <c r="A27" s="23" t="inlineStr">
        <is>
          <t>IPAC_REN</t>
        </is>
      </c>
      <c r="B27" s="24" t="inlineStr">
        <is>
          <t>Ipac</t>
        </is>
      </c>
      <c r="C27" s="24" t="inlineStr">
        <is>
          <t>Rennes</t>
        </is>
      </c>
      <c r="D27" s="25">
        <f>SUMIFS(Campagne!$N$2:$N$15,Campagne!$C$2:$C$15,$A27)</f>
        <v/>
      </c>
      <c r="E27" s="26" t="n">
        <v>0.144781</v>
      </c>
      <c r="F27" s="26" t="n">
        <v>0.019104</v>
      </c>
      <c r="G27" s="27" t="n">
        <v>1.155261468</v>
      </c>
      <c r="H27" s="27" t="n">
        <v>1.385517</v>
      </c>
      <c r="I27" s="27" t="n">
        <v>0.959834</v>
      </c>
      <c r="J27" s="28" t="n">
        <v>1</v>
      </c>
      <c r="K27" s="25">
        <f>SUMIFS(Campagne!$G$2:$G$15,Campagne!$C$2:$C$15,$A27)</f>
        <v/>
      </c>
      <c r="L27" s="29">
        <f>$A27</f>
        <v/>
      </c>
      <c r="M27" s="7" t="n"/>
      <c r="N27" s="3" t="n"/>
    </row>
    <row r="28" ht="18" customHeight="1">
      <c r="A28" s="23" t="inlineStr">
        <is>
          <t>IPAC_MTP</t>
        </is>
      </c>
      <c r="B28" s="24" t="inlineStr">
        <is>
          <t>Ipac</t>
        </is>
      </c>
      <c r="C28" s="24" t="inlineStr">
        <is>
          <t>Montpellier</t>
        </is>
      </c>
      <c r="D28" s="25">
        <f>SUMIFS(Campagne!$N$2:$N$15,Campagne!$C$2:$C$15,$A28)</f>
        <v/>
      </c>
      <c r="E28" s="26" t="n">
        <v>0.144781</v>
      </c>
      <c r="F28" s="26" t="n">
        <v>0.019417</v>
      </c>
      <c r="G28" s="27" t="n">
        <v>1.162604137</v>
      </c>
      <c r="H28" s="27" t="n">
        <v>1.385517</v>
      </c>
      <c r="I28" s="27" t="n">
        <v>0.94434</v>
      </c>
      <c r="J28" s="28" t="n">
        <v>1</v>
      </c>
      <c r="K28" s="25">
        <f>SUMIFS(Campagne!$G$2:$G$15,Campagne!$C$2:$C$15,$A28)</f>
        <v/>
      </c>
      <c r="L28" s="29">
        <f>$A28</f>
        <v/>
      </c>
      <c r="M28" s="7" t="n"/>
      <c r="N28" s="3" t="n"/>
    </row>
    <row r="29" ht="18" customHeight="1">
      <c r="A29" s="23" t="inlineStr">
        <is>
          <t>PIGIER_LYO</t>
        </is>
      </c>
      <c r="B29" s="24" t="inlineStr">
        <is>
          <t>Pigier</t>
        </is>
      </c>
      <c r="C29" s="24" t="inlineStr">
        <is>
          <t>Lyon</t>
        </is>
      </c>
      <c r="D29" s="25">
        <f>SUMIFS(Campagne!$N$2:$N$15,Campagne!$C$2:$C$15,$A29)</f>
        <v/>
      </c>
      <c r="E29" s="26" t="n">
        <v>0.085003</v>
      </c>
      <c r="F29" s="26" t="n">
        <v>0.023262</v>
      </c>
      <c r="G29" s="27" t="n">
        <v>0.7050590289999999</v>
      </c>
      <c r="H29" s="27" t="n">
        <v>0.813456</v>
      </c>
      <c r="I29" s="27" t="n">
        <v>0.788252</v>
      </c>
      <c r="J29" s="28" t="n">
        <v>1</v>
      </c>
      <c r="K29" s="25">
        <f>SUMIFS(Campagne!$G$2:$G$15,Campagne!$C$2:$C$15,$A29)</f>
        <v/>
      </c>
      <c r="L29" s="29">
        <f>$A29</f>
        <v/>
      </c>
      <c r="M29" s="7" t="n"/>
      <c r="N29" s="3" t="n"/>
    </row>
    <row r="30" ht="18" customHeight="1">
      <c r="A30" s="23" t="inlineStr">
        <is>
          <t>PIGIER_BOR</t>
        </is>
      </c>
      <c r="B30" s="24" t="inlineStr">
        <is>
          <t>Pigier</t>
        </is>
      </c>
      <c r="C30" s="24" t="inlineStr">
        <is>
          <t>Bordeaux</t>
        </is>
      </c>
      <c r="D30" s="25">
        <f>SUMIFS(Campagne!$N$2:$N$15,Campagne!$C$2:$C$15,$A30)</f>
        <v/>
      </c>
      <c r="E30" s="26" t="n">
        <v>0.087533</v>
      </c>
      <c r="F30" s="26" t="n">
        <v>0.019395</v>
      </c>
      <c r="G30" s="27" t="n">
        <v>0.878680425</v>
      </c>
      <c r="H30" s="27" t="n">
        <v>0.837668</v>
      </c>
      <c r="I30" s="27" t="n">
        <v>0.945444</v>
      </c>
      <c r="J30" s="28" t="n">
        <v>1</v>
      </c>
      <c r="K30" s="25">
        <f>SUMIFS(Campagne!$G$2:$G$15,Campagne!$C$2:$C$15,$A30)</f>
        <v/>
      </c>
      <c r="L30" s="29">
        <f>$A30</f>
        <v/>
      </c>
      <c r="M30" s="7" t="n"/>
      <c r="N30" s="3" t="n"/>
    </row>
    <row r="31" ht="18" customHeight="1">
      <c r="A31" s="23" t="inlineStr">
        <is>
          <t>TUNON_PAR</t>
        </is>
      </c>
      <c r="B31" s="24" t="inlineStr">
        <is>
          <t>Tunon</t>
        </is>
      </c>
      <c r="C31" s="24" t="inlineStr">
        <is>
          <t>Paris</t>
        </is>
      </c>
      <c r="D31" s="25">
        <f>SUMIFS(Campagne!$N$2:$N$15,Campagne!$C$2:$C$15,$A31)</f>
        <v/>
      </c>
      <c r="E31" s="26" t="n">
        <v>0.069518</v>
      </c>
      <c r="F31" s="26" t="n">
        <v>0.027841</v>
      </c>
      <c r="G31" s="27" t="n">
        <v>0.548186771</v>
      </c>
      <c r="H31" s="27" t="n">
        <v>0.665269</v>
      </c>
      <c r="I31" s="27" t="n">
        <v>0.658626</v>
      </c>
      <c r="J31" s="28" t="n">
        <v>1</v>
      </c>
      <c r="K31" s="25">
        <f>SUMIFS(Campagne!$G$2:$G$15,Campagne!$C$2:$C$15,$A31)</f>
        <v/>
      </c>
      <c r="L31" s="29">
        <f>$A31</f>
        <v/>
      </c>
      <c r="M31" s="7" t="n"/>
      <c r="N31" s="3" t="n"/>
    </row>
    <row r="32" ht="18" customHeight="1">
      <c r="A32" s="23" t="inlineStr">
        <is>
          <t>TUNON_LYO</t>
        </is>
      </c>
      <c r="B32" s="24" t="inlineStr">
        <is>
          <t>Tunon</t>
        </is>
      </c>
      <c r="C32" s="24" t="inlineStr">
        <is>
          <t>Lyon</t>
        </is>
      </c>
      <c r="D32" s="25">
        <f>SUMIFS(Campagne!$N$2:$N$15,Campagne!$C$2:$C$15,$A32)</f>
        <v/>
      </c>
      <c r="E32" s="26" t="n">
        <v>0.07255499999999999</v>
      </c>
      <c r="F32" s="26" t="n">
        <v>0.021828</v>
      </c>
      <c r="G32" s="27" t="n">
        <v>0.739910249</v>
      </c>
      <c r="H32" s="27" t="n">
        <v>0.6943319999999999</v>
      </c>
      <c r="I32" s="27" t="n">
        <v>0.840053</v>
      </c>
      <c r="J32" s="28" t="n">
        <v>1</v>
      </c>
      <c r="K32" s="25">
        <f>SUMIFS(Campagne!$G$2:$G$15,Campagne!$C$2:$C$15,$A32)</f>
        <v/>
      </c>
      <c r="L32" s="29">
        <f>$A32</f>
        <v/>
      </c>
      <c r="M32" s="7" t="n"/>
      <c r="N32" s="3" t="n"/>
    </row>
    <row r="33" ht="16" customHeight="1">
      <c r="A33" s="7" t="n"/>
      <c r="B33" s="10" t="inlineStr">
        <is>
          <t>La colonne CAP RETENU est la seule saisie de cette feuille. À 1 partout, la répartition d'origine est conservée.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3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3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3" t="n"/>
    </row>
    <row r="36" ht="30" customHeight="1">
      <c r="A36" s="7" t="n"/>
      <c r="B36" s="20" t="inlineStr">
        <is>
          <t>②   SYNTHÈSE PAR CAMPUS  ·  du chiffre d'affaires à l'EBITDA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3" t="n"/>
    </row>
    <row r="37" ht="14" customHeight="1">
      <c r="A37" s="7" t="n"/>
      <c r="B37" s="10" t="inlineStr">
        <is>
          <t>Tout est calculé : chaque ligne interroge le moteur et le P&amp;L par le nom du campus. Le sous-total campus, la quote-part du siège, puis le groupe.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3" t="n"/>
    </row>
    <row r="38" ht="30" customHeight="1">
      <c r="A38" s="21" t="inlineStr">
        <is>
          <t>Campus</t>
        </is>
      </c>
      <c r="B38" s="21" t="inlineStr">
        <is>
          <t>Marque</t>
        </is>
      </c>
      <c r="C38" s="21" t="inlineStr">
        <is>
          <t>Ville</t>
        </is>
      </c>
      <c r="D38" s="22" t="inlineStr">
        <is>
          <t>Effectif</t>
        </is>
      </c>
      <c r="E38" s="22" t="inlineStr">
        <is>
          <t>CA 2027</t>
        </is>
      </c>
      <c r="F38" s="22" t="inlineStr">
        <is>
          <t>Prix moyen</t>
        </is>
      </c>
      <c r="G38" s="22" t="inlineStr">
        <is>
          <t>Part du CA</t>
        </is>
      </c>
      <c r="H38" s="22" t="inlineStr">
        <is>
          <t>EBITDA campus</t>
        </is>
      </c>
      <c r="I38" s="22" t="inlineStr">
        <is>
          <t>Marge EBITDA</t>
        </is>
      </c>
      <c r="J38" s="22" t="inlineStr">
        <is>
          <t>EBITDA / étudiant</t>
        </is>
      </c>
      <c r="K38" s="22" t="inlineStr">
        <is>
          <t>Budget rejoué</t>
        </is>
      </c>
      <c r="L38" s="22" t="inlineStr">
        <is>
          <t>CAC marginal</t>
        </is>
      </c>
      <c r="M38" s="7" t="n"/>
      <c r="N38" s="3" t="n"/>
    </row>
    <row r="39" ht="18" customHeight="1">
      <c r="A39" s="23" t="inlineStr">
        <is>
          <t>MBWAY_PAR</t>
        </is>
      </c>
      <c r="B39" s="24" t="inlineStr">
        <is>
          <t>MBway</t>
        </is>
      </c>
      <c r="C39" s="24" t="inlineStr">
        <is>
          <t>Paris</t>
        </is>
      </c>
      <c r="D39" s="30">
        <f>SUMIFS(Moteur!$P$1:$P$200,Moteur!$D$1:$D$200,$A39,Moteur!$B$1:$B$200,$P$1)</f>
        <v/>
      </c>
      <c r="E39" s="31">
        <f>SUMIFS(Moteur!$R$1:$R$200,Moteur!$D$1:$D$200,$A39,Moteur!$B$1:$B$200,$P$1)</f>
        <v/>
      </c>
      <c r="F39" s="31">
        <f>IFERROR(E39/D39,0)</f>
        <v/>
      </c>
      <c r="G39" s="32">
        <f>IFERROR(E39/SUM($E$39:$E$52),0)</f>
        <v/>
      </c>
      <c r="H39" s="31">
        <f>SUMIFS(_CALC_PNL!$T$1:$T$1347,_CALC_PNL!$A$1:$A$1347,$A39,_CALC_PNL!$D$1:$D$1347,$P$1,_CALC_PNL!$C$1:$C$1347,"2027")</f>
        <v/>
      </c>
      <c r="I39" s="32">
        <f>IFERROR(H39/E39,0)</f>
        <v/>
      </c>
      <c r="J39" s="31">
        <f>IFERROR(H39/D39,0)</f>
        <v/>
      </c>
      <c r="K39" s="31">
        <f>SUMIFS(Pilotage!$K$19:$K$32,Pilotage!$A$19:$A$32,$A39)*SUMIFS(Pilotage!$J$19:$J$32,Pilotage!$A$19:$A$32,$A39)*(SUM(Pilotage!$K$19:$K$32)/SUMPRODUCT(Pilotage!$K$19:$K$32,Pilotage!$J$19:$J$32))</f>
        <v/>
      </c>
      <c r="L39" s="31">
        <f>SUMIFS(Pilotage!$D$19:$D$32,Pilotage!$A$19:$A$32,$A39)</f>
        <v/>
      </c>
      <c r="M39" s="7" t="n"/>
      <c r="N39" s="3" t="n"/>
    </row>
    <row r="40" ht="18" customHeight="1">
      <c r="A40" s="23" t="inlineStr">
        <is>
          <t>MBWAY_LYO</t>
        </is>
      </c>
      <c r="B40" s="24" t="inlineStr">
        <is>
          <t>MBway</t>
        </is>
      </c>
      <c r="C40" s="24" t="inlineStr">
        <is>
          <t>Lyon</t>
        </is>
      </c>
      <c r="D40" s="30">
        <f>SUMIFS(Moteur!$P$1:$P$200,Moteur!$D$1:$D$200,$A40,Moteur!$B$1:$B$200,$P$1)</f>
        <v/>
      </c>
      <c r="E40" s="31">
        <f>SUMIFS(Moteur!$R$1:$R$200,Moteur!$D$1:$D$200,$A40,Moteur!$B$1:$B$200,$P$1)</f>
        <v/>
      </c>
      <c r="F40" s="31">
        <f>IFERROR(E40/D40,0)</f>
        <v/>
      </c>
      <c r="G40" s="32">
        <f>IFERROR(E40/SUM($E$39:$E$52),0)</f>
        <v/>
      </c>
      <c r="H40" s="31">
        <f>SUMIFS(_CALC_PNL!$T$1:$T$1347,_CALC_PNL!$A$1:$A$1347,$A40,_CALC_PNL!$D$1:$D$1347,$P$1,_CALC_PNL!$C$1:$C$1347,"2027")</f>
        <v/>
      </c>
      <c r="I40" s="32">
        <f>IFERROR(H40/E40,0)</f>
        <v/>
      </c>
      <c r="J40" s="31">
        <f>IFERROR(H40/D40,0)</f>
        <v/>
      </c>
      <c r="K40" s="31">
        <f>SUMIFS(Pilotage!$K$19:$K$32,Pilotage!$A$19:$A$32,$A40)*SUMIFS(Pilotage!$J$19:$J$32,Pilotage!$A$19:$A$32,$A40)*(SUM(Pilotage!$K$19:$K$32)/SUMPRODUCT(Pilotage!$K$19:$K$32,Pilotage!$J$19:$J$32))</f>
        <v/>
      </c>
      <c r="L40" s="31">
        <f>SUMIFS(Pilotage!$D$19:$D$32,Pilotage!$A$19:$A$32,$A40)</f>
        <v/>
      </c>
      <c r="M40" s="7" t="n"/>
      <c r="N40" s="3" t="n"/>
    </row>
    <row r="41" ht="18" customHeight="1">
      <c r="A41" s="23" t="inlineStr">
        <is>
          <t>MBWAY_NAN</t>
        </is>
      </c>
      <c r="B41" s="24" t="inlineStr">
        <is>
          <t>MBway</t>
        </is>
      </c>
      <c r="C41" s="24" t="inlineStr">
        <is>
          <t>Nantes</t>
        </is>
      </c>
      <c r="D41" s="30">
        <f>SUMIFS(Moteur!$P$1:$P$200,Moteur!$D$1:$D$200,$A41,Moteur!$B$1:$B$200,$P$1)</f>
        <v/>
      </c>
      <c r="E41" s="31">
        <f>SUMIFS(Moteur!$R$1:$R$200,Moteur!$D$1:$D$200,$A41,Moteur!$B$1:$B$200,$P$1)</f>
        <v/>
      </c>
      <c r="F41" s="31">
        <f>IFERROR(E41/D41,0)</f>
        <v/>
      </c>
      <c r="G41" s="32">
        <f>IFERROR(E41/SUM($E$39:$E$52),0)</f>
        <v/>
      </c>
      <c r="H41" s="31">
        <f>SUMIFS(_CALC_PNL!$T$1:$T$1347,_CALC_PNL!$A$1:$A$1347,$A41,_CALC_PNL!$D$1:$D$1347,$P$1,_CALC_PNL!$C$1:$C$1347,"2027")</f>
        <v/>
      </c>
      <c r="I41" s="32">
        <f>IFERROR(H41/E41,0)</f>
        <v/>
      </c>
      <c r="J41" s="31">
        <f>IFERROR(H41/D41,0)</f>
        <v/>
      </c>
      <c r="K41" s="31">
        <f>SUMIFS(Pilotage!$K$19:$K$32,Pilotage!$A$19:$A$32,$A41)*SUMIFS(Pilotage!$J$19:$J$32,Pilotage!$A$19:$A$32,$A41)*(SUM(Pilotage!$K$19:$K$32)/SUMPRODUCT(Pilotage!$K$19:$K$32,Pilotage!$J$19:$J$32))</f>
        <v/>
      </c>
      <c r="L41" s="31">
        <f>SUMIFS(Pilotage!$D$19:$D$32,Pilotage!$A$19:$A$32,$A41)</f>
        <v/>
      </c>
      <c r="M41" s="7" t="n"/>
      <c r="N41" s="3" t="n"/>
    </row>
    <row r="42" ht="18" customHeight="1">
      <c r="A42" s="23" t="inlineStr">
        <is>
          <t>MBWAY_BOR</t>
        </is>
      </c>
      <c r="B42" s="24" t="inlineStr">
        <is>
          <t>MBway</t>
        </is>
      </c>
      <c r="C42" s="24" t="inlineStr">
        <is>
          <t>Bordeaux</t>
        </is>
      </c>
      <c r="D42" s="30">
        <f>SUMIFS(Moteur!$P$1:$P$200,Moteur!$D$1:$D$200,$A42,Moteur!$B$1:$B$200,$P$1)</f>
        <v/>
      </c>
      <c r="E42" s="31">
        <f>SUMIFS(Moteur!$R$1:$R$200,Moteur!$D$1:$D$200,$A42,Moteur!$B$1:$B$200,$P$1)</f>
        <v/>
      </c>
      <c r="F42" s="31">
        <f>IFERROR(E42/D42,0)</f>
        <v/>
      </c>
      <c r="G42" s="32">
        <f>IFERROR(E42/SUM($E$39:$E$52),0)</f>
        <v/>
      </c>
      <c r="H42" s="31">
        <f>SUMIFS(_CALC_PNL!$T$1:$T$1347,_CALC_PNL!$A$1:$A$1347,$A42,_CALC_PNL!$D$1:$D$1347,$P$1,_CALC_PNL!$C$1:$C$1347,"2027")</f>
        <v/>
      </c>
      <c r="I42" s="32">
        <f>IFERROR(H42/E42,0)</f>
        <v/>
      </c>
      <c r="J42" s="31">
        <f>IFERROR(H42/D42,0)</f>
        <v/>
      </c>
      <c r="K42" s="31">
        <f>SUMIFS(Pilotage!$K$19:$K$32,Pilotage!$A$19:$A$32,$A42)*SUMIFS(Pilotage!$J$19:$J$32,Pilotage!$A$19:$A$32,$A42)*(SUM(Pilotage!$K$19:$K$32)/SUMPRODUCT(Pilotage!$K$19:$K$32,Pilotage!$J$19:$J$32))</f>
        <v/>
      </c>
      <c r="L42" s="31">
        <f>SUMIFS(Pilotage!$D$19:$D$32,Pilotage!$A$19:$A$32,$A42)</f>
        <v/>
      </c>
      <c r="M42" s="7" t="n"/>
      <c r="N42" s="3" t="n"/>
    </row>
    <row r="43" ht="18" customHeight="1">
      <c r="A43" s="23" t="inlineStr">
        <is>
          <t>ISCOM_PAR</t>
        </is>
      </c>
      <c r="B43" s="24" t="inlineStr">
        <is>
          <t>ISCOM</t>
        </is>
      </c>
      <c r="C43" s="24" t="inlineStr">
        <is>
          <t>Paris</t>
        </is>
      </c>
      <c r="D43" s="30">
        <f>SUMIFS(Moteur!$P$1:$P$200,Moteur!$D$1:$D$200,$A43,Moteur!$B$1:$B$200,$P$1)</f>
        <v/>
      </c>
      <c r="E43" s="31">
        <f>SUMIFS(Moteur!$R$1:$R$200,Moteur!$D$1:$D$200,$A43,Moteur!$B$1:$B$200,$P$1)</f>
        <v/>
      </c>
      <c r="F43" s="31">
        <f>IFERROR(E43/D43,0)</f>
        <v/>
      </c>
      <c r="G43" s="32">
        <f>IFERROR(E43/SUM($E$39:$E$52),0)</f>
        <v/>
      </c>
      <c r="H43" s="31">
        <f>SUMIFS(_CALC_PNL!$T$1:$T$1347,_CALC_PNL!$A$1:$A$1347,$A43,_CALC_PNL!$D$1:$D$1347,$P$1,_CALC_PNL!$C$1:$C$1347,"2027")</f>
        <v/>
      </c>
      <c r="I43" s="32">
        <f>IFERROR(H43/E43,0)</f>
        <v/>
      </c>
      <c r="J43" s="31">
        <f>IFERROR(H43/D43,0)</f>
        <v/>
      </c>
      <c r="K43" s="31">
        <f>SUMIFS(Pilotage!$K$19:$K$32,Pilotage!$A$19:$A$32,$A43)*SUMIFS(Pilotage!$J$19:$J$32,Pilotage!$A$19:$A$32,$A43)*(SUM(Pilotage!$K$19:$K$32)/SUMPRODUCT(Pilotage!$K$19:$K$32,Pilotage!$J$19:$J$32))</f>
        <v/>
      </c>
      <c r="L43" s="31">
        <f>SUMIFS(Pilotage!$D$19:$D$32,Pilotage!$A$19:$A$32,$A43)</f>
        <v/>
      </c>
      <c r="M43" s="7" t="n"/>
      <c r="N43" s="3" t="n"/>
    </row>
    <row r="44" ht="18" customHeight="1">
      <c r="A44" s="23" t="inlineStr">
        <is>
          <t>ISCOM_LIL</t>
        </is>
      </c>
      <c r="B44" s="24" t="inlineStr">
        <is>
          <t>ISCOM</t>
        </is>
      </c>
      <c r="C44" s="24" t="inlineStr">
        <is>
          <t>Lille</t>
        </is>
      </c>
      <c r="D44" s="30">
        <f>SUMIFS(Moteur!$P$1:$P$200,Moteur!$D$1:$D$200,$A44,Moteur!$B$1:$B$200,$P$1)</f>
        <v/>
      </c>
      <c r="E44" s="31">
        <f>SUMIFS(Moteur!$R$1:$R$200,Moteur!$D$1:$D$200,$A44,Moteur!$B$1:$B$200,$P$1)</f>
        <v/>
      </c>
      <c r="F44" s="31">
        <f>IFERROR(E44/D44,0)</f>
        <v/>
      </c>
      <c r="G44" s="32">
        <f>IFERROR(E44/SUM($E$39:$E$52),0)</f>
        <v/>
      </c>
      <c r="H44" s="31">
        <f>SUMIFS(_CALC_PNL!$T$1:$T$1347,_CALC_PNL!$A$1:$A$1347,$A44,_CALC_PNL!$D$1:$D$1347,$P$1,_CALC_PNL!$C$1:$C$1347,"2027")</f>
        <v/>
      </c>
      <c r="I44" s="32">
        <f>IFERROR(H44/E44,0)</f>
        <v/>
      </c>
      <c r="J44" s="31">
        <f>IFERROR(H44/D44,0)</f>
        <v/>
      </c>
      <c r="K44" s="31">
        <f>SUMIFS(Pilotage!$K$19:$K$32,Pilotage!$A$19:$A$32,$A44)*SUMIFS(Pilotage!$J$19:$J$32,Pilotage!$A$19:$A$32,$A44)*(SUM(Pilotage!$K$19:$K$32)/SUMPRODUCT(Pilotage!$K$19:$K$32,Pilotage!$J$19:$J$32))</f>
        <v/>
      </c>
      <c r="L44" s="31">
        <f>SUMIFS(Pilotage!$D$19:$D$32,Pilotage!$A$19:$A$32,$A44)</f>
        <v/>
      </c>
      <c r="M44" s="7" t="n"/>
      <c r="N44" s="3" t="n"/>
    </row>
    <row r="45" ht="18" customHeight="1">
      <c r="A45" s="23" t="inlineStr">
        <is>
          <t>ISCOM_TLS</t>
        </is>
      </c>
      <c r="B45" s="24" t="inlineStr">
        <is>
          <t>ISCOM</t>
        </is>
      </c>
      <c r="C45" s="24" t="inlineStr">
        <is>
          <t>Toulouse</t>
        </is>
      </c>
      <c r="D45" s="30">
        <f>SUMIFS(Moteur!$P$1:$P$200,Moteur!$D$1:$D$200,$A45,Moteur!$B$1:$B$200,$P$1)</f>
        <v/>
      </c>
      <c r="E45" s="31">
        <f>SUMIFS(Moteur!$R$1:$R$200,Moteur!$D$1:$D$200,$A45,Moteur!$B$1:$B$200,$P$1)</f>
        <v/>
      </c>
      <c r="F45" s="31">
        <f>IFERROR(E45/D45,0)</f>
        <v/>
      </c>
      <c r="G45" s="32">
        <f>IFERROR(E45/SUM($E$39:$E$52),0)</f>
        <v/>
      </c>
      <c r="H45" s="31">
        <f>SUMIFS(_CALC_PNL!$T$1:$T$1347,_CALC_PNL!$A$1:$A$1347,$A45,_CALC_PNL!$D$1:$D$1347,$P$1,_CALC_PNL!$C$1:$C$1347,"2027")</f>
        <v/>
      </c>
      <c r="I45" s="32">
        <f>IFERROR(H45/E45,0)</f>
        <v/>
      </c>
      <c r="J45" s="31">
        <f>IFERROR(H45/D45,0)</f>
        <v/>
      </c>
      <c r="K45" s="31">
        <f>SUMIFS(Pilotage!$K$19:$K$32,Pilotage!$A$19:$A$32,$A45)*SUMIFS(Pilotage!$J$19:$J$32,Pilotage!$A$19:$A$32,$A45)*(SUM(Pilotage!$K$19:$K$32)/SUMPRODUCT(Pilotage!$K$19:$K$32,Pilotage!$J$19:$J$32))</f>
        <v/>
      </c>
      <c r="L45" s="31">
        <f>SUMIFS(Pilotage!$D$19:$D$32,Pilotage!$A$19:$A$32,$A45)</f>
        <v/>
      </c>
      <c r="M45" s="7" t="n"/>
      <c r="N45" s="3" t="n"/>
    </row>
    <row r="46" ht="18" customHeight="1">
      <c r="A46" s="23" t="inlineStr">
        <is>
          <t>IPAC_NAN</t>
        </is>
      </c>
      <c r="B46" s="24" t="inlineStr">
        <is>
          <t>Ipac</t>
        </is>
      </c>
      <c r="C46" s="24" t="inlineStr">
        <is>
          <t>Nantes</t>
        </is>
      </c>
      <c r="D46" s="30">
        <f>SUMIFS(Moteur!$P$1:$P$200,Moteur!$D$1:$D$200,$A46,Moteur!$B$1:$B$200,$P$1)</f>
        <v/>
      </c>
      <c r="E46" s="31">
        <f>SUMIFS(Moteur!$R$1:$R$200,Moteur!$D$1:$D$200,$A46,Moteur!$B$1:$B$200,$P$1)</f>
        <v/>
      </c>
      <c r="F46" s="31">
        <f>IFERROR(E46/D46,0)</f>
        <v/>
      </c>
      <c r="G46" s="32">
        <f>IFERROR(E46/SUM($E$39:$E$52),0)</f>
        <v/>
      </c>
      <c r="H46" s="31">
        <f>SUMIFS(_CALC_PNL!$T$1:$T$1347,_CALC_PNL!$A$1:$A$1347,$A46,_CALC_PNL!$D$1:$D$1347,$P$1,_CALC_PNL!$C$1:$C$1347,"2027")</f>
        <v/>
      </c>
      <c r="I46" s="32">
        <f>IFERROR(H46/E46,0)</f>
        <v/>
      </c>
      <c r="J46" s="31">
        <f>IFERROR(H46/D46,0)</f>
        <v/>
      </c>
      <c r="K46" s="31">
        <f>SUMIFS(Pilotage!$K$19:$K$32,Pilotage!$A$19:$A$32,$A46)*SUMIFS(Pilotage!$J$19:$J$32,Pilotage!$A$19:$A$32,$A46)*(SUM(Pilotage!$K$19:$K$32)/SUMPRODUCT(Pilotage!$K$19:$K$32,Pilotage!$J$19:$J$32))</f>
        <v/>
      </c>
      <c r="L46" s="31">
        <f>SUMIFS(Pilotage!$D$19:$D$32,Pilotage!$A$19:$A$32,$A46)</f>
        <v/>
      </c>
      <c r="M46" s="7" t="n"/>
      <c r="N46" s="3" t="n"/>
    </row>
    <row r="47" ht="18" customHeight="1">
      <c r="A47" s="23" t="inlineStr">
        <is>
          <t>IPAC_REN</t>
        </is>
      </c>
      <c r="B47" s="24" t="inlineStr">
        <is>
          <t>Ipac</t>
        </is>
      </c>
      <c r="C47" s="24" t="inlineStr">
        <is>
          <t>Rennes</t>
        </is>
      </c>
      <c r="D47" s="30">
        <f>SUMIFS(Moteur!$P$1:$P$200,Moteur!$D$1:$D$200,$A47,Moteur!$B$1:$B$200,$P$1)</f>
        <v/>
      </c>
      <c r="E47" s="31">
        <f>SUMIFS(Moteur!$R$1:$R$200,Moteur!$D$1:$D$200,$A47,Moteur!$B$1:$B$200,$P$1)</f>
        <v/>
      </c>
      <c r="F47" s="31">
        <f>IFERROR(E47/D47,0)</f>
        <v/>
      </c>
      <c r="G47" s="32">
        <f>IFERROR(E47/SUM($E$39:$E$52),0)</f>
        <v/>
      </c>
      <c r="H47" s="31">
        <f>SUMIFS(_CALC_PNL!$T$1:$T$1347,_CALC_PNL!$A$1:$A$1347,$A47,_CALC_PNL!$D$1:$D$1347,$P$1,_CALC_PNL!$C$1:$C$1347,"2027")</f>
        <v/>
      </c>
      <c r="I47" s="32">
        <f>IFERROR(H47/E47,0)</f>
        <v/>
      </c>
      <c r="J47" s="31">
        <f>IFERROR(H47/D47,0)</f>
        <v/>
      </c>
      <c r="K47" s="31">
        <f>SUMIFS(Pilotage!$K$19:$K$32,Pilotage!$A$19:$A$32,$A47)*SUMIFS(Pilotage!$J$19:$J$32,Pilotage!$A$19:$A$32,$A47)*(SUM(Pilotage!$K$19:$K$32)/SUMPRODUCT(Pilotage!$K$19:$K$32,Pilotage!$J$19:$J$32))</f>
        <v/>
      </c>
      <c r="L47" s="31">
        <f>SUMIFS(Pilotage!$D$19:$D$32,Pilotage!$A$19:$A$32,$A47)</f>
        <v/>
      </c>
      <c r="M47" s="7" t="n"/>
      <c r="N47" s="3" t="n"/>
    </row>
    <row r="48" ht="18" customHeight="1">
      <c r="A48" s="23" t="inlineStr">
        <is>
          <t>IPAC_MTP</t>
        </is>
      </c>
      <c r="B48" s="24" t="inlineStr">
        <is>
          <t>Ipac</t>
        </is>
      </c>
      <c r="C48" s="24" t="inlineStr">
        <is>
          <t>Montpellier</t>
        </is>
      </c>
      <c r="D48" s="30">
        <f>SUMIFS(Moteur!$P$1:$P$200,Moteur!$D$1:$D$200,$A48,Moteur!$B$1:$B$200,$P$1)</f>
        <v/>
      </c>
      <c r="E48" s="31">
        <f>SUMIFS(Moteur!$R$1:$R$200,Moteur!$D$1:$D$200,$A48,Moteur!$B$1:$B$200,$P$1)</f>
        <v/>
      </c>
      <c r="F48" s="31">
        <f>IFERROR(E48/D48,0)</f>
        <v/>
      </c>
      <c r="G48" s="32">
        <f>IFERROR(E48/SUM($E$39:$E$52),0)</f>
        <v/>
      </c>
      <c r="H48" s="31">
        <f>SUMIFS(_CALC_PNL!$T$1:$T$1347,_CALC_PNL!$A$1:$A$1347,$A48,_CALC_PNL!$D$1:$D$1347,$P$1,_CALC_PNL!$C$1:$C$1347,"2027")</f>
        <v/>
      </c>
      <c r="I48" s="32">
        <f>IFERROR(H48/E48,0)</f>
        <v/>
      </c>
      <c r="J48" s="31">
        <f>IFERROR(H48/D48,0)</f>
        <v/>
      </c>
      <c r="K48" s="31">
        <f>SUMIFS(Pilotage!$K$19:$K$32,Pilotage!$A$19:$A$32,$A48)*SUMIFS(Pilotage!$J$19:$J$32,Pilotage!$A$19:$A$32,$A48)*(SUM(Pilotage!$K$19:$K$32)/SUMPRODUCT(Pilotage!$K$19:$K$32,Pilotage!$J$19:$J$32))</f>
        <v/>
      </c>
      <c r="L48" s="31">
        <f>SUMIFS(Pilotage!$D$19:$D$32,Pilotage!$A$19:$A$32,$A48)</f>
        <v/>
      </c>
      <c r="M48" s="7" t="n"/>
      <c r="N48" s="3" t="n"/>
    </row>
    <row r="49" ht="18" customHeight="1">
      <c r="A49" s="23" t="inlineStr">
        <is>
          <t>PIGIER_LYO</t>
        </is>
      </c>
      <c r="B49" s="24" t="inlineStr">
        <is>
          <t>Pigier</t>
        </is>
      </c>
      <c r="C49" s="24" t="inlineStr">
        <is>
          <t>Lyon</t>
        </is>
      </c>
      <c r="D49" s="30">
        <f>SUMIFS(Moteur!$P$1:$P$200,Moteur!$D$1:$D$200,$A49,Moteur!$B$1:$B$200,$P$1)</f>
        <v/>
      </c>
      <c r="E49" s="31">
        <f>SUMIFS(Moteur!$R$1:$R$200,Moteur!$D$1:$D$200,$A49,Moteur!$B$1:$B$200,$P$1)</f>
        <v/>
      </c>
      <c r="F49" s="31">
        <f>IFERROR(E49/D49,0)</f>
        <v/>
      </c>
      <c r="G49" s="32">
        <f>IFERROR(E49/SUM($E$39:$E$52),0)</f>
        <v/>
      </c>
      <c r="H49" s="31">
        <f>SUMIFS(_CALC_PNL!$T$1:$T$1347,_CALC_PNL!$A$1:$A$1347,$A49,_CALC_PNL!$D$1:$D$1347,$P$1,_CALC_PNL!$C$1:$C$1347,"2027")</f>
        <v/>
      </c>
      <c r="I49" s="32">
        <f>IFERROR(H49/E49,0)</f>
        <v/>
      </c>
      <c r="J49" s="31">
        <f>IFERROR(H49/D49,0)</f>
        <v/>
      </c>
      <c r="K49" s="31">
        <f>SUMIFS(Pilotage!$K$19:$K$32,Pilotage!$A$19:$A$32,$A49)*SUMIFS(Pilotage!$J$19:$J$32,Pilotage!$A$19:$A$32,$A49)*(SUM(Pilotage!$K$19:$K$32)/SUMPRODUCT(Pilotage!$K$19:$K$32,Pilotage!$J$19:$J$32))</f>
        <v/>
      </c>
      <c r="L49" s="31">
        <f>SUMIFS(Pilotage!$D$19:$D$32,Pilotage!$A$19:$A$32,$A49)</f>
        <v/>
      </c>
      <c r="M49" s="7" t="n"/>
      <c r="N49" s="3" t="n"/>
    </row>
    <row r="50" ht="18" customHeight="1">
      <c r="A50" s="23" t="inlineStr">
        <is>
          <t>PIGIER_BOR</t>
        </is>
      </c>
      <c r="B50" s="24" t="inlineStr">
        <is>
          <t>Pigier</t>
        </is>
      </c>
      <c r="C50" s="24" t="inlineStr">
        <is>
          <t>Bordeaux</t>
        </is>
      </c>
      <c r="D50" s="30">
        <f>SUMIFS(Moteur!$P$1:$P$200,Moteur!$D$1:$D$200,$A50,Moteur!$B$1:$B$200,$P$1)</f>
        <v/>
      </c>
      <c r="E50" s="31">
        <f>SUMIFS(Moteur!$R$1:$R$200,Moteur!$D$1:$D$200,$A50,Moteur!$B$1:$B$200,$P$1)</f>
        <v/>
      </c>
      <c r="F50" s="31">
        <f>IFERROR(E50/D50,0)</f>
        <v/>
      </c>
      <c r="G50" s="32">
        <f>IFERROR(E50/SUM($E$39:$E$52),0)</f>
        <v/>
      </c>
      <c r="H50" s="31">
        <f>SUMIFS(_CALC_PNL!$T$1:$T$1347,_CALC_PNL!$A$1:$A$1347,$A50,_CALC_PNL!$D$1:$D$1347,$P$1,_CALC_PNL!$C$1:$C$1347,"2027")</f>
        <v/>
      </c>
      <c r="I50" s="32">
        <f>IFERROR(H50/E50,0)</f>
        <v/>
      </c>
      <c r="J50" s="31">
        <f>IFERROR(H50/D50,0)</f>
        <v/>
      </c>
      <c r="K50" s="31">
        <f>SUMIFS(Pilotage!$K$19:$K$32,Pilotage!$A$19:$A$32,$A50)*SUMIFS(Pilotage!$J$19:$J$32,Pilotage!$A$19:$A$32,$A50)*(SUM(Pilotage!$K$19:$K$32)/SUMPRODUCT(Pilotage!$K$19:$K$32,Pilotage!$J$19:$J$32))</f>
        <v/>
      </c>
      <c r="L50" s="31">
        <f>SUMIFS(Pilotage!$D$19:$D$32,Pilotage!$A$19:$A$32,$A50)</f>
        <v/>
      </c>
      <c r="M50" s="7" t="n"/>
      <c r="N50" s="3" t="n"/>
    </row>
    <row r="51" ht="18" customHeight="1">
      <c r="A51" s="23" t="inlineStr">
        <is>
          <t>TUNON_PAR</t>
        </is>
      </c>
      <c r="B51" s="24" t="inlineStr">
        <is>
          <t>Tunon</t>
        </is>
      </c>
      <c r="C51" s="24" t="inlineStr">
        <is>
          <t>Paris</t>
        </is>
      </c>
      <c r="D51" s="30">
        <f>SUMIFS(Moteur!$P$1:$P$200,Moteur!$D$1:$D$200,$A51,Moteur!$B$1:$B$200,$P$1)</f>
        <v/>
      </c>
      <c r="E51" s="31">
        <f>SUMIFS(Moteur!$R$1:$R$200,Moteur!$D$1:$D$200,$A51,Moteur!$B$1:$B$200,$P$1)</f>
        <v/>
      </c>
      <c r="F51" s="31">
        <f>IFERROR(E51/D51,0)</f>
        <v/>
      </c>
      <c r="G51" s="32">
        <f>IFERROR(E51/SUM($E$39:$E$52),0)</f>
        <v/>
      </c>
      <c r="H51" s="31">
        <f>SUMIFS(_CALC_PNL!$T$1:$T$1347,_CALC_PNL!$A$1:$A$1347,$A51,_CALC_PNL!$D$1:$D$1347,$P$1,_CALC_PNL!$C$1:$C$1347,"2027")</f>
        <v/>
      </c>
      <c r="I51" s="32">
        <f>IFERROR(H51/E51,0)</f>
        <v/>
      </c>
      <c r="J51" s="31">
        <f>IFERROR(H51/D51,0)</f>
        <v/>
      </c>
      <c r="K51" s="31">
        <f>SUMIFS(Pilotage!$K$19:$K$32,Pilotage!$A$19:$A$32,$A51)*SUMIFS(Pilotage!$J$19:$J$32,Pilotage!$A$19:$A$32,$A51)*(SUM(Pilotage!$K$19:$K$32)/SUMPRODUCT(Pilotage!$K$19:$K$32,Pilotage!$J$19:$J$32))</f>
        <v/>
      </c>
      <c r="L51" s="31">
        <f>SUMIFS(Pilotage!$D$19:$D$32,Pilotage!$A$19:$A$32,$A51)</f>
        <v/>
      </c>
      <c r="M51" s="7" t="n"/>
      <c r="N51" s="3" t="n"/>
    </row>
    <row r="52" ht="18" customHeight="1">
      <c r="A52" s="23" t="inlineStr">
        <is>
          <t>TUNON_LYO</t>
        </is>
      </c>
      <c r="B52" s="24" t="inlineStr">
        <is>
          <t>Tunon</t>
        </is>
      </c>
      <c r="C52" s="24" t="inlineStr">
        <is>
          <t>Lyon</t>
        </is>
      </c>
      <c r="D52" s="30">
        <f>SUMIFS(Moteur!$P$1:$P$200,Moteur!$D$1:$D$200,$A52,Moteur!$B$1:$B$200,$P$1)</f>
        <v/>
      </c>
      <c r="E52" s="31">
        <f>SUMIFS(Moteur!$R$1:$R$200,Moteur!$D$1:$D$200,$A52,Moteur!$B$1:$B$200,$P$1)</f>
        <v/>
      </c>
      <c r="F52" s="31">
        <f>IFERROR(E52/D52,0)</f>
        <v/>
      </c>
      <c r="G52" s="32">
        <f>IFERROR(E52/SUM($E$39:$E$52),0)</f>
        <v/>
      </c>
      <c r="H52" s="31">
        <f>SUMIFS(_CALC_PNL!$T$1:$T$1347,_CALC_PNL!$A$1:$A$1347,$A52,_CALC_PNL!$D$1:$D$1347,$P$1,_CALC_PNL!$C$1:$C$1347,"2027")</f>
        <v/>
      </c>
      <c r="I52" s="32">
        <f>IFERROR(H52/E52,0)</f>
        <v/>
      </c>
      <c r="J52" s="31">
        <f>IFERROR(H52/D52,0)</f>
        <v/>
      </c>
      <c r="K52" s="31">
        <f>SUMIFS(Pilotage!$K$19:$K$32,Pilotage!$A$19:$A$32,$A52)*SUMIFS(Pilotage!$J$19:$J$32,Pilotage!$A$19:$A$32,$A52)*(SUM(Pilotage!$K$19:$K$32)/SUMPRODUCT(Pilotage!$K$19:$K$32,Pilotage!$J$19:$J$32))</f>
        <v/>
      </c>
      <c r="L52" s="31">
        <f>SUMIFS(Pilotage!$D$19:$D$32,Pilotage!$A$19:$A$32,$A52)</f>
        <v/>
      </c>
      <c r="M52" s="7" t="n"/>
      <c r="N52" s="3" t="n"/>
    </row>
    <row r="53" ht="20" customHeight="1">
      <c r="A53" s="33" t="inlineStr">
        <is>
          <t>Sous-total campus</t>
        </is>
      </c>
      <c r="B53" s="33" t="inlineStr"/>
      <c r="C53" s="33" t="inlineStr"/>
      <c r="D53" s="34">
        <f>SUM(D39:D52)</f>
        <v/>
      </c>
      <c r="E53" s="35">
        <f>SUM(E39:E52)</f>
        <v/>
      </c>
      <c r="F53" s="35">
        <f>IFERROR(E53/D53,0)</f>
        <v/>
      </c>
      <c r="G53" s="36">
        <f>SUM(G39:G52)</f>
        <v/>
      </c>
      <c r="H53" s="35">
        <f>SUM(H39:H52)</f>
        <v/>
      </c>
      <c r="I53" s="36">
        <f>IFERROR(H53/E53,0)</f>
        <v/>
      </c>
      <c r="J53" s="35">
        <f>IFERROR(H53/D53,0)</f>
        <v/>
      </c>
      <c r="K53" s="35">
        <f>SUM(K39:K52)</f>
        <v/>
      </c>
      <c r="L53" s="35" t="inlineStr"/>
      <c r="M53" s="7" t="n"/>
      <c r="N53" s="3" t="n"/>
    </row>
    <row r="54" ht="18" customHeight="1">
      <c r="A54" s="23" t="inlineStr">
        <is>
          <t>Siège / holding (GRP)</t>
        </is>
      </c>
      <c r="B54" s="24" t="inlineStr"/>
      <c r="C54" s="24" t="inlineStr"/>
      <c r="D54" s="30" t="inlineStr"/>
      <c r="E54" s="31" t="inlineStr"/>
      <c r="F54" s="31" t="inlineStr"/>
      <c r="G54" s="32" t="inlineStr"/>
      <c r="H54" s="31">
        <f>SUMIFS(_CALC_PNL!$T$1:$T$1347,_CALC_PNL!$A$1:$A$1347,"GRP",_CALC_PNL!$D$1:$D$1347,$P$1,_CALC_PNL!$C$1:$C$1347,"2027")</f>
        <v/>
      </c>
      <c r="I54" s="32" t="inlineStr"/>
      <c r="J54" s="31" t="inlineStr"/>
      <c r="K54" s="31" t="inlineStr"/>
      <c r="L54" s="31" t="inlineStr"/>
      <c r="M54" s="7" t="n"/>
      <c r="N54" s="3" t="n"/>
    </row>
    <row r="55" ht="24" customHeight="1">
      <c r="A55" s="37" t="inlineStr">
        <is>
          <t>GROUPE 2027</t>
        </is>
      </c>
      <c r="B55" s="37" t="inlineStr"/>
      <c r="C55" s="37" t="inlineStr"/>
      <c r="D55" s="38">
        <f>D53</f>
        <v/>
      </c>
      <c r="E55" s="39">
        <f>E53</f>
        <v/>
      </c>
      <c r="F55" s="39">
        <f>IFERROR(E55/D55,0)</f>
        <v/>
      </c>
      <c r="G55" s="40">
        <f>SUM(G39:G52)</f>
        <v/>
      </c>
      <c r="H55" s="41">
        <f>H53+H54</f>
        <v/>
      </c>
      <c r="I55" s="40">
        <f>IFERROR(H55/E55,0)</f>
        <v/>
      </c>
      <c r="J55" s="39">
        <f>IFERROR(H55/D55,0)</f>
        <v/>
      </c>
      <c r="K55" s="39">
        <f>SUM(K39:K52)</f>
        <v/>
      </c>
      <c r="L55" s="39" t="inlineStr"/>
      <c r="M55" s="7" t="n"/>
      <c r="N55" s="3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3" t="n"/>
    </row>
    <row r="57" ht="16" customHeight="1">
      <c r="A57" s="7" t="n"/>
      <c r="B57" s="10" t="inlineStr">
        <is>
          <t>Lecture : le sous-total campus est l'EBITDA propre, avant que le siège ne soit réparti. La ligne GRP porte ce que le siège coûte, en négatif. Leur somme est l'EBITDA du groupe.</t>
        </is>
      </c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3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3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</sheetData>
  <conditionalFormatting sqref="D19:D32">
    <cfRule type="colorScale" priority="1">
      <colorScale>
        <cfvo type="min"/>
        <cfvo type="percentile" val="50"/>
        <cfvo type="max"/>
        <color rgb="00DCEBC0"/>
        <color rgb="00F7F7F5"/>
        <color rgb="00F6C9CC"/>
      </colorScale>
    </cfRule>
  </conditionalFormatting>
  <conditionalFormatting sqref="I39:I52">
    <cfRule type="colorScale" priority="2">
      <colorScale>
        <cfvo type="min"/>
        <cfvo type="percentile" val="50"/>
        <cfvo type="max"/>
        <color rgb="00F6C9CC"/>
        <color rgb="00F7F7F5"/>
        <color rgb="00DCEBC0"/>
      </colorScale>
    </cfRule>
  </conditionalFormatting>
  <conditionalFormatting sqref="J39:J52">
    <cfRule type="colorScale" priority="3">
      <colorScale>
        <cfvo type="min"/>
        <cfvo type="percentile" val="50"/>
        <cfvo type="max"/>
        <color rgb="00F6C9CC"/>
        <color rgb="00F7F7F5"/>
        <color rgb="00DCEBC0"/>
      </colorScale>
    </cfRule>
  </conditionalFormatting>
  <printOptions horizontalCentered="1"/>
  <pageMargins left="0.4" right="0.4" top="1" bottom="1" header="0.5" footer="0.5"/>
  <pageSetup orientation="landscape" paperSize="9" fitToHeight="0" fitToWidth="1"/>
  <headerFooter>
    <oddHeader/>
    <oddFooter>&amp;L&amp;"Arial"&amp;8 EDUSERVICES · Pilotage&amp;R&amp;"Arial"&amp;8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2026-09-08T02:16:30Z</dcterms:created>
  <dcterms:modified xsi:type="dcterms:W3CDTF">2026-09-08T02:16:31Z</dcterms:modified>
</cp:coreProperties>
</file>