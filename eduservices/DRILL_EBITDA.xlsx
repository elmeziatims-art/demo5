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onnées" sheetId="1" state="visible" r:id="rId1"/>
    <sheet name="Dr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▲ &quot;0.0%;&quot;▼ &quot;0.0%"/>
    <numFmt numFmtId="165" formatCode="0.0%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2A78D6"/>
      <sz val="9.5"/>
    </font>
    <font>
      <name val="Segoe UI"/>
      <b val="1"/>
      <color rgb="00FFFFFF"/>
      <sz val="8.5"/>
    </font>
    <font>
      <name val="Segoe UI"/>
      <color rgb="00131922"/>
      <sz val="9"/>
    </font>
    <font>
      <name val="Segoe UI"/>
      <color rgb="007C8798"/>
      <sz val="8"/>
    </font>
    <font>
      <name val="Segoe UI"/>
      <b val="1"/>
      <color rgb="00131922"/>
      <sz val="9"/>
    </font>
    <font>
      <name val="Segoe UI"/>
      <b val="1"/>
      <color rgb="007C8798"/>
      <sz val="8"/>
    </font>
    <font>
      <name val="Segoe UI"/>
      <b val="1"/>
      <color rgb="00131922"/>
      <sz val="14"/>
    </font>
    <font>
      <name val="Segoe UI"/>
      <color rgb="007C8798"/>
      <sz val="9.5"/>
    </font>
    <font>
      <name val="Segoe UI"/>
      <b val="1"/>
      <color rgb="00EB6834"/>
      <sz val="9"/>
    </font>
    <font>
      <name val="Segoe UI"/>
      <b val="1"/>
      <color rgb="007C8798"/>
      <sz val="9"/>
    </font>
    <font>
      <name val="Segoe UI"/>
      <color rgb="007C8798"/>
      <sz val="8.5"/>
    </font>
    <font>
      <name val="Segoe UI"/>
      <b val="1"/>
      <color rgb="007C8798"/>
      <sz val="8.5"/>
    </font>
    <font>
      <name val="Segoe UI"/>
      <b val="1"/>
      <color rgb="002A78D6"/>
      <sz val="10"/>
    </font>
    <font>
      <name val="Segoe UI"/>
      <b val="1"/>
      <color rgb="00131922"/>
      <sz val="11"/>
    </font>
    <font>
      <name val="Consolas"/>
      <b val="1"/>
      <color rgb="00131922"/>
      <sz val="11"/>
    </font>
    <font>
      <name val="Segoe UI"/>
      <b val="1"/>
      <color rgb="00131922"/>
      <sz val="9.5"/>
    </font>
    <font>
      <name val="Consolas"/>
      <color rgb="00131922"/>
      <sz val="9.5"/>
    </font>
    <font>
      <name val="Segoe UI"/>
      <color rgb="00131922"/>
      <sz val="9.5"/>
    </font>
    <font>
      <name val="Segoe UI"/>
      <color rgb="007C8798"/>
      <sz val="7"/>
    </font>
    <font>
      <name val="Consolas"/>
      <color rgb="004D5866"/>
      <sz val="9.5"/>
    </font>
    <font>
      <name val="Segoe UI"/>
      <color rgb="004D5866"/>
      <sz val="9.5"/>
    </font>
  </fonts>
  <fills count="8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4D5866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DCE9F9"/>
      </patternFill>
    </fill>
    <fill>
      <patternFill patternType="solid">
        <fgColor rgb="00F7F9FC"/>
      </patternFill>
    </fill>
  </fills>
  <borders count="23">
    <border>
      <left/>
      <right/>
      <top/>
      <bottom/>
      <diagonal/>
    </border>
    <border>
      <left style="thin">
        <color rgb="004D5866"/>
      </left>
      <right style="thin">
        <color rgb="004D5866"/>
      </right>
      <top style="thin">
        <color rgb="004D5866"/>
      </top>
      <bottom style="thin">
        <color rgb="004D5866"/>
      </bottom>
    </border>
    <border>
      <bottom style="thin">
        <color rgb="00EAEEF4"/>
      </bottom>
    </border>
    <border>
      <top style="thin">
        <color rgb="007C8798"/>
      </top>
    </border>
    <border>
      <left style="thin">
        <color rgb="00DFE4EC"/>
      </left>
      <top style="thin">
        <color rgb="00DFE4EC"/>
      </top>
    </border>
    <border>
      <top style="thin">
        <color rgb="00DFE4EC"/>
      </top>
    </border>
    <border>
      <right style="thin">
        <color rgb="00DFE4EC"/>
      </right>
      <top style="thin">
        <color rgb="00DFE4EC"/>
      </top>
    </border>
    <border>
      <left style="thin">
        <color rgb="00DFE4EC"/>
      </left>
      <bottom style="thin">
        <color rgb="00DFE4EC"/>
      </bottom>
    </border>
    <border>
      <bottom style="thin">
        <color rgb="00DFE4EC"/>
      </bottom>
    </border>
    <border>
      <right style="thin">
        <color rgb="00DFE4EC"/>
      </right>
      <bottom style="thin">
        <color rgb="00DFE4EC"/>
      </bottom>
    </border>
    <border>
      <left style="thin">
        <color rgb="002A78D6"/>
      </left>
      <right style="thin">
        <color rgb="002A78D6"/>
      </right>
      <top style="thin">
        <color rgb="002A78D6"/>
      </top>
      <bottom style="thin">
        <color rgb="002A78D6"/>
      </bottom>
    </border>
    <border>
      <left style="thin">
        <color rgb="00DFE4EC"/>
      </left>
    </border>
    <border/>
    <border>
      <right style="thin">
        <color rgb="00DFE4EC"/>
      </right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  <border>
      <left/>
      <right/>
      <top style="thin">
        <color rgb="00DFE4EC"/>
      </top>
      <bottom/>
      <diagonal/>
    </border>
    <border>
      <left style="thin">
        <color rgb="00DFE4EC"/>
      </left>
      <right/>
      <top/>
      <bottom/>
      <diagonal/>
    </border>
    <border>
      <left/>
      <right style="thin">
        <color rgb="00DFE4EC"/>
      </right>
      <top style="thin">
        <color rgb="00DFE4EC"/>
      </top>
      <bottom/>
      <diagonal/>
    </border>
    <border>
      <left/>
      <right style="thin">
        <color rgb="00DFE4EC"/>
      </right>
      <top/>
      <bottom/>
      <diagonal/>
    </border>
    <border>
      <left style="thin">
        <color rgb="00DFE4EC"/>
      </left>
      <right/>
      <top/>
      <bottom style="thin">
        <color rgb="00DFE4EC"/>
      </bottom>
      <diagonal/>
    </border>
    <border>
      <left/>
      <right/>
      <top/>
      <bottom style="thin">
        <color rgb="00DFE4EC"/>
      </bottom>
      <diagonal/>
    </border>
    <border>
      <left/>
      <right style="thin">
        <color rgb="00DFE4EC"/>
      </right>
      <top/>
      <bottom style="thin">
        <color rgb="00DFE4EC"/>
      </bottom>
      <diagonal/>
    </border>
    <border>
      <left style="thick">
        <color rgb="00EB6834"/>
      </left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0" borderId="0" pivotButton="0" quotePrefix="0" xfId="0"/>
    <xf numFmtId="3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3" fontId="6" fillId="0" borderId="3" applyAlignment="1" pivotButton="0" quotePrefix="0" xfId="0">
      <alignment horizontal="right" vertical="center"/>
    </xf>
    <xf numFmtId="0" fontId="0" fillId="4" borderId="0" pivotButton="0" quotePrefix="0" xfId="0"/>
    <xf numFmtId="0" fontId="8" fillId="5" borderId="4" applyAlignment="1" pivotButton="0" quotePrefix="0" xfId="0">
      <alignment horizontal="left" vertical="center"/>
    </xf>
    <xf numFmtId="0" fontId="0" fillId="5" borderId="5" pivotButton="0" quotePrefix="0" xfId="0"/>
    <xf numFmtId="0" fontId="10" fillId="5" borderId="6" applyAlignment="1" pivotButton="0" quotePrefix="0" xfId="0">
      <alignment horizontal="right" vertical="center"/>
    </xf>
    <xf numFmtId="0" fontId="9" fillId="5" borderId="7" applyAlignment="1" pivotButton="0" quotePrefix="0" xfId="0">
      <alignment horizontal="left" vertical="center"/>
    </xf>
    <xf numFmtId="0" fontId="0" fillId="5" borderId="8" pivotButton="0" quotePrefix="0" xfId="0"/>
    <xf numFmtId="0" fontId="0" fillId="5" borderId="9" pivotButton="0" quotePrefix="0" xfId="0"/>
    <xf numFmtId="0" fontId="11" fillId="5" borderId="4" applyAlignment="1" pivotButton="0" quotePrefix="0" xfId="0">
      <alignment horizontal="left" vertical="center"/>
    </xf>
    <xf numFmtId="0" fontId="13" fillId="5" borderId="5" applyAlignment="1" pivotButton="0" quotePrefix="0" xfId="0">
      <alignment horizontal="center" vertical="center"/>
    </xf>
    <xf numFmtId="0" fontId="0" fillId="5" borderId="6" pivotButton="0" quotePrefix="0" xfId="0"/>
    <xf numFmtId="0" fontId="12" fillId="5" borderId="7" applyAlignment="1" pivotButton="0" quotePrefix="0" xfId="0">
      <alignment horizontal="left" vertical="center"/>
    </xf>
    <xf numFmtId="0" fontId="14" fillId="6" borderId="10" applyAlignment="1" pivotButton="0" quotePrefix="0" xfId="0">
      <alignment horizontal="center" vertical="center"/>
    </xf>
    <xf numFmtId="0" fontId="5" fillId="4" borderId="0" pivotButton="0" quotePrefix="0" xfId="0"/>
    <xf numFmtId="0" fontId="15" fillId="4" borderId="0" applyAlignment="1" pivotButton="0" quotePrefix="0" xfId="0">
      <alignment horizontal="left" vertical="center"/>
    </xf>
    <xf numFmtId="0" fontId="13" fillId="5" borderId="8" applyAlignment="1" pivotButton="0" quotePrefix="0" xfId="0">
      <alignment horizontal="left" vertical="center"/>
    </xf>
    <xf numFmtId="0" fontId="13" fillId="5" borderId="8" applyAlignment="1" pivotButton="0" quotePrefix="0" xfId="0">
      <alignment horizontal="right" vertical="center"/>
    </xf>
    <xf numFmtId="0" fontId="15" fillId="5" borderId="7" applyAlignment="1" pivotButton="0" quotePrefix="0" xfId="0">
      <alignment horizontal="left" vertical="center"/>
    </xf>
    <xf numFmtId="3" fontId="16" fillId="5" borderId="8" applyAlignment="1" pivotButton="0" quotePrefix="0" xfId="0">
      <alignment horizontal="right" vertical="center"/>
    </xf>
    <xf numFmtId="164" fontId="16" fillId="5" borderId="8" applyAlignment="1" pivotButton="0" quotePrefix="0" xfId="0">
      <alignment horizontal="right" vertical="center"/>
    </xf>
    <xf numFmtId="165" fontId="16" fillId="5" borderId="8" applyAlignment="1" pivotButton="0" quotePrefix="0" xfId="0">
      <alignment horizontal="right" vertical="center"/>
    </xf>
    <xf numFmtId="9" fontId="16" fillId="5" borderId="8" applyAlignment="1" pivotButton="0" quotePrefix="0" xfId="0">
      <alignment horizontal="right" vertical="center"/>
    </xf>
    <xf numFmtId="0" fontId="15" fillId="5" borderId="9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/>
    </xf>
    <xf numFmtId="3" fontId="18" fillId="5" borderId="2" applyAlignment="1" pivotButton="0" quotePrefix="0" xfId="0">
      <alignment horizontal="right" vertical="center"/>
    </xf>
    <xf numFmtId="164" fontId="18" fillId="5" borderId="2" applyAlignment="1" pivotButton="0" quotePrefix="0" xfId="0">
      <alignment horizontal="right" vertical="center"/>
    </xf>
    <xf numFmtId="165" fontId="18" fillId="5" borderId="2" applyAlignment="1" pivotButton="0" quotePrefix="0" xfId="0">
      <alignment horizontal="right" vertical="center"/>
    </xf>
    <xf numFmtId="9" fontId="18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center" vertical="center"/>
    </xf>
    <xf numFmtId="0" fontId="0" fillId="5" borderId="7" pivotButton="0" quotePrefix="0" xfId="0"/>
    <xf numFmtId="0" fontId="19" fillId="5" borderId="2" applyAlignment="1" pivotButton="0" quotePrefix="0" xfId="0">
      <alignment horizontal="left" vertical="center"/>
    </xf>
    <xf numFmtId="3" fontId="21" fillId="5" borderId="2" applyAlignment="1" pivotButton="0" quotePrefix="0" xfId="0">
      <alignment horizontal="right" vertical="center"/>
    </xf>
    <xf numFmtId="164" fontId="21" fillId="5" borderId="2" applyAlignment="1" pivotButton="0" quotePrefix="0" xfId="0">
      <alignment horizontal="right" vertical="center"/>
    </xf>
    <xf numFmtId="165" fontId="21" fillId="5" borderId="2" applyAlignment="1" pivotButton="0" quotePrefix="0" xfId="0">
      <alignment horizontal="right" vertical="center"/>
    </xf>
    <xf numFmtId="9" fontId="21" fillId="5" borderId="2" applyAlignment="1" pivotButton="0" quotePrefix="0" xfId="0">
      <alignment horizontal="right" vertical="center"/>
    </xf>
    <xf numFmtId="0" fontId="22" fillId="5" borderId="2" applyAlignment="1" pivotButton="0" quotePrefix="0" xfId="0">
      <alignment horizontal="center" vertical="center"/>
    </xf>
    <xf numFmtId="0" fontId="20" fillId="4" borderId="0" pivotButton="0" quotePrefix="0" xfId="0"/>
    <xf numFmtId="0" fontId="22" fillId="7" borderId="22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7" pivotButton="0" quotePrefix="0" xfId="0"/>
    <xf numFmtId="0" fontId="0" fillId="0" borderId="22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12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name val="Segoe UI"/>
        <b val="1"/>
        <color rgb="00EB6834"/>
        <sz val="8.5"/>
      </font>
      <fill>
        <patternFill patternType="solid">
          <fgColor rgb="00FBE3D8"/>
        </patternFill>
      </fill>
    </dxf>
    <dxf>
      <font>
        <name val="Segoe UI"/>
        <b val="1"/>
        <color rgb="00D03B3B"/>
        <sz val="8.5"/>
      </font>
      <fill>
        <patternFill patternType="solid">
          <fgColor rgb="00FBE0E0"/>
        </patternFill>
      </fill>
    </dxf>
    <dxf>
      <font>
        <name val="Segoe UI"/>
        <b val="1"/>
        <color rgb="009A6B00"/>
        <sz val="8.5"/>
      </font>
      <fill>
        <patternFill patternType="solid">
          <fgColor rgb="00FFF3D6"/>
        </patternFill>
      </fill>
    </dxf>
    <dxf>
      <font>
        <name val="Consolas"/>
        <b val="1"/>
        <color rgb="00D03B3B"/>
        <sz val="9.5"/>
      </font>
    </dxf>
    <dxf>
      <font>
        <name val="Consolas"/>
        <color rgb="000CA30C"/>
        <sz val="9.5"/>
      </font>
    </dxf>
    <dxf>
      <font>
        <name val="Consolas"/>
        <color rgb="00D03B3B"/>
        <sz val="9.5"/>
      </font>
    </dxf>
    <dxf>
      <font>
        <name val="Consolas"/>
        <b val="1"/>
        <color rgb="00FAB219"/>
        <sz val="9.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7" customWidth="1" min="4" max="4"/>
    <col width="7" customWidth="1" min="5" max="5"/>
    <col width="6" customWidth="1" min="6" max="6"/>
    <col width="6" customWidth="1" min="7" max="7"/>
    <col width="7" customWidth="1" min="8" max="8"/>
    <col width="7" customWidth="1" min="9" max="9"/>
    <col width="12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7" customWidth="1" min="20" max="20"/>
    <col width="6" customWidth="1" min="21" max="21"/>
  </cols>
  <sheetData>
    <row r="1" ht="24" customHeight="1">
      <c r="A1" s="1" t="inlineStr">
        <is>
          <t>DONNÉES DU DRILL — grain CLASSE  (source : V_ALLOCATION / V_CAMPUS_CLASSE)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3">
      <c r="A3" s="3" t="inlineStr">
        <is>
          <t>Une ligne = une cohorte-classe. Tout remonte exactement au socle campus du cockpit.</t>
        </is>
      </c>
    </row>
    <row r="4">
      <c r="A4" s="4" t="inlineStr">
        <is>
          <t>Marque</t>
        </is>
      </c>
      <c r="B4" s="4" t="inlineStr">
        <is>
          <t>Campus</t>
        </is>
      </c>
      <c r="C4" s="4" t="inlineStr">
        <is>
          <t>Programme</t>
        </is>
      </c>
      <c r="D4" s="4" t="inlineStr">
        <is>
          <t>Année</t>
        </is>
      </c>
      <c r="E4" s="4" t="inlineStr">
        <is>
          <t>Modalité</t>
        </is>
      </c>
      <c r="F4" s="4" t="inlineStr">
        <is>
          <t>Nb cl.</t>
        </is>
      </c>
      <c r="G4" s="4" t="inlineStr">
        <is>
          <t>Capa.</t>
        </is>
      </c>
      <c r="H4" s="4" t="inlineStr">
        <is>
          <t>Places</t>
        </is>
      </c>
      <c r="I4" s="4" t="inlineStr">
        <is>
          <t>Effectif</t>
        </is>
      </c>
      <c r="J4" s="4" t="inlineStr">
        <is>
          <t>CA 2025</t>
        </is>
      </c>
      <c r="K4" s="4" t="inlineStr">
        <is>
          <t>CA 2026</t>
        </is>
      </c>
      <c r="L4" s="4" t="inlineStr">
        <is>
          <t>Coût variable</t>
        </is>
      </c>
      <c r="M4" s="4" t="inlineStr">
        <is>
          <t>Coût direct</t>
        </is>
      </c>
      <c r="N4" s="4" t="inlineStr">
        <is>
          <t>Coût siège</t>
        </is>
      </c>
      <c r="O4" s="4" t="inlineStr">
        <is>
          <t>EBITDA 2025</t>
        </is>
      </c>
      <c r="P4" s="4" t="inlineStr">
        <is>
          <t>EBITDA 2026</t>
        </is>
      </c>
      <c r="Q4" s="4" t="inlineStr">
        <is>
          <t>Contribution</t>
        </is>
      </c>
      <c r="R4" s="4" t="inlineStr">
        <is>
          <t>Coût complet</t>
        </is>
      </c>
      <c r="S4" s="4" t="inlineStr">
        <is>
          <t>Marge complète</t>
        </is>
      </c>
      <c r="T4" s="4" t="inlineStr">
        <is>
          <t>Inclus</t>
        </is>
      </c>
      <c r="U4" s="4" t="inlineStr">
        <is>
          <t>Rang</t>
        </is>
      </c>
      <c r="W4" s="5" t="inlineStr">
        <is>
          <t>— membres par niveau —</t>
        </is>
      </c>
      <c r="AC4" s="5" t="inlineStr">
        <is>
          <t>Marque</t>
        </is>
      </c>
      <c r="AD4" s="5" t="inlineStr">
        <is>
          <t>Campus</t>
        </is>
      </c>
      <c r="AE4" s="5" t="inlineStr">
        <is>
          <t>Marque (validation)</t>
        </is>
      </c>
      <c r="AF4" s="5" t="inlineStr">
        <is>
          <t>Campus (validation)</t>
        </is>
      </c>
      <c r="AG4" s="5" t="inlineStr">
        <is>
          <t>Programme (validation)</t>
        </is>
      </c>
      <c r="AH4" s="5" t="inlineStr">
        <is>
          <t>Année d'étude (validation)</t>
        </is>
      </c>
      <c r="AI4" s="5" t="inlineStr">
        <is>
          <t>Modalité (validation)</t>
        </is>
      </c>
    </row>
    <row r="5">
      <c r="A5" s="6" t="inlineStr">
        <is>
          <t>MBway</t>
        </is>
      </c>
      <c r="B5" s="6" t="inlineStr">
        <is>
          <t>MBWAY_PAR</t>
        </is>
      </c>
      <c r="C5" s="6" t="inlineStr">
        <is>
          <t>BAC_MGT</t>
        </is>
      </c>
      <c r="D5" s="6" t="inlineStr">
        <is>
          <t>B1</t>
        </is>
      </c>
      <c r="E5" s="6" t="inlineStr">
        <is>
          <t>ALT</t>
        </is>
      </c>
      <c r="F5" s="7" t="n">
        <v>3</v>
      </c>
      <c r="G5" s="7" t="n">
        <v>32</v>
      </c>
      <c r="H5" s="7">
        <f>F5*G5</f>
        <v/>
      </c>
      <c r="I5" s="7" t="n">
        <v>92</v>
      </c>
      <c r="J5" s="7" t="n">
        <v>728030</v>
      </c>
      <c r="K5" s="7" t="n">
        <v>780403</v>
      </c>
      <c r="L5" s="7" t="n">
        <v>33396</v>
      </c>
      <c r="M5" s="7" t="n">
        <v>604822</v>
      </c>
      <c r="N5" s="7" t="n">
        <v>44282</v>
      </c>
      <c r="O5" s="7" t="n">
        <v>115427</v>
      </c>
      <c r="P5" s="7">
        <f>K5-L5-M5</f>
        <v/>
      </c>
      <c r="Q5" s="7">
        <f>K5-L5</f>
        <v/>
      </c>
      <c r="R5" s="7">
        <f>L5+M5+N5</f>
        <v/>
      </c>
      <c r="S5" s="7">
        <f>K5-R5</f>
        <v/>
      </c>
      <c r="T5" s="8">
        <f>IF(AND(OR(Drill!$C$6="(Tous)",$A5=Drill!$C$6),OR(Drill!$D$6="(Tous)",$B5=Drill!$D$6),OR(Drill!$E$6="(Tous)",$C5=Drill!$E$6),OR(Drill!$F$6="(Tous)",$D5=Drill!$F$6),OR(Drill!$G$6="(Tous)",$E5=Drill!$G$6)),1,0)</f>
        <v/>
      </c>
      <c r="U5" s="8">
        <f>IF(T5=1,SUM($T$5:T5),"")</f>
        <v/>
      </c>
      <c r="W5" s="9" t="inlineStr">
        <is>
          <t>MBway</t>
        </is>
      </c>
      <c r="X5" s="9" t="inlineStr">
        <is>
          <t>MBWAY_PAR</t>
        </is>
      </c>
      <c r="Y5" s="9" t="inlineStr">
        <is>
          <t>BAC_COM</t>
        </is>
      </c>
      <c r="Z5" s="9" t="inlineStr">
        <is>
          <t>B1</t>
        </is>
      </c>
      <c r="AA5" s="9" t="inlineStr">
        <is>
          <t>ALT</t>
        </is>
      </c>
      <c r="AC5" s="9" t="inlineStr">
        <is>
          <t>Marque</t>
        </is>
      </c>
      <c r="AE5" s="9" t="inlineStr">
        <is>
          <t>(Tous)</t>
        </is>
      </c>
      <c r="AF5" s="9" t="inlineStr">
        <is>
          <t>(Tous)</t>
        </is>
      </c>
      <c r="AG5" s="9" t="inlineStr">
        <is>
          <t>(Tous)</t>
        </is>
      </c>
      <c r="AH5" s="9" t="inlineStr">
        <is>
          <t>(Tous)</t>
        </is>
      </c>
      <c r="AI5" s="9" t="inlineStr">
        <is>
          <t>(Tous)</t>
        </is>
      </c>
    </row>
    <row r="6">
      <c r="A6" s="6" t="inlineStr">
        <is>
          <t>MBway</t>
        </is>
      </c>
      <c r="B6" s="6" t="inlineStr">
        <is>
          <t>MBWAY_PAR</t>
        </is>
      </c>
      <c r="C6" s="6" t="inlineStr">
        <is>
          <t>BAC_MGT</t>
        </is>
      </c>
      <c r="D6" s="6" t="inlineStr">
        <is>
          <t>B1</t>
        </is>
      </c>
      <c r="E6" s="6" t="inlineStr">
        <is>
          <t>INIT</t>
        </is>
      </c>
      <c r="F6" s="7" t="n">
        <v>1</v>
      </c>
      <c r="G6" s="7" t="n">
        <v>32</v>
      </c>
      <c r="H6" s="7">
        <f>F6*G6</f>
        <v/>
      </c>
      <c r="I6" s="7" t="n">
        <v>30</v>
      </c>
      <c r="J6" s="7" t="n">
        <v>256371</v>
      </c>
      <c r="K6" s="7" t="n">
        <v>278152</v>
      </c>
      <c r="L6" s="7" t="n">
        <v>10890</v>
      </c>
      <c r="M6" s="7" t="n">
        <v>201607</v>
      </c>
      <c r="N6" s="7" t="n">
        <v>14440</v>
      </c>
      <c r="O6" s="7" t="n">
        <v>54947</v>
      </c>
      <c r="P6" s="7">
        <f>K6-L6-M6</f>
        <v/>
      </c>
      <c r="Q6" s="7">
        <f>K6-L6</f>
        <v/>
      </c>
      <c r="R6" s="7">
        <f>L6+M6+N6</f>
        <v/>
      </c>
      <c r="S6" s="7">
        <f>K6-R6</f>
        <v/>
      </c>
      <c r="T6" s="8">
        <f>IF(AND(OR(Drill!$C$6="(Tous)",$A6=Drill!$C$6),OR(Drill!$D$6="(Tous)",$B6=Drill!$D$6),OR(Drill!$E$6="(Tous)",$C6=Drill!$E$6),OR(Drill!$F$6="(Tous)",$D6=Drill!$F$6),OR(Drill!$G$6="(Tous)",$E6=Drill!$G$6)),1,0)</f>
        <v/>
      </c>
      <c r="U6" s="8">
        <f>IF(T6=1,SUM($T$5:T6),"")</f>
        <v/>
      </c>
      <c r="W6" s="9" t="inlineStr">
        <is>
          <t>Iscom</t>
        </is>
      </c>
      <c r="X6" s="9" t="inlineStr">
        <is>
          <t>MBWAY_LYO</t>
        </is>
      </c>
      <c r="Y6" s="9" t="inlineStr">
        <is>
          <t>BAC_GES</t>
        </is>
      </c>
      <c r="Z6" s="9" t="inlineStr">
        <is>
          <t>B2</t>
        </is>
      </c>
      <c r="AA6" s="9" t="inlineStr">
        <is>
          <t>INIT</t>
        </is>
      </c>
      <c r="AC6" s="9" t="inlineStr">
        <is>
          <t>Campus</t>
        </is>
      </c>
      <c r="AE6" s="9" t="inlineStr">
        <is>
          <t>MBway</t>
        </is>
      </c>
      <c r="AF6" s="9" t="inlineStr">
        <is>
          <t>MBWAY_PAR</t>
        </is>
      </c>
      <c r="AG6" s="9" t="inlineStr">
        <is>
          <t>BAC_COM</t>
        </is>
      </c>
      <c r="AH6" s="9" t="inlineStr">
        <is>
          <t>B1</t>
        </is>
      </c>
      <c r="AI6" s="9" t="inlineStr">
        <is>
          <t>ALT</t>
        </is>
      </c>
    </row>
    <row r="7">
      <c r="A7" s="6" t="inlineStr">
        <is>
          <t>MBway</t>
        </is>
      </c>
      <c r="B7" s="6" t="inlineStr">
        <is>
          <t>MBWAY_PAR</t>
        </is>
      </c>
      <c r="C7" s="6" t="inlineStr">
        <is>
          <t>BAC_MGT</t>
        </is>
      </c>
      <c r="D7" s="6" t="inlineStr">
        <is>
          <t>B2</t>
        </is>
      </c>
      <c r="E7" s="6" t="inlineStr">
        <is>
          <t>ALT</t>
        </is>
      </c>
      <c r="F7" s="7" t="n">
        <v>4</v>
      </c>
      <c r="G7" s="7" t="n">
        <v>32</v>
      </c>
      <c r="H7" s="7">
        <f>F7*G7</f>
        <v/>
      </c>
      <c r="I7" s="7" t="n">
        <v>120</v>
      </c>
      <c r="J7" s="7" t="n">
        <v>927085</v>
      </c>
      <c r="K7" s="7" t="n">
        <v>1017917</v>
      </c>
      <c r="L7" s="7" t="n">
        <v>43560</v>
      </c>
      <c r="M7" s="7" t="n">
        <v>806429</v>
      </c>
      <c r="N7" s="7" t="n">
        <v>57759</v>
      </c>
      <c r="O7" s="7" t="n">
        <v>144758</v>
      </c>
      <c r="P7" s="7">
        <f>K7-L7-M7</f>
        <v/>
      </c>
      <c r="Q7" s="7">
        <f>K7-L7</f>
        <v/>
      </c>
      <c r="R7" s="7">
        <f>L7+M7+N7</f>
        <v/>
      </c>
      <c r="S7" s="7">
        <f>K7-R7</f>
        <v/>
      </c>
      <c r="T7" s="8">
        <f>IF(AND(OR(Drill!$C$6="(Tous)",$A7=Drill!$C$6),OR(Drill!$D$6="(Tous)",$B7=Drill!$D$6),OR(Drill!$E$6="(Tous)",$C7=Drill!$E$6),OR(Drill!$F$6="(Tous)",$D7=Drill!$F$6),OR(Drill!$G$6="(Tous)",$E7=Drill!$G$6)),1,0)</f>
        <v/>
      </c>
      <c r="U7" s="8">
        <f>IF(T7=1,SUM($T$5:T7),"")</f>
        <v/>
      </c>
      <c r="W7" s="9" t="inlineStr">
        <is>
          <t>Pigier</t>
        </is>
      </c>
      <c r="X7" s="9" t="inlineStr">
        <is>
          <t>MBWAY_BOR</t>
        </is>
      </c>
      <c r="Y7" s="9" t="inlineStr">
        <is>
          <t>BAC_MGT</t>
        </is>
      </c>
      <c r="Z7" s="9" t="inlineStr">
        <is>
          <t>B3</t>
        </is>
      </c>
      <c r="AC7" s="9" t="inlineStr">
        <is>
          <t>Programme</t>
        </is>
      </c>
      <c r="AE7" s="9" t="inlineStr">
        <is>
          <t>Iscom</t>
        </is>
      </c>
      <c r="AF7" s="9" t="inlineStr">
        <is>
          <t>MBWAY_LYO</t>
        </is>
      </c>
      <c r="AG7" s="9" t="inlineStr">
        <is>
          <t>BAC_GES</t>
        </is>
      </c>
      <c r="AH7" s="9" t="inlineStr">
        <is>
          <t>B2</t>
        </is>
      </c>
      <c r="AI7" s="9" t="inlineStr">
        <is>
          <t>INIT</t>
        </is>
      </c>
    </row>
    <row r="8">
      <c r="A8" s="6" t="inlineStr">
        <is>
          <t>MBway</t>
        </is>
      </c>
      <c r="B8" s="6" t="inlineStr">
        <is>
          <t>MBWAY_PAR</t>
        </is>
      </c>
      <c r="C8" s="6" t="inlineStr">
        <is>
          <t>BAC_MGT</t>
        </is>
      </c>
      <c r="D8" s="6" t="inlineStr">
        <is>
          <t>B3</t>
        </is>
      </c>
      <c r="E8" s="6" t="inlineStr">
        <is>
          <t>ALT</t>
        </is>
      </c>
      <c r="F8" s="7" t="n">
        <v>3</v>
      </c>
      <c r="G8" s="7" t="n">
        <v>32</v>
      </c>
      <c r="H8" s="7">
        <f>F8*G8</f>
        <v/>
      </c>
      <c r="I8" s="7" t="n">
        <v>91</v>
      </c>
      <c r="J8" s="7" t="n">
        <v>720117</v>
      </c>
      <c r="K8" s="7" t="n">
        <v>771920</v>
      </c>
      <c r="L8" s="7" t="n">
        <v>33033</v>
      </c>
      <c r="M8" s="7" t="n">
        <v>604822</v>
      </c>
      <c r="N8" s="7" t="n">
        <v>43801</v>
      </c>
      <c r="O8" s="7" t="n">
        <v>108836</v>
      </c>
      <c r="P8" s="7">
        <f>K8-L8-M8</f>
        <v/>
      </c>
      <c r="Q8" s="7">
        <f>K8-L8</f>
        <v/>
      </c>
      <c r="R8" s="7">
        <f>L8+M8+N8</f>
        <v/>
      </c>
      <c r="S8" s="7">
        <f>K8-R8</f>
        <v/>
      </c>
      <c r="T8" s="8">
        <f>IF(AND(OR(Drill!$C$6="(Tous)",$A8=Drill!$C$6),OR(Drill!$D$6="(Tous)",$B8=Drill!$D$6),OR(Drill!$E$6="(Tous)",$C8=Drill!$E$6),OR(Drill!$F$6="(Tous)",$D8=Drill!$F$6),OR(Drill!$G$6="(Tous)",$E8=Drill!$G$6)),1,0)</f>
        <v/>
      </c>
      <c r="U8" s="8">
        <f>IF(T8=1,SUM($T$5:T8),"")</f>
        <v/>
      </c>
      <c r="W8" s="9" t="inlineStr">
        <is>
          <t>Tunon</t>
        </is>
      </c>
      <c r="X8" s="9" t="inlineStr">
        <is>
          <t>ISCOM_PAR</t>
        </is>
      </c>
      <c r="Y8" s="9" t="inlineStr">
        <is>
          <t>BAC_RH</t>
        </is>
      </c>
      <c r="Z8" s="9" t="inlineStr">
        <is>
          <t>M1</t>
        </is>
      </c>
      <c r="AC8" s="9" t="inlineStr">
        <is>
          <t>Année d'étude</t>
        </is>
      </c>
      <c r="AE8" s="9" t="inlineStr">
        <is>
          <t>Pigier</t>
        </is>
      </c>
      <c r="AF8" s="9" t="inlineStr">
        <is>
          <t>MBWAY_BOR</t>
        </is>
      </c>
      <c r="AG8" s="9" t="inlineStr">
        <is>
          <t>BAC_MGT</t>
        </is>
      </c>
      <c r="AH8" s="9" t="inlineStr">
        <is>
          <t>B3</t>
        </is>
      </c>
    </row>
    <row r="9">
      <c r="A9" s="6" t="inlineStr">
        <is>
          <t>MBway</t>
        </is>
      </c>
      <c r="B9" s="6" t="inlineStr">
        <is>
          <t>MBWAY_PAR</t>
        </is>
      </c>
      <c r="C9" s="6" t="inlineStr">
        <is>
          <t>MAS_MGT</t>
        </is>
      </c>
      <c r="D9" s="6" t="inlineStr">
        <is>
          <t>M1</t>
        </is>
      </c>
      <c r="E9" s="6" t="inlineStr">
        <is>
          <t>ALT</t>
        </is>
      </c>
      <c r="F9" s="7" t="n">
        <v>3</v>
      </c>
      <c r="G9" s="7" t="n">
        <v>26</v>
      </c>
      <c r="H9" s="7">
        <f>F9*G9</f>
        <v/>
      </c>
      <c r="I9" s="7" t="n">
        <v>74</v>
      </c>
      <c r="J9" s="7" t="n">
        <v>659292</v>
      </c>
      <c r="K9" s="7" t="n">
        <v>715304</v>
      </c>
      <c r="L9" s="7" t="n">
        <v>26862</v>
      </c>
      <c r="M9" s="7" t="n">
        <v>523403</v>
      </c>
      <c r="N9" s="7" t="n">
        <v>35618</v>
      </c>
      <c r="O9" s="7" t="n">
        <v>138123</v>
      </c>
      <c r="P9" s="7">
        <f>K9-L9-M9</f>
        <v/>
      </c>
      <c r="Q9" s="7">
        <f>K9-L9</f>
        <v/>
      </c>
      <c r="R9" s="7">
        <f>L9+M9+N9</f>
        <v/>
      </c>
      <c r="S9" s="7">
        <f>K9-R9</f>
        <v/>
      </c>
      <c r="T9" s="8">
        <f>IF(AND(OR(Drill!$C$6="(Tous)",$A9=Drill!$C$6),OR(Drill!$D$6="(Tous)",$B9=Drill!$D$6),OR(Drill!$E$6="(Tous)",$C9=Drill!$E$6),OR(Drill!$F$6="(Tous)",$D9=Drill!$F$6),OR(Drill!$G$6="(Tous)",$E9=Drill!$G$6)),1,0)</f>
        <v/>
      </c>
      <c r="U9" s="8">
        <f>IF(T9=1,SUM($T$5:T9),"")</f>
        <v/>
      </c>
      <c r="X9" s="9" t="inlineStr">
        <is>
          <t>ISCOM_LIL</t>
        </is>
      </c>
      <c r="Y9" s="9" t="inlineStr">
        <is>
          <t>BAC_TOU</t>
        </is>
      </c>
      <c r="Z9" s="9" t="inlineStr">
        <is>
          <t>M2</t>
        </is>
      </c>
      <c r="AC9" s="9" t="inlineStr">
        <is>
          <t>Modalité</t>
        </is>
      </c>
      <c r="AE9" s="9" t="inlineStr">
        <is>
          <t>Tunon</t>
        </is>
      </c>
      <c r="AF9" s="9" t="inlineStr">
        <is>
          <t>ISCOM_PAR</t>
        </is>
      </c>
      <c r="AG9" s="9" t="inlineStr">
        <is>
          <t>BAC_RH</t>
        </is>
      </c>
      <c r="AH9" s="9" t="inlineStr">
        <is>
          <t>M1</t>
        </is>
      </c>
    </row>
    <row r="10">
      <c r="A10" s="6" t="inlineStr">
        <is>
          <t>MBway</t>
        </is>
      </c>
      <c r="B10" s="6" t="inlineStr">
        <is>
          <t>MBWAY_PAR</t>
        </is>
      </c>
      <c r="C10" s="6" t="inlineStr">
        <is>
          <t>MAS_MGT</t>
        </is>
      </c>
      <c r="D10" s="6" t="inlineStr">
        <is>
          <t>M2</t>
        </is>
      </c>
      <c r="E10" s="6" t="inlineStr">
        <is>
          <t>ALT</t>
        </is>
      </c>
      <c r="F10" s="7" t="n">
        <v>2</v>
      </c>
      <c r="G10" s="7" t="n">
        <v>26</v>
      </c>
      <c r="H10" s="7">
        <f>F10*G10</f>
        <v/>
      </c>
      <c r="I10" s="7" t="n">
        <v>49</v>
      </c>
      <c r="J10" s="7" t="n">
        <v>431382</v>
      </c>
      <c r="K10" s="7" t="n">
        <v>473647</v>
      </c>
      <c r="L10" s="7" t="n">
        <v>17787</v>
      </c>
      <c r="M10" s="7" t="n">
        <v>348936</v>
      </c>
      <c r="N10" s="7" t="n">
        <v>23585</v>
      </c>
      <c r="O10" s="7" t="n">
        <v>92172</v>
      </c>
      <c r="P10" s="7">
        <f>K10-L10-M10</f>
        <v/>
      </c>
      <c r="Q10" s="7">
        <f>K10-L10</f>
        <v/>
      </c>
      <c r="R10" s="7">
        <f>L10+M10+N10</f>
        <v/>
      </c>
      <c r="S10" s="7">
        <f>K10-R10</f>
        <v/>
      </c>
      <c r="T10" s="8">
        <f>IF(AND(OR(Drill!$C$6="(Tous)",$A10=Drill!$C$6),OR(Drill!$D$6="(Tous)",$B10=Drill!$D$6),OR(Drill!$E$6="(Tous)",$C10=Drill!$E$6),OR(Drill!$F$6="(Tous)",$D10=Drill!$F$6),OR(Drill!$G$6="(Tous)",$E10=Drill!$G$6)),1,0)</f>
        <v/>
      </c>
      <c r="U10" s="8">
        <f>IF(T10=1,SUM($T$5:T10),"")</f>
        <v/>
      </c>
      <c r="X10" s="9" t="inlineStr">
        <is>
          <t>PIGIER_BOR</t>
        </is>
      </c>
      <c r="Y10" s="9" t="inlineStr">
        <is>
          <t>BTS_GES</t>
        </is>
      </c>
      <c r="Z10" s="9" t="inlineStr">
        <is>
          <t>BTS1</t>
        </is>
      </c>
      <c r="AF10" s="9" t="inlineStr">
        <is>
          <t>ISCOM_LIL</t>
        </is>
      </c>
      <c r="AG10" s="9" t="inlineStr">
        <is>
          <t>BAC_TOU</t>
        </is>
      </c>
      <c r="AH10" s="9" t="inlineStr">
        <is>
          <t>M2</t>
        </is>
      </c>
    </row>
    <row r="11">
      <c r="A11" s="6" t="inlineStr">
        <is>
          <t>MBway</t>
        </is>
      </c>
      <c r="B11" s="6" t="inlineStr">
        <is>
          <t>MBWAY_PAR</t>
        </is>
      </c>
      <c r="C11" s="6" t="inlineStr">
        <is>
          <t>MAS_MKT</t>
        </is>
      </c>
      <c r="D11" s="6" t="inlineStr">
        <is>
          <t>M1</t>
        </is>
      </c>
      <c r="E11" s="6" t="inlineStr">
        <is>
          <t>ALT</t>
        </is>
      </c>
      <c r="F11" s="7" t="n">
        <v>1</v>
      </c>
      <c r="G11" s="7" t="n">
        <v>26</v>
      </c>
      <c r="H11" s="7">
        <f>F11*G11</f>
        <v/>
      </c>
      <c r="I11" s="7" t="n">
        <v>22</v>
      </c>
      <c r="J11" s="7" t="n">
        <v>198386</v>
      </c>
      <c r="K11" s="7" t="n">
        <v>212658</v>
      </c>
      <c r="L11" s="7" t="n">
        <v>7986</v>
      </c>
      <c r="M11" s="7" t="n">
        <v>174468</v>
      </c>
      <c r="N11" s="7" t="n">
        <v>10589</v>
      </c>
      <c r="O11" s="7" t="n">
        <v>24520</v>
      </c>
      <c r="P11" s="7">
        <f>K11-L11-M11</f>
        <v/>
      </c>
      <c r="Q11" s="7">
        <f>K11-L11</f>
        <v/>
      </c>
      <c r="R11" s="7">
        <f>L11+M11+N11</f>
        <v/>
      </c>
      <c r="S11" s="7">
        <f>K11-R11</f>
        <v/>
      </c>
      <c r="T11" s="8">
        <f>IF(AND(OR(Drill!$C$6="(Tous)",$A11=Drill!$C$6),OR(Drill!$D$6="(Tous)",$B11=Drill!$D$6),OR(Drill!$E$6="(Tous)",$C11=Drill!$E$6),OR(Drill!$F$6="(Tous)",$D11=Drill!$F$6),OR(Drill!$G$6="(Tous)",$E11=Drill!$G$6)),1,0)</f>
        <v/>
      </c>
      <c r="U11" s="8">
        <f>IF(T11=1,SUM($T$5:T11),"")</f>
        <v/>
      </c>
      <c r="X11" s="9" t="inlineStr">
        <is>
          <t>PIGIER_LYO</t>
        </is>
      </c>
      <c r="Y11" s="9" t="inlineStr">
        <is>
          <t>BTS_TOU</t>
        </is>
      </c>
      <c r="Z11" s="9" t="inlineStr">
        <is>
          <t>BTS2</t>
        </is>
      </c>
      <c r="AF11" s="9" t="inlineStr">
        <is>
          <t>PIGIER_BOR</t>
        </is>
      </c>
      <c r="AG11" s="9" t="inlineStr">
        <is>
          <t>BTS_GES</t>
        </is>
      </c>
      <c r="AH11" s="9" t="inlineStr">
        <is>
          <t>BTS1</t>
        </is>
      </c>
    </row>
    <row r="12">
      <c r="A12" s="6" t="inlineStr">
        <is>
          <t>MBway</t>
        </is>
      </c>
      <c r="B12" s="6" t="inlineStr">
        <is>
          <t>MBWAY_LYO</t>
        </is>
      </c>
      <c r="C12" s="6" t="inlineStr">
        <is>
          <t>BAC_MGT</t>
        </is>
      </c>
      <c r="D12" s="6" t="inlineStr">
        <is>
          <t>B1</t>
        </is>
      </c>
      <c r="E12" s="6" t="inlineStr">
        <is>
          <t>ALT</t>
        </is>
      </c>
      <c r="F12" s="7" t="n">
        <v>3</v>
      </c>
      <c r="G12" s="7" t="n">
        <v>32</v>
      </c>
      <c r="H12" s="7">
        <f>F12*G12</f>
        <v/>
      </c>
      <c r="I12" s="7" t="n">
        <v>84</v>
      </c>
      <c r="J12" s="7" t="n">
        <v>670597</v>
      </c>
      <c r="K12" s="7" t="n">
        <v>710733</v>
      </c>
      <c r="L12" s="7" t="n">
        <v>30492</v>
      </c>
      <c r="M12" s="7" t="n">
        <v>573609</v>
      </c>
      <c r="N12" s="7" t="n">
        <v>40431</v>
      </c>
      <c r="O12" s="7" t="n">
        <v>94820</v>
      </c>
      <c r="P12" s="7">
        <f>K12-L12-M12</f>
        <v/>
      </c>
      <c r="Q12" s="7">
        <f>K12-L12</f>
        <v/>
      </c>
      <c r="R12" s="7">
        <f>L12+M12+N12</f>
        <v/>
      </c>
      <c r="S12" s="7">
        <f>K12-R12</f>
        <v/>
      </c>
      <c r="T12" s="8">
        <f>IF(AND(OR(Drill!$C$6="(Tous)",$A12=Drill!$C$6),OR(Drill!$D$6="(Tous)",$B12=Drill!$D$6),OR(Drill!$E$6="(Tous)",$C12=Drill!$E$6),OR(Drill!$F$6="(Tous)",$D12=Drill!$F$6),OR(Drill!$G$6="(Tous)",$E12=Drill!$G$6)),1,0)</f>
        <v/>
      </c>
      <c r="U12" s="8">
        <f>IF(T12=1,SUM($T$5:T12),"")</f>
        <v/>
      </c>
      <c r="X12" s="9" t="inlineStr">
        <is>
          <t>TUNON_PAR</t>
        </is>
      </c>
      <c r="Y12" s="9" t="inlineStr">
        <is>
          <t>MAS_COM</t>
        </is>
      </c>
      <c r="AF12" s="9" t="inlineStr">
        <is>
          <t>PIGIER_LYO</t>
        </is>
      </c>
      <c r="AG12" s="9" t="inlineStr">
        <is>
          <t>BTS_TOU</t>
        </is>
      </c>
      <c r="AH12" s="9" t="inlineStr">
        <is>
          <t>BTS2</t>
        </is>
      </c>
    </row>
    <row r="13">
      <c r="A13" s="6" t="inlineStr">
        <is>
          <t>MBway</t>
        </is>
      </c>
      <c r="B13" s="6" t="inlineStr">
        <is>
          <t>MBWAY_LYO</t>
        </is>
      </c>
      <c r="C13" s="6" t="inlineStr">
        <is>
          <t>BAC_MGT</t>
        </is>
      </c>
      <c r="D13" s="6" t="inlineStr">
        <is>
          <t>B2</t>
        </is>
      </c>
      <c r="E13" s="6" t="inlineStr">
        <is>
          <t>ALT</t>
        </is>
      </c>
      <c r="F13" s="7" t="n">
        <v>3</v>
      </c>
      <c r="G13" s="7" t="n">
        <v>32</v>
      </c>
      <c r="H13" s="7">
        <f>F13*G13</f>
        <v/>
      </c>
      <c r="I13" s="7" t="n">
        <v>83</v>
      </c>
      <c r="J13" s="7" t="n">
        <v>654662</v>
      </c>
      <c r="K13" s="7" t="n">
        <v>702272</v>
      </c>
      <c r="L13" s="7" t="n">
        <v>30129</v>
      </c>
      <c r="M13" s="7" t="n">
        <v>573609</v>
      </c>
      <c r="N13" s="7" t="n">
        <v>39950</v>
      </c>
      <c r="O13" s="7" t="n">
        <v>90328</v>
      </c>
      <c r="P13" s="7">
        <f>K13-L13-M13</f>
        <v/>
      </c>
      <c r="Q13" s="7">
        <f>K13-L13</f>
        <v/>
      </c>
      <c r="R13" s="7">
        <f>L13+M13+N13</f>
        <v/>
      </c>
      <c r="S13" s="7">
        <f>K13-R13</f>
        <v/>
      </c>
      <c r="T13" s="8">
        <f>IF(AND(OR(Drill!$C$6="(Tous)",$A13=Drill!$C$6),OR(Drill!$D$6="(Tous)",$B13=Drill!$D$6),OR(Drill!$E$6="(Tous)",$C13=Drill!$E$6),OR(Drill!$F$6="(Tous)",$D13=Drill!$F$6),OR(Drill!$G$6="(Tous)",$E13=Drill!$G$6)),1,0)</f>
        <v/>
      </c>
      <c r="U13" s="8">
        <f>IF(T13=1,SUM($T$5:T13),"")</f>
        <v/>
      </c>
      <c r="X13" s="9" t="inlineStr">
        <is>
          <t>TUNON_LYO</t>
        </is>
      </c>
      <c r="Y13" s="9" t="inlineStr">
        <is>
          <t>MAS_MGT</t>
        </is>
      </c>
      <c r="AF13" s="9" t="inlineStr">
        <is>
          <t>TUNON_PAR</t>
        </is>
      </c>
      <c r="AG13" s="9" t="inlineStr">
        <is>
          <t>MAS_COM</t>
        </is>
      </c>
    </row>
    <row r="14">
      <c r="A14" s="6" t="inlineStr">
        <is>
          <t>MBway</t>
        </is>
      </c>
      <c r="B14" s="6" t="inlineStr">
        <is>
          <t>MBWAY_LYO</t>
        </is>
      </c>
      <c r="C14" s="6" t="inlineStr">
        <is>
          <t>BAC_MGT</t>
        </is>
      </c>
      <c r="D14" s="6" t="inlineStr">
        <is>
          <t>B3</t>
        </is>
      </c>
      <c r="E14" s="6" t="inlineStr">
        <is>
          <t>ALT</t>
        </is>
      </c>
      <c r="F14" s="7" t="n">
        <v>2</v>
      </c>
      <c r="G14" s="7" t="n">
        <v>32</v>
      </c>
      <c r="H14" s="7">
        <f>F14*G14</f>
        <v/>
      </c>
      <c r="I14" s="7" t="n">
        <v>55</v>
      </c>
      <c r="J14" s="7" t="n">
        <v>428668</v>
      </c>
      <c r="K14" s="7" t="n">
        <v>465361</v>
      </c>
      <c r="L14" s="7" t="n">
        <v>19965</v>
      </c>
      <c r="M14" s="7" t="n">
        <v>382406</v>
      </c>
      <c r="N14" s="7" t="n">
        <v>26473</v>
      </c>
      <c r="O14" s="7" t="n">
        <v>59477</v>
      </c>
      <c r="P14" s="7">
        <f>K14-L14-M14</f>
        <v/>
      </c>
      <c r="Q14" s="7">
        <f>K14-L14</f>
        <v/>
      </c>
      <c r="R14" s="7">
        <f>L14+M14+N14</f>
        <v/>
      </c>
      <c r="S14" s="7">
        <f>K14-R14</f>
        <v/>
      </c>
      <c r="T14" s="8">
        <f>IF(AND(OR(Drill!$C$6="(Tous)",$A14=Drill!$C$6),OR(Drill!$D$6="(Tous)",$B14=Drill!$D$6),OR(Drill!$E$6="(Tous)",$C14=Drill!$E$6),OR(Drill!$F$6="(Tous)",$D14=Drill!$F$6),OR(Drill!$G$6="(Tous)",$E14=Drill!$G$6)),1,0)</f>
        <v/>
      </c>
      <c r="U14" s="8">
        <f>IF(T14=1,SUM($T$5:T14),"")</f>
        <v/>
      </c>
      <c r="Y14" s="9" t="inlineStr">
        <is>
          <t>MAS_MKT</t>
        </is>
      </c>
      <c r="AF14" s="9" t="inlineStr">
        <is>
          <t>TUNON_LYO</t>
        </is>
      </c>
      <c r="AG14" s="9" t="inlineStr">
        <is>
          <t>MAS_MGT</t>
        </is>
      </c>
    </row>
    <row r="15">
      <c r="A15" s="6" t="inlineStr">
        <is>
          <t>MBway</t>
        </is>
      </c>
      <c r="B15" s="6" t="inlineStr">
        <is>
          <t>MBWAY_LYO</t>
        </is>
      </c>
      <c r="C15" s="6" t="inlineStr">
        <is>
          <t>MAS_MGT</t>
        </is>
      </c>
      <c r="D15" s="6" t="inlineStr">
        <is>
          <t>M1</t>
        </is>
      </c>
      <c r="E15" s="6" t="inlineStr">
        <is>
          <t>ALT</t>
        </is>
      </c>
      <c r="F15" s="7" t="n">
        <v>3</v>
      </c>
      <c r="G15" s="7" t="n">
        <v>26</v>
      </c>
      <c r="H15" s="7">
        <f>F15*G15</f>
        <v/>
      </c>
      <c r="I15" s="7" t="n">
        <v>68</v>
      </c>
      <c r="J15" s="7" t="n">
        <v>618613</v>
      </c>
      <c r="K15" s="7" t="n">
        <v>655638</v>
      </c>
      <c r="L15" s="7" t="n">
        <v>24684</v>
      </c>
      <c r="M15" s="7" t="n">
        <v>496392</v>
      </c>
      <c r="N15" s="7" t="n">
        <v>32730</v>
      </c>
      <c r="O15" s="7" t="n">
        <v>119655</v>
      </c>
      <c r="P15" s="7">
        <f>K15-L15-M15</f>
        <v/>
      </c>
      <c r="Q15" s="7">
        <f>K15-L15</f>
        <v/>
      </c>
      <c r="R15" s="7">
        <f>L15+M15+N15</f>
        <v/>
      </c>
      <c r="S15" s="7">
        <f>K15-R15</f>
        <v/>
      </c>
      <c r="T15" s="8">
        <f>IF(AND(OR(Drill!$C$6="(Tous)",$A15=Drill!$C$6),OR(Drill!$D$6="(Tous)",$B15=Drill!$D$6),OR(Drill!$E$6="(Tous)",$C15=Drill!$E$6),OR(Drill!$F$6="(Tous)",$D15=Drill!$F$6),OR(Drill!$G$6="(Tous)",$E15=Drill!$G$6)),1,0)</f>
        <v/>
      </c>
      <c r="U15" s="8">
        <f>IF(T15=1,SUM($T$5:T15),"")</f>
        <v/>
      </c>
      <c r="AG15" s="9" t="inlineStr">
        <is>
          <t>MAS_MKT</t>
        </is>
      </c>
    </row>
    <row r="16">
      <c r="A16" s="6" t="inlineStr">
        <is>
          <t>MBway</t>
        </is>
      </c>
      <c r="B16" s="6" t="inlineStr">
        <is>
          <t>MBWAY_LYO</t>
        </is>
      </c>
      <c r="C16" s="6" t="inlineStr">
        <is>
          <t>MAS_MGT</t>
        </is>
      </c>
      <c r="D16" s="6" t="inlineStr">
        <is>
          <t>M2</t>
        </is>
      </c>
      <c r="E16" s="6" t="inlineStr">
        <is>
          <t>ALT</t>
        </is>
      </c>
      <c r="F16" s="7" t="n">
        <v>3</v>
      </c>
      <c r="G16" s="7" t="n">
        <v>26</v>
      </c>
      <c r="H16" s="7">
        <f>F16*G16</f>
        <v/>
      </c>
      <c r="I16" s="7" t="n">
        <v>67</v>
      </c>
      <c r="J16" s="7" t="n">
        <v>602201</v>
      </c>
      <c r="K16" s="7" t="n">
        <v>645996</v>
      </c>
      <c r="L16" s="7" t="n">
        <v>24321</v>
      </c>
      <c r="M16" s="7" t="n">
        <v>496392</v>
      </c>
      <c r="N16" s="7" t="n">
        <v>32249</v>
      </c>
      <c r="O16" s="7" t="n">
        <v>114849</v>
      </c>
      <c r="P16" s="7">
        <f>K16-L16-M16</f>
        <v/>
      </c>
      <c r="Q16" s="7">
        <f>K16-L16</f>
        <v/>
      </c>
      <c r="R16" s="7">
        <f>L16+M16+N16</f>
        <v/>
      </c>
      <c r="S16" s="7">
        <f>K16-R16</f>
        <v/>
      </c>
      <c r="T16" s="8">
        <f>IF(AND(OR(Drill!$C$6="(Tous)",$A16=Drill!$C$6),OR(Drill!$D$6="(Tous)",$B16=Drill!$D$6),OR(Drill!$E$6="(Tous)",$C16=Drill!$E$6),OR(Drill!$F$6="(Tous)",$D16=Drill!$F$6),OR(Drill!$G$6="(Tous)",$E16=Drill!$G$6)),1,0)</f>
        <v/>
      </c>
      <c r="U16" s="8">
        <f>IF(T16=1,SUM($T$5:T16),"")</f>
        <v/>
      </c>
    </row>
    <row r="17">
      <c r="A17" s="6" t="inlineStr">
        <is>
          <t>MBway</t>
        </is>
      </c>
      <c r="B17" s="6" t="inlineStr">
        <is>
          <t>MBWAY_BOR</t>
        </is>
      </c>
      <c r="C17" s="6" t="inlineStr">
        <is>
          <t>BAC_MGT</t>
        </is>
      </c>
      <c r="D17" s="6" t="inlineStr">
        <is>
          <t>B1</t>
        </is>
      </c>
      <c r="E17" s="6" t="inlineStr">
        <is>
          <t>ALT</t>
        </is>
      </c>
      <c r="F17" s="7" t="n">
        <v>3</v>
      </c>
      <c r="G17" s="7" t="n">
        <v>32</v>
      </c>
      <c r="H17" s="7">
        <f>F17*G17</f>
        <v/>
      </c>
      <c r="I17" s="7" t="n">
        <v>80</v>
      </c>
      <c r="J17" s="7" t="n">
        <v>662919</v>
      </c>
      <c r="K17" s="7" t="n">
        <v>694301</v>
      </c>
      <c r="L17" s="7" t="n">
        <v>29040</v>
      </c>
      <c r="M17" s="7" t="n">
        <v>563399</v>
      </c>
      <c r="N17" s="7" t="n">
        <v>38506</v>
      </c>
      <c r="O17" s="7" t="n">
        <v>93340</v>
      </c>
      <c r="P17" s="7">
        <f>K17-L17-M17</f>
        <v/>
      </c>
      <c r="Q17" s="7">
        <f>K17-L17</f>
        <v/>
      </c>
      <c r="R17" s="7">
        <f>L17+M17+N17</f>
        <v/>
      </c>
      <c r="S17" s="7">
        <f>K17-R17</f>
        <v/>
      </c>
      <c r="T17" s="8">
        <f>IF(AND(OR(Drill!$C$6="(Tous)",$A17=Drill!$C$6),OR(Drill!$D$6="(Tous)",$B17=Drill!$D$6),OR(Drill!$E$6="(Tous)",$C17=Drill!$E$6),OR(Drill!$F$6="(Tous)",$D17=Drill!$F$6),OR(Drill!$G$6="(Tous)",$E17=Drill!$G$6)),1,0)</f>
        <v/>
      </c>
      <c r="U17" s="8">
        <f>IF(T17=1,SUM($T$5:T17),"")</f>
        <v/>
      </c>
    </row>
    <row r="18">
      <c r="A18" s="6" t="inlineStr">
        <is>
          <t>MBway</t>
        </is>
      </c>
      <c r="B18" s="6" t="inlineStr">
        <is>
          <t>MBWAY_BOR</t>
        </is>
      </c>
      <c r="C18" s="6" t="inlineStr">
        <is>
          <t>BAC_MGT</t>
        </is>
      </c>
      <c r="D18" s="6" t="inlineStr">
        <is>
          <t>B2</t>
        </is>
      </c>
      <c r="E18" s="6" t="inlineStr">
        <is>
          <t>ALT</t>
        </is>
      </c>
      <c r="F18" s="7" t="n">
        <v>3</v>
      </c>
      <c r="G18" s="7" t="n">
        <v>32</v>
      </c>
      <c r="H18" s="7">
        <f>F18*G18</f>
        <v/>
      </c>
      <c r="I18" s="7" t="n">
        <v>76</v>
      </c>
      <c r="J18" s="7" t="n">
        <v>622215</v>
      </c>
      <c r="K18" s="7" t="n">
        <v>659586</v>
      </c>
      <c r="L18" s="7" t="n">
        <v>27588</v>
      </c>
      <c r="M18" s="7" t="n">
        <v>563399</v>
      </c>
      <c r="N18" s="7" t="n">
        <v>36581</v>
      </c>
      <c r="O18" s="7" t="n">
        <v>64804</v>
      </c>
      <c r="P18" s="7">
        <f>K18-L18-M18</f>
        <v/>
      </c>
      <c r="Q18" s="7">
        <f>K18-L18</f>
        <v/>
      </c>
      <c r="R18" s="7">
        <f>L18+M18+N18</f>
        <v/>
      </c>
      <c r="S18" s="7">
        <f>K18-R18</f>
        <v/>
      </c>
      <c r="T18" s="8">
        <f>IF(AND(OR(Drill!$C$6="(Tous)",$A18=Drill!$C$6),OR(Drill!$D$6="(Tous)",$B18=Drill!$D$6),OR(Drill!$E$6="(Tous)",$C18=Drill!$E$6),OR(Drill!$F$6="(Tous)",$D18=Drill!$F$6),OR(Drill!$G$6="(Tous)",$E18=Drill!$G$6)),1,0)</f>
        <v/>
      </c>
      <c r="U18" s="8">
        <f>IF(T18=1,SUM($T$5:T18),"")</f>
        <v/>
      </c>
    </row>
    <row r="19">
      <c r="A19" s="6" t="inlineStr">
        <is>
          <t>MBway</t>
        </is>
      </c>
      <c r="B19" s="6" t="inlineStr">
        <is>
          <t>MBWAY_BOR</t>
        </is>
      </c>
      <c r="C19" s="6" t="inlineStr">
        <is>
          <t>BAC_MGT</t>
        </is>
      </c>
      <c r="D19" s="6" t="inlineStr">
        <is>
          <t>B3</t>
        </is>
      </c>
      <c r="E19" s="6" t="inlineStr">
        <is>
          <t>ALT</t>
        </is>
      </c>
      <c r="F19" s="7" t="n">
        <v>2</v>
      </c>
      <c r="G19" s="7" t="n">
        <v>32</v>
      </c>
      <c r="H19" s="7">
        <f>F19*G19</f>
        <v/>
      </c>
      <c r="I19" s="7" t="n">
        <v>52</v>
      </c>
      <c r="J19" s="7" t="n">
        <v>420678</v>
      </c>
      <c r="K19" s="7" t="n">
        <v>451295</v>
      </c>
      <c r="L19" s="7" t="n">
        <v>18876</v>
      </c>
      <c r="M19" s="7" t="n">
        <v>375599</v>
      </c>
      <c r="N19" s="7" t="n">
        <v>25029</v>
      </c>
      <c r="O19" s="7" t="n">
        <v>55287</v>
      </c>
      <c r="P19" s="7">
        <f>K19-L19-M19</f>
        <v/>
      </c>
      <c r="Q19" s="7">
        <f>K19-L19</f>
        <v/>
      </c>
      <c r="R19" s="7">
        <f>L19+M19+N19</f>
        <v/>
      </c>
      <c r="S19" s="7">
        <f>K19-R19</f>
        <v/>
      </c>
      <c r="T19" s="8">
        <f>IF(AND(OR(Drill!$C$6="(Tous)",$A19=Drill!$C$6),OR(Drill!$D$6="(Tous)",$B19=Drill!$D$6),OR(Drill!$E$6="(Tous)",$C19=Drill!$E$6),OR(Drill!$F$6="(Tous)",$D19=Drill!$F$6),OR(Drill!$G$6="(Tous)",$E19=Drill!$G$6)),1,0)</f>
        <v/>
      </c>
      <c r="U19" s="8">
        <f>IF(T19=1,SUM($T$5:T19),"")</f>
        <v/>
      </c>
    </row>
    <row r="20">
      <c r="A20" s="6" t="inlineStr">
        <is>
          <t>MBway</t>
        </is>
      </c>
      <c r="B20" s="6" t="inlineStr">
        <is>
          <t>MBWAY_BOR</t>
        </is>
      </c>
      <c r="C20" s="6" t="inlineStr">
        <is>
          <t>MAS_MGT</t>
        </is>
      </c>
      <c r="D20" s="6" t="inlineStr">
        <is>
          <t>M1</t>
        </is>
      </c>
      <c r="E20" s="6" t="inlineStr">
        <is>
          <t>ALT</t>
        </is>
      </c>
      <c r="F20" s="7" t="n">
        <v>2</v>
      </c>
      <c r="G20" s="7" t="n">
        <v>26</v>
      </c>
      <c r="H20" s="7">
        <f>F20*G20</f>
        <v/>
      </c>
      <c r="I20" s="7" t="n">
        <v>47</v>
      </c>
      <c r="J20" s="7" t="n">
        <v>443809</v>
      </c>
      <c r="K20" s="7" t="n">
        <v>464818</v>
      </c>
      <c r="L20" s="7" t="n">
        <v>17061</v>
      </c>
      <c r="M20" s="7" t="n">
        <v>325038</v>
      </c>
      <c r="N20" s="7" t="n">
        <v>22622</v>
      </c>
      <c r="O20" s="7" t="n">
        <v>112453</v>
      </c>
      <c r="P20" s="7">
        <f>K20-L20-M20</f>
        <v/>
      </c>
      <c r="Q20" s="7">
        <f>K20-L20</f>
        <v/>
      </c>
      <c r="R20" s="7">
        <f>L20+M20+N20</f>
        <v/>
      </c>
      <c r="S20" s="7">
        <f>K20-R20</f>
        <v/>
      </c>
      <c r="T20" s="8">
        <f>IF(AND(OR(Drill!$C$6="(Tous)",$A20=Drill!$C$6),OR(Drill!$D$6="(Tous)",$B20=Drill!$D$6),OR(Drill!$E$6="(Tous)",$C20=Drill!$E$6),OR(Drill!$F$6="(Tous)",$D20=Drill!$F$6),OR(Drill!$G$6="(Tous)",$E20=Drill!$G$6)),1,0)</f>
        <v/>
      </c>
      <c r="U20" s="8">
        <f>IF(T20=1,SUM($T$5:T20),"")</f>
        <v/>
      </c>
    </row>
    <row r="21">
      <c r="A21" s="6" t="inlineStr">
        <is>
          <t>Iscom</t>
        </is>
      </c>
      <c r="B21" s="6" t="inlineStr">
        <is>
          <t>ISCOM_PAR</t>
        </is>
      </c>
      <c r="C21" s="6" t="inlineStr">
        <is>
          <t>BAC_COM</t>
        </is>
      </c>
      <c r="D21" s="6" t="inlineStr">
        <is>
          <t>B1</t>
        </is>
      </c>
      <c r="E21" s="6" t="inlineStr">
        <is>
          <t>INIT</t>
        </is>
      </c>
      <c r="F21" s="7" t="n">
        <v>2</v>
      </c>
      <c r="G21" s="7" t="n">
        <v>32</v>
      </c>
      <c r="H21" s="7">
        <f>F21*G21</f>
        <v/>
      </c>
      <c r="I21" s="7" t="n">
        <v>58</v>
      </c>
      <c r="J21" s="7" t="n">
        <v>506547</v>
      </c>
      <c r="K21" s="7" t="n">
        <v>530258</v>
      </c>
      <c r="L21" s="7" t="n">
        <v>21054</v>
      </c>
      <c r="M21" s="7" t="n">
        <v>393118</v>
      </c>
      <c r="N21" s="7" t="n">
        <v>27917</v>
      </c>
      <c r="O21" s="7" t="n">
        <v>104990</v>
      </c>
      <c r="P21" s="7">
        <f>K21-L21-M21</f>
        <v/>
      </c>
      <c r="Q21" s="7">
        <f>K21-L21</f>
        <v/>
      </c>
      <c r="R21" s="7">
        <f>L21+M21+N21</f>
        <v/>
      </c>
      <c r="S21" s="7">
        <f>K21-R21</f>
        <v/>
      </c>
      <c r="T21" s="8">
        <f>IF(AND(OR(Drill!$C$6="(Tous)",$A21=Drill!$C$6),OR(Drill!$D$6="(Tous)",$B21=Drill!$D$6),OR(Drill!$E$6="(Tous)",$C21=Drill!$E$6),OR(Drill!$F$6="(Tous)",$D21=Drill!$F$6),OR(Drill!$G$6="(Tous)",$E21=Drill!$G$6)),1,0)</f>
        <v/>
      </c>
      <c r="U21" s="8">
        <f>IF(T21=1,SUM($T$5:T21),"")</f>
        <v/>
      </c>
    </row>
    <row r="22">
      <c r="A22" s="6" t="inlineStr">
        <is>
          <t>Iscom</t>
        </is>
      </c>
      <c r="B22" s="6" t="inlineStr">
        <is>
          <t>ISCOM_PAR</t>
        </is>
      </c>
      <c r="C22" s="6" t="inlineStr">
        <is>
          <t>BAC_COM</t>
        </is>
      </c>
      <c r="D22" s="6" t="inlineStr">
        <is>
          <t>B1</t>
        </is>
      </c>
      <c r="E22" s="6" t="inlineStr">
        <is>
          <t>ALT</t>
        </is>
      </c>
      <c r="F22" s="7" t="n">
        <v>2</v>
      </c>
      <c r="G22" s="7" t="n">
        <v>32</v>
      </c>
      <c r="H22" s="7">
        <f>F22*G22</f>
        <v/>
      </c>
      <c r="I22" s="7" t="n">
        <v>58</v>
      </c>
      <c r="J22" s="7" t="n">
        <v>457875</v>
      </c>
      <c r="K22" s="7" t="n">
        <v>485129</v>
      </c>
      <c r="L22" s="7" t="n">
        <v>21054</v>
      </c>
      <c r="M22" s="7" t="n">
        <v>393118</v>
      </c>
      <c r="N22" s="7" t="n">
        <v>27917</v>
      </c>
      <c r="O22" s="7" t="n">
        <v>66160</v>
      </c>
      <c r="P22" s="7">
        <f>K22-L22-M22</f>
        <v/>
      </c>
      <c r="Q22" s="7">
        <f>K22-L22</f>
        <v/>
      </c>
      <c r="R22" s="7">
        <f>L22+M22+N22</f>
        <v/>
      </c>
      <c r="S22" s="7">
        <f>K22-R22</f>
        <v/>
      </c>
      <c r="T22" s="8">
        <f>IF(AND(OR(Drill!$C$6="(Tous)",$A22=Drill!$C$6),OR(Drill!$D$6="(Tous)",$B22=Drill!$D$6),OR(Drill!$E$6="(Tous)",$C22=Drill!$E$6),OR(Drill!$F$6="(Tous)",$D22=Drill!$F$6),OR(Drill!$G$6="(Tous)",$E22=Drill!$G$6)),1,0)</f>
        <v/>
      </c>
      <c r="U22" s="8">
        <f>IF(T22=1,SUM($T$5:T22),"")</f>
        <v/>
      </c>
    </row>
    <row r="23">
      <c r="A23" s="6" t="inlineStr">
        <is>
          <t>Iscom</t>
        </is>
      </c>
      <c r="B23" s="6" t="inlineStr">
        <is>
          <t>ISCOM_PAR</t>
        </is>
      </c>
      <c r="C23" s="6" t="inlineStr">
        <is>
          <t>BAC_COM</t>
        </is>
      </c>
      <c r="D23" s="6" t="inlineStr">
        <is>
          <t>B2</t>
        </is>
      </c>
      <c r="E23" s="6" t="inlineStr">
        <is>
          <t>ALT</t>
        </is>
      </c>
      <c r="F23" s="7" t="n">
        <v>3</v>
      </c>
      <c r="G23" s="7" t="n">
        <v>32</v>
      </c>
      <c r="H23" s="7">
        <f>F23*G23</f>
        <v/>
      </c>
      <c r="I23" s="7" t="n">
        <v>86</v>
      </c>
      <c r="J23" s="7" t="n">
        <v>670868</v>
      </c>
      <c r="K23" s="7" t="n">
        <v>719330</v>
      </c>
      <c r="L23" s="7" t="n">
        <v>31218</v>
      </c>
      <c r="M23" s="7" t="n">
        <v>589678</v>
      </c>
      <c r="N23" s="7" t="n">
        <v>41394</v>
      </c>
      <c r="O23" s="7" t="n">
        <v>94533</v>
      </c>
      <c r="P23" s="7">
        <f>K23-L23-M23</f>
        <v/>
      </c>
      <c r="Q23" s="7">
        <f>K23-L23</f>
        <v/>
      </c>
      <c r="R23" s="7">
        <f>L23+M23+N23</f>
        <v/>
      </c>
      <c r="S23" s="7">
        <f>K23-R23</f>
        <v/>
      </c>
      <c r="T23" s="8">
        <f>IF(AND(OR(Drill!$C$6="(Tous)",$A23=Drill!$C$6),OR(Drill!$D$6="(Tous)",$B23=Drill!$D$6),OR(Drill!$E$6="(Tous)",$C23=Drill!$E$6),OR(Drill!$F$6="(Tous)",$D23=Drill!$F$6),OR(Drill!$G$6="(Tous)",$E23=Drill!$G$6)),1,0)</f>
        <v/>
      </c>
      <c r="U23" s="8">
        <f>IF(T23=1,SUM($T$5:T23),"")</f>
        <v/>
      </c>
    </row>
    <row r="24">
      <c r="A24" s="6" t="inlineStr">
        <is>
          <t>Iscom</t>
        </is>
      </c>
      <c r="B24" s="6" t="inlineStr">
        <is>
          <t>ISCOM_PAR</t>
        </is>
      </c>
      <c r="C24" s="6" t="inlineStr">
        <is>
          <t>BAC_COM</t>
        </is>
      </c>
      <c r="D24" s="6" t="inlineStr">
        <is>
          <t>B3</t>
        </is>
      </c>
      <c r="E24" s="6" t="inlineStr">
        <is>
          <t>ALT</t>
        </is>
      </c>
      <c r="F24" s="7" t="n">
        <v>3</v>
      </c>
      <c r="G24" s="7" t="n">
        <v>32</v>
      </c>
      <c r="H24" s="7">
        <f>F24*G24</f>
        <v/>
      </c>
      <c r="I24" s="7" t="n">
        <v>84</v>
      </c>
      <c r="J24" s="7" t="n">
        <v>671184</v>
      </c>
      <c r="K24" s="7" t="n">
        <v>702601</v>
      </c>
      <c r="L24" s="7" t="n">
        <v>30492</v>
      </c>
      <c r="M24" s="7" t="n">
        <v>589678</v>
      </c>
      <c r="N24" s="7" t="n">
        <v>40431</v>
      </c>
      <c r="O24" s="7" t="n">
        <v>74553</v>
      </c>
      <c r="P24" s="7">
        <f>K24-L24-M24</f>
        <v/>
      </c>
      <c r="Q24" s="7">
        <f>K24-L24</f>
        <v/>
      </c>
      <c r="R24" s="7">
        <f>L24+M24+N24</f>
        <v/>
      </c>
      <c r="S24" s="7">
        <f>K24-R24</f>
        <v/>
      </c>
      <c r="T24" s="8">
        <f>IF(AND(OR(Drill!$C$6="(Tous)",$A24=Drill!$C$6),OR(Drill!$D$6="(Tous)",$B24=Drill!$D$6),OR(Drill!$E$6="(Tous)",$C24=Drill!$E$6),OR(Drill!$F$6="(Tous)",$D24=Drill!$F$6),OR(Drill!$G$6="(Tous)",$E24=Drill!$G$6)),1,0)</f>
        <v/>
      </c>
      <c r="U24" s="8">
        <f>IF(T24=1,SUM($T$5:T24),"")</f>
        <v/>
      </c>
    </row>
    <row r="25">
      <c r="A25" s="6" t="inlineStr">
        <is>
          <t>Iscom</t>
        </is>
      </c>
      <c r="B25" s="6" t="inlineStr">
        <is>
          <t>ISCOM_PAR</t>
        </is>
      </c>
      <c r="C25" s="6" t="inlineStr">
        <is>
          <t>MAS_COM</t>
        </is>
      </c>
      <c r="D25" s="6" t="inlineStr">
        <is>
          <t>M1</t>
        </is>
      </c>
      <c r="E25" s="6" t="inlineStr">
        <is>
          <t>ALT</t>
        </is>
      </c>
      <c r="F25" s="7" t="n">
        <v>4</v>
      </c>
      <c r="G25" s="7" t="n">
        <v>26</v>
      </c>
      <c r="H25" s="7">
        <f>F25*G25</f>
        <v/>
      </c>
      <c r="I25" s="7" t="n">
        <v>92</v>
      </c>
      <c r="J25" s="7" t="n">
        <v>827627</v>
      </c>
      <c r="K25" s="7" t="n">
        <v>876890</v>
      </c>
      <c r="L25" s="7" t="n">
        <v>33396</v>
      </c>
      <c r="M25" s="7" t="n">
        <v>680397</v>
      </c>
      <c r="N25" s="7" t="n">
        <v>44282</v>
      </c>
      <c r="O25" s="7" t="n">
        <v>152070</v>
      </c>
      <c r="P25" s="7">
        <f>K25-L25-M25</f>
        <v/>
      </c>
      <c r="Q25" s="7">
        <f>K25-L25</f>
        <v/>
      </c>
      <c r="R25" s="7">
        <f>L25+M25+N25</f>
        <v/>
      </c>
      <c r="S25" s="7">
        <f>K25-R25</f>
        <v/>
      </c>
      <c r="T25" s="8">
        <f>IF(AND(OR(Drill!$C$6="(Tous)",$A25=Drill!$C$6),OR(Drill!$D$6="(Tous)",$B25=Drill!$D$6),OR(Drill!$E$6="(Tous)",$C25=Drill!$E$6),OR(Drill!$F$6="(Tous)",$D25=Drill!$F$6),OR(Drill!$G$6="(Tous)",$E25=Drill!$G$6)),1,0)</f>
        <v/>
      </c>
      <c r="U25" s="8">
        <f>IF(T25=1,SUM($T$5:T25),"")</f>
        <v/>
      </c>
    </row>
    <row r="26">
      <c r="A26" s="6" t="inlineStr">
        <is>
          <t>Iscom</t>
        </is>
      </c>
      <c r="B26" s="6" t="inlineStr">
        <is>
          <t>ISCOM_PAR</t>
        </is>
      </c>
      <c r="C26" s="6" t="inlineStr">
        <is>
          <t>MAS_COM</t>
        </is>
      </c>
      <c r="D26" s="6" t="inlineStr">
        <is>
          <t>M2</t>
        </is>
      </c>
      <c r="E26" s="6" t="inlineStr">
        <is>
          <t>ALT</t>
        </is>
      </c>
      <c r="F26" s="7" t="n">
        <v>3</v>
      </c>
      <c r="G26" s="7" t="n">
        <v>26</v>
      </c>
      <c r="H26" s="7">
        <f>F26*G26</f>
        <v/>
      </c>
      <c r="I26" s="7" t="n">
        <v>73</v>
      </c>
      <c r="J26" s="7" t="n">
        <v>648917</v>
      </c>
      <c r="K26" s="7" t="n">
        <v>695793</v>
      </c>
      <c r="L26" s="7" t="n">
        <v>26499</v>
      </c>
      <c r="M26" s="7" t="n">
        <v>510298</v>
      </c>
      <c r="N26" s="7" t="n">
        <v>35137</v>
      </c>
      <c r="O26" s="7" t="n">
        <v>152694</v>
      </c>
      <c r="P26" s="7">
        <f>K26-L26-M26</f>
        <v/>
      </c>
      <c r="Q26" s="7">
        <f>K26-L26</f>
        <v/>
      </c>
      <c r="R26" s="7">
        <f>L26+M26+N26</f>
        <v/>
      </c>
      <c r="S26" s="7">
        <f>K26-R26</f>
        <v/>
      </c>
      <c r="T26" s="8">
        <f>IF(AND(OR(Drill!$C$6="(Tous)",$A26=Drill!$C$6),OR(Drill!$D$6="(Tous)",$B26=Drill!$D$6),OR(Drill!$E$6="(Tous)",$C26=Drill!$E$6),OR(Drill!$F$6="(Tous)",$D26=Drill!$F$6),OR(Drill!$G$6="(Tous)",$E26=Drill!$G$6)),1,0)</f>
        <v/>
      </c>
      <c r="U26" s="8">
        <f>IF(T26=1,SUM($T$5:T26),"")</f>
        <v/>
      </c>
    </row>
    <row r="27">
      <c r="A27" s="6" t="inlineStr">
        <is>
          <t>Iscom</t>
        </is>
      </c>
      <c r="B27" s="6" t="inlineStr">
        <is>
          <t>ISCOM_LIL</t>
        </is>
      </c>
      <c r="C27" s="6" t="inlineStr">
        <is>
          <t>BAC_COM</t>
        </is>
      </c>
      <c r="D27" s="6" t="inlineStr">
        <is>
          <t>B1</t>
        </is>
      </c>
      <c r="E27" s="6" t="inlineStr">
        <is>
          <t>INIT</t>
        </is>
      </c>
      <c r="F27" s="7" t="n">
        <v>2</v>
      </c>
      <c r="G27" s="7" t="n">
        <v>32</v>
      </c>
      <c r="H27" s="7">
        <f>F27*G27</f>
        <v/>
      </c>
      <c r="I27" s="7" t="n">
        <v>52</v>
      </c>
      <c r="J27" s="7" t="n">
        <v>460735</v>
      </c>
      <c r="K27" s="7" t="n">
        <v>473466</v>
      </c>
      <c r="L27" s="7" t="n">
        <v>18876</v>
      </c>
      <c r="M27" s="7" t="n">
        <v>369644</v>
      </c>
      <c r="N27" s="7" t="n">
        <v>25029</v>
      </c>
      <c r="O27" s="7" t="n">
        <v>77211</v>
      </c>
      <c r="P27" s="7">
        <f>K27-L27-M27</f>
        <v/>
      </c>
      <c r="Q27" s="7">
        <f>K27-L27</f>
        <v/>
      </c>
      <c r="R27" s="7">
        <f>L27+M27+N27</f>
        <v/>
      </c>
      <c r="S27" s="7">
        <f>K27-R27</f>
        <v/>
      </c>
      <c r="T27" s="8">
        <f>IF(AND(OR(Drill!$C$6="(Tous)",$A27=Drill!$C$6),OR(Drill!$D$6="(Tous)",$B27=Drill!$D$6),OR(Drill!$E$6="(Tous)",$C27=Drill!$E$6),OR(Drill!$F$6="(Tous)",$D27=Drill!$F$6),OR(Drill!$G$6="(Tous)",$E27=Drill!$G$6)),1,0)</f>
        <v/>
      </c>
      <c r="U27" s="8">
        <f>IF(T27=1,SUM($T$5:T27),"")</f>
        <v/>
      </c>
    </row>
    <row r="28">
      <c r="A28" s="6" t="inlineStr">
        <is>
          <t>Iscom</t>
        </is>
      </c>
      <c r="B28" s="6" t="inlineStr">
        <is>
          <t>ISCOM_LIL</t>
        </is>
      </c>
      <c r="C28" s="6" t="inlineStr">
        <is>
          <t>BAC_COM</t>
        </is>
      </c>
      <c r="D28" s="6" t="inlineStr">
        <is>
          <t>B2</t>
        </is>
      </c>
      <c r="E28" s="6" t="inlineStr">
        <is>
          <t>ALT</t>
        </is>
      </c>
      <c r="F28" s="7" t="n">
        <v>3</v>
      </c>
      <c r="G28" s="7" t="n">
        <v>32</v>
      </c>
      <c r="H28" s="7">
        <f>F28*G28</f>
        <v/>
      </c>
      <c r="I28" s="7" t="n">
        <v>78</v>
      </c>
      <c r="J28" s="7" t="n">
        <v>624697</v>
      </c>
      <c r="K28" s="7" t="n">
        <v>649757</v>
      </c>
      <c r="L28" s="7" t="n">
        <v>28314</v>
      </c>
      <c r="M28" s="7" t="n">
        <v>554465</v>
      </c>
      <c r="N28" s="7" t="n">
        <v>37543</v>
      </c>
      <c r="O28" s="7" t="n">
        <v>62761</v>
      </c>
      <c r="P28" s="7">
        <f>K28-L28-M28</f>
        <v/>
      </c>
      <c r="Q28" s="7">
        <f>K28-L28</f>
        <v/>
      </c>
      <c r="R28" s="7">
        <f>L28+M28+N28</f>
        <v/>
      </c>
      <c r="S28" s="7">
        <f>K28-R28</f>
        <v/>
      </c>
      <c r="T28" s="8">
        <f>IF(AND(OR(Drill!$C$6="(Tous)",$A28=Drill!$C$6),OR(Drill!$D$6="(Tous)",$B28=Drill!$D$6),OR(Drill!$E$6="(Tous)",$C28=Drill!$E$6),OR(Drill!$F$6="(Tous)",$D28=Drill!$F$6),OR(Drill!$G$6="(Tous)",$E28=Drill!$G$6)),1,0)</f>
        <v/>
      </c>
      <c r="U28" s="8">
        <f>IF(T28=1,SUM($T$5:T28),"")</f>
        <v/>
      </c>
    </row>
    <row r="29">
      <c r="A29" s="6" t="inlineStr">
        <is>
          <t>Iscom</t>
        </is>
      </c>
      <c r="B29" s="6" t="inlineStr">
        <is>
          <t>ISCOM_LIL</t>
        </is>
      </c>
      <c r="C29" s="6" t="inlineStr">
        <is>
          <t>BAC_COM</t>
        </is>
      </c>
      <c r="D29" s="6" t="inlineStr">
        <is>
          <t>B3</t>
        </is>
      </c>
      <c r="E29" s="6" t="inlineStr">
        <is>
          <t>ALT</t>
        </is>
      </c>
      <c r="F29" s="7" t="n">
        <v>2</v>
      </c>
      <c r="G29" s="7" t="n">
        <v>32</v>
      </c>
      <c r="H29" s="7">
        <f>F29*G29</f>
        <v/>
      </c>
      <c r="I29" s="7" t="n">
        <v>52</v>
      </c>
      <c r="J29" s="7" t="n">
        <v>411527</v>
      </c>
      <c r="K29" s="7" t="n">
        <v>433171</v>
      </c>
      <c r="L29" s="7" t="n">
        <v>18876</v>
      </c>
      <c r="M29" s="7" t="n">
        <v>369644</v>
      </c>
      <c r="N29" s="7" t="n">
        <v>25029</v>
      </c>
      <c r="O29" s="7" t="n">
        <v>43096</v>
      </c>
      <c r="P29" s="7">
        <f>K29-L29-M29</f>
        <v/>
      </c>
      <c r="Q29" s="7">
        <f>K29-L29</f>
        <v/>
      </c>
      <c r="R29" s="7">
        <f>L29+M29+N29</f>
        <v/>
      </c>
      <c r="S29" s="7">
        <f>K29-R29</f>
        <v/>
      </c>
      <c r="T29" s="8">
        <f>IF(AND(OR(Drill!$C$6="(Tous)",$A29=Drill!$C$6),OR(Drill!$D$6="(Tous)",$B29=Drill!$D$6),OR(Drill!$E$6="(Tous)",$C29=Drill!$E$6),OR(Drill!$F$6="(Tous)",$D29=Drill!$F$6),OR(Drill!$G$6="(Tous)",$E29=Drill!$G$6)),1,0)</f>
        <v/>
      </c>
      <c r="U29" s="8">
        <f>IF(T29=1,SUM($T$5:T29),"")</f>
        <v/>
      </c>
    </row>
    <row r="30">
      <c r="A30" s="6" t="inlineStr">
        <is>
          <t>Iscom</t>
        </is>
      </c>
      <c r="B30" s="6" t="inlineStr">
        <is>
          <t>ISCOM_LIL</t>
        </is>
      </c>
      <c r="C30" s="6" t="inlineStr">
        <is>
          <t>MAS_COM</t>
        </is>
      </c>
      <c r="D30" s="6" t="inlineStr">
        <is>
          <t>M1</t>
        </is>
      </c>
      <c r="E30" s="6" t="inlineStr">
        <is>
          <t>ALT</t>
        </is>
      </c>
      <c r="F30" s="7" t="n">
        <v>3</v>
      </c>
      <c r="G30" s="7" t="n">
        <v>26</v>
      </c>
      <c r="H30" s="7">
        <f>F30*G30</f>
        <v/>
      </c>
      <c r="I30" s="7" t="n">
        <v>63</v>
      </c>
      <c r="J30" s="7" t="n">
        <v>581951</v>
      </c>
      <c r="K30" s="7" t="n">
        <v>598032</v>
      </c>
      <c r="L30" s="7" t="n">
        <v>22869</v>
      </c>
      <c r="M30" s="7" t="n">
        <v>479826</v>
      </c>
      <c r="N30" s="7" t="n">
        <v>30323</v>
      </c>
      <c r="O30" s="7" t="n">
        <v>86655</v>
      </c>
      <c r="P30" s="7">
        <f>K30-L30-M30</f>
        <v/>
      </c>
      <c r="Q30" s="7">
        <f>K30-L30</f>
        <v/>
      </c>
      <c r="R30" s="7">
        <f>L30+M30+N30</f>
        <v/>
      </c>
      <c r="S30" s="7">
        <f>K30-R30</f>
        <v/>
      </c>
      <c r="T30" s="8">
        <f>IF(AND(OR(Drill!$C$6="(Tous)",$A30=Drill!$C$6),OR(Drill!$D$6="(Tous)",$B30=Drill!$D$6),OR(Drill!$E$6="(Tous)",$C30=Drill!$E$6),OR(Drill!$F$6="(Tous)",$D30=Drill!$F$6),OR(Drill!$G$6="(Tous)",$E30=Drill!$G$6)),1,0)</f>
        <v/>
      </c>
      <c r="U30" s="8">
        <f>IF(T30=1,SUM($T$5:T30),"")</f>
        <v/>
      </c>
    </row>
    <row r="31">
      <c r="A31" s="6" t="inlineStr">
        <is>
          <t>Iscom</t>
        </is>
      </c>
      <c r="B31" s="6" t="inlineStr">
        <is>
          <t>ISCOM_LIL</t>
        </is>
      </c>
      <c r="C31" s="6" t="inlineStr">
        <is>
          <t>MAS_COM</t>
        </is>
      </c>
      <c r="D31" s="6" t="inlineStr">
        <is>
          <t>M2</t>
        </is>
      </c>
      <c r="E31" s="6" t="inlineStr">
        <is>
          <t>ALT</t>
        </is>
      </c>
      <c r="F31" s="7" t="n">
        <v>2</v>
      </c>
      <c r="G31" s="7" t="n">
        <v>26</v>
      </c>
      <c r="H31" s="7">
        <f>F31*G31</f>
        <v/>
      </c>
      <c r="I31" s="7" t="n">
        <v>46</v>
      </c>
      <c r="J31" s="7" t="n">
        <v>419818</v>
      </c>
      <c r="K31" s="7" t="n">
        <v>436658</v>
      </c>
      <c r="L31" s="7" t="n">
        <v>16698</v>
      </c>
      <c r="M31" s="7" t="n">
        <v>319884</v>
      </c>
      <c r="N31" s="7" t="n">
        <v>22141</v>
      </c>
      <c r="O31" s="7" t="n">
        <v>93776</v>
      </c>
      <c r="P31" s="7">
        <f>K31-L31-M31</f>
        <v/>
      </c>
      <c r="Q31" s="7">
        <f>K31-L31</f>
        <v/>
      </c>
      <c r="R31" s="7">
        <f>L31+M31+N31</f>
        <v/>
      </c>
      <c r="S31" s="7">
        <f>K31-R31</f>
        <v/>
      </c>
      <c r="T31" s="8">
        <f>IF(AND(OR(Drill!$C$6="(Tous)",$A31=Drill!$C$6),OR(Drill!$D$6="(Tous)",$B31=Drill!$D$6),OR(Drill!$E$6="(Tous)",$C31=Drill!$E$6),OR(Drill!$F$6="(Tous)",$D31=Drill!$F$6),OR(Drill!$G$6="(Tous)",$E31=Drill!$G$6)),1,0)</f>
        <v/>
      </c>
      <c r="U31" s="8">
        <f>IF(T31=1,SUM($T$5:T31),"")</f>
        <v/>
      </c>
    </row>
    <row r="32">
      <c r="A32" s="6" t="inlineStr">
        <is>
          <t>Pigier</t>
        </is>
      </c>
      <c r="B32" s="6" t="inlineStr">
        <is>
          <t>PIGIER_BOR</t>
        </is>
      </c>
      <c r="C32" s="6" t="inlineStr">
        <is>
          <t>BTS_GES</t>
        </is>
      </c>
      <c r="D32" s="6" t="inlineStr">
        <is>
          <t>BTS1</t>
        </is>
      </c>
      <c r="E32" s="6" t="inlineStr">
        <is>
          <t>ALT</t>
        </is>
      </c>
      <c r="F32" s="7" t="n">
        <v>3</v>
      </c>
      <c r="G32" s="7" t="n">
        <v>30</v>
      </c>
      <c r="H32" s="7">
        <f>F32*G32</f>
        <v/>
      </c>
      <c r="I32" s="7" t="n">
        <v>85</v>
      </c>
      <c r="J32" s="7" t="n">
        <v>683833</v>
      </c>
      <c r="K32" s="7" t="n">
        <v>727346</v>
      </c>
      <c r="L32" s="7" t="n">
        <v>30855</v>
      </c>
      <c r="M32" s="7" t="n">
        <v>560147</v>
      </c>
      <c r="N32" s="7" t="n">
        <v>40913</v>
      </c>
      <c r="O32" s="7" t="n">
        <v>120514</v>
      </c>
      <c r="P32" s="7">
        <f>K32-L32-M32</f>
        <v/>
      </c>
      <c r="Q32" s="7">
        <f>K32-L32</f>
        <v/>
      </c>
      <c r="R32" s="7">
        <f>L32+M32+N32</f>
        <v/>
      </c>
      <c r="S32" s="7">
        <f>K32-R32</f>
        <v/>
      </c>
      <c r="T32" s="8">
        <f>IF(AND(OR(Drill!$C$6="(Tous)",$A32=Drill!$C$6),OR(Drill!$D$6="(Tous)",$B32=Drill!$D$6),OR(Drill!$E$6="(Tous)",$C32=Drill!$E$6),OR(Drill!$F$6="(Tous)",$D32=Drill!$F$6),OR(Drill!$G$6="(Tous)",$E32=Drill!$G$6)),1,0)</f>
        <v/>
      </c>
      <c r="U32" s="8">
        <f>IF(T32=1,SUM($T$5:T32),"")</f>
        <v/>
      </c>
    </row>
    <row r="33">
      <c r="A33" s="6" t="inlineStr">
        <is>
          <t>Pigier</t>
        </is>
      </c>
      <c r="B33" s="6" t="inlineStr">
        <is>
          <t>PIGIER_BOR</t>
        </is>
      </c>
      <c r="C33" s="6" t="inlineStr">
        <is>
          <t>BTS_GES</t>
        </is>
      </c>
      <c r="D33" s="6" t="inlineStr">
        <is>
          <t>BTS2</t>
        </is>
      </c>
      <c r="E33" s="6" t="inlineStr">
        <is>
          <t>ALT</t>
        </is>
      </c>
      <c r="F33" s="7" t="n">
        <v>3</v>
      </c>
      <c r="G33" s="7" t="n">
        <v>30</v>
      </c>
      <c r="H33" s="7">
        <f>F33*G33</f>
        <v/>
      </c>
      <c r="I33" s="7" t="n">
        <v>82</v>
      </c>
      <c r="J33" s="7" t="n">
        <v>651781</v>
      </c>
      <c r="K33" s="7" t="n">
        <v>701675</v>
      </c>
      <c r="L33" s="7" t="n">
        <v>29766</v>
      </c>
      <c r="M33" s="7" t="n">
        <v>560147</v>
      </c>
      <c r="N33" s="7" t="n">
        <v>39469</v>
      </c>
      <c r="O33" s="7" t="n">
        <v>101841</v>
      </c>
      <c r="P33" s="7">
        <f>K33-L33-M33</f>
        <v/>
      </c>
      <c r="Q33" s="7">
        <f>K33-L33</f>
        <v/>
      </c>
      <c r="R33" s="7">
        <f>L33+M33+N33</f>
        <v/>
      </c>
      <c r="S33" s="7">
        <f>K33-R33</f>
        <v/>
      </c>
      <c r="T33" s="8">
        <f>IF(AND(OR(Drill!$C$6="(Tous)",$A33=Drill!$C$6),OR(Drill!$D$6="(Tous)",$B33=Drill!$D$6),OR(Drill!$E$6="(Tous)",$C33=Drill!$E$6),OR(Drill!$F$6="(Tous)",$D33=Drill!$F$6),OR(Drill!$G$6="(Tous)",$E33=Drill!$G$6)),1,0)</f>
        <v/>
      </c>
      <c r="U33" s="8">
        <f>IF(T33=1,SUM($T$5:T33),"")</f>
        <v/>
      </c>
    </row>
    <row r="34">
      <c r="A34" s="6" t="inlineStr">
        <is>
          <t>Pigier</t>
        </is>
      </c>
      <c r="B34" s="6" t="inlineStr">
        <is>
          <t>PIGIER_BOR</t>
        </is>
      </c>
      <c r="C34" s="6" t="inlineStr">
        <is>
          <t>BAC_RH</t>
        </is>
      </c>
      <c r="D34" s="6" t="inlineStr">
        <is>
          <t>B1</t>
        </is>
      </c>
      <c r="E34" s="6" t="inlineStr">
        <is>
          <t>ALT</t>
        </is>
      </c>
      <c r="F34" s="7" t="n">
        <v>2</v>
      </c>
      <c r="G34" s="7" t="n">
        <v>32</v>
      </c>
      <c r="H34" s="7">
        <f>F34*G34</f>
        <v/>
      </c>
      <c r="I34" s="7" t="n">
        <v>40</v>
      </c>
      <c r="J34" s="7" t="n">
        <v>342010</v>
      </c>
      <c r="K34" s="7" t="n">
        <v>372609</v>
      </c>
      <c r="L34" s="7" t="n">
        <v>14520</v>
      </c>
      <c r="M34" s="7" t="n">
        <v>346758</v>
      </c>
      <c r="N34" s="7" t="n">
        <v>19253</v>
      </c>
      <c r="O34" s="7" t="n">
        <v>10635</v>
      </c>
      <c r="P34" s="7">
        <f>K34-L34-M34</f>
        <v/>
      </c>
      <c r="Q34" s="7">
        <f>K34-L34</f>
        <v/>
      </c>
      <c r="R34" s="7">
        <f>L34+M34+N34</f>
        <v/>
      </c>
      <c r="S34" s="7">
        <f>K34-R34</f>
        <v/>
      </c>
      <c r="T34" s="8">
        <f>IF(AND(OR(Drill!$C$6="(Tous)",$A34=Drill!$C$6),OR(Drill!$D$6="(Tous)",$B34=Drill!$D$6),OR(Drill!$E$6="(Tous)",$C34=Drill!$E$6),OR(Drill!$F$6="(Tous)",$D34=Drill!$F$6),OR(Drill!$G$6="(Tous)",$E34=Drill!$G$6)),1,0)</f>
        <v/>
      </c>
      <c r="U34" s="8">
        <f>IF(T34=1,SUM($T$5:T34),"")</f>
        <v/>
      </c>
    </row>
    <row r="35">
      <c r="A35" s="6" t="inlineStr">
        <is>
          <t>Pigier</t>
        </is>
      </c>
      <c r="B35" s="6" t="inlineStr">
        <is>
          <t>PIGIER_BOR</t>
        </is>
      </c>
      <c r="C35" s="6" t="inlineStr">
        <is>
          <t>BAC_RH</t>
        </is>
      </c>
      <c r="D35" s="6" t="inlineStr">
        <is>
          <t>B2</t>
        </is>
      </c>
      <c r="E35" s="6" t="inlineStr">
        <is>
          <t>ALT</t>
        </is>
      </c>
      <c r="F35" s="7" t="n">
        <v>2</v>
      </c>
      <c r="G35" s="7" t="n">
        <v>32</v>
      </c>
      <c r="H35" s="7">
        <f>F35*G35</f>
        <v/>
      </c>
      <c r="I35" s="7" t="n">
        <v>60</v>
      </c>
      <c r="J35" s="7" t="n">
        <v>525477</v>
      </c>
      <c r="K35" s="7" t="n">
        <v>558914</v>
      </c>
      <c r="L35" s="7" t="n">
        <v>21780</v>
      </c>
      <c r="M35" s="7" t="n">
        <v>346758</v>
      </c>
      <c r="N35" s="7" t="n">
        <v>28879</v>
      </c>
      <c r="O35" s="7" t="n">
        <v>168272</v>
      </c>
      <c r="P35" s="7">
        <f>K35-L35-M35</f>
        <v/>
      </c>
      <c r="Q35" s="7">
        <f>K35-L35</f>
        <v/>
      </c>
      <c r="R35" s="7">
        <f>L35+M35+N35</f>
        <v/>
      </c>
      <c r="S35" s="7">
        <f>K35-R35</f>
        <v/>
      </c>
      <c r="T35" s="8">
        <f>IF(AND(OR(Drill!$C$6="(Tous)",$A35=Drill!$C$6),OR(Drill!$D$6="(Tous)",$B35=Drill!$D$6),OR(Drill!$E$6="(Tous)",$C35=Drill!$E$6),OR(Drill!$F$6="(Tous)",$D35=Drill!$F$6),OR(Drill!$G$6="(Tous)",$E35=Drill!$G$6)),1,0)</f>
        <v/>
      </c>
      <c r="U35" s="8">
        <f>IF(T35=1,SUM($T$5:T35),"")</f>
        <v/>
      </c>
    </row>
    <row r="36">
      <c r="A36" s="6" t="inlineStr">
        <is>
          <t>Pigier</t>
        </is>
      </c>
      <c r="B36" s="6" t="inlineStr">
        <is>
          <t>PIGIER_BOR</t>
        </is>
      </c>
      <c r="C36" s="6" t="inlineStr">
        <is>
          <t>BAC_RH</t>
        </is>
      </c>
      <c r="D36" s="6" t="inlineStr">
        <is>
          <t>B3</t>
        </is>
      </c>
      <c r="E36" s="6" t="inlineStr">
        <is>
          <t>ALT</t>
        </is>
      </c>
      <c r="F36" s="7" t="n">
        <v>1</v>
      </c>
      <c r="G36" s="7" t="n">
        <v>32</v>
      </c>
      <c r="H36" s="7">
        <f>F36*G36</f>
        <v/>
      </c>
      <c r="I36" s="7" t="n">
        <v>30</v>
      </c>
      <c r="J36" s="7" t="n">
        <v>259586</v>
      </c>
      <c r="K36" s="7" t="n">
        <v>279457</v>
      </c>
      <c r="L36" s="7" t="n">
        <v>10890</v>
      </c>
      <c r="M36" s="7" t="n">
        <v>173379</v>
      </c>
      <c r="N36" s="7" t="n">
        <v>14440</v>
      </c>
      <c r="O36" s="7" t="n">
        <v>86738</v>
      </c>
      <c r="P36" s="7">
        <f>K36-L36-M36</f>
        <v/>
      </c>
      <c r="Q36" s="7">
        <f>K36-L36</f>
        <v/>
      </c>
      <c r="R36" s="7">
        <f>L36+M36+N36</f>
        <v/>
      </c>
      <c r="S36" s="7">
        <f>K36-R36</f>
        <v/>
      </c>
      <c r="T36" s="8">
        <f>IF(AND(OR(Drill!$C$6="(Tous)",$A36=Drill!$C$6),OR(Drill!$D$6="(Tous)",$B36=Drill!$D$6),OR(Drill!$E$6="(Tous)",$C36=Drill!$E$6),OR(Drill!$F$6="(Tous)",$D36=Drill!$F$6),OR(Drill!$G$6="(Tous)",$E36=Drill!$G$6)),1,0)</f>
        <v/>
      </c>
      <c r="U36" s="8">
        <f>IF(T36=1,SUM($T$5:T36),"")</f>
        <v/>
      </c>
    </row>
    <row r="37">
      <c r="A37" s="6" t="inlineStr">
        <is>
          <t>Pigier</t>
        </is>
      </c>
      <c r="B37" s="6" t="inlineStr">
        <is>
          <t>PIGIER_LYO</t>
        </is>
      </c>
      <c r="C37" s="6" t="inlineStr">
        <is>
          <t>BTS_GES</t>
        </is>
      </c>
      <c r="D37" s="6" t="inlineStr">
        <is>
          <t>BTS1</t>
        </is>
      </c>
      <c r="E37" s="6" t="inlineStr">
        <is>
          <t>ALT</t>
        </is>
      </c>
      <c r="F37" s="7" t="n">
        <v>3</v>
      </c>
      <c r="G37" s="7" t="n">
        <v>30</v>
      </c>
      <c r="H37" s="7">
        <f>F37*G37</f>
        <v/>
      </c>
      <c r="I37" s="7" t="n">
        <v>71</v>
      </c>
      <c r="J37" s="7" t="n">
        <v>571646</v>
      </c>
      <c r="K37" s="7" t="n">
        <v>602277</v>
      </c>
      <c r="L37" s="7" t="n">
        <v>25773</v>
      </c>
      <c r="M37" s="7" t="n">
        <v>547780</v>
      </c>
      <c r="N37" s="7" t="n">
        <v>34174</v>
      </c>
      <c r="O37" s="7" t="n">
        <v>25176</v>
      </c>
      <c r="P37" s="7">
        <f>K37-L37-M37</f>
        <v/>
      </c>
      <c r="Q37" s="7">
        <f>K37-L37</f>
        <v/>
      </c>
      <c r="R37" s="7">
        <f>L37+M37+N37</f>
        <v/>
      </c>
      <c r="S37" s="7">
        <f>K37-R37</f>
        <v/>
      </c>
      <c r="T37" s="8">
        <f>IF(AND(OR(Drill!$C$6="(Tous)",$A37=Drill!$C$6),OR(Drill!$D$6="(Tous)",$B37=Drill!$D$6),OR(Drill!$E$6="(Tous)",$C37=Drill!$E$6),OR(Drill!$F$6="(Tous)",$D37=Drill!$F$6),OR(Drill!$G$6="(Tous)",$E37=Drill!$G$6)),1,0)</f>
        <v/>
      </c>
      <c r="U37" s="8">
        <f>IF(T37=1,SUM($T$5:T37),"")</f>
        <v/>
      </c>
    </row>
    <row r="38">
      <c r="A38" s="6" t="inlineStr">
        <is>
          <t>Pigier</t>
        </is>
      </c>
      <c r="B38" s="6" t="inlineStr">
        <is>
          <t>PIGIER_LYO</t>
        </is>
      </c>
      <c r="C38" s="6" t="inlineStr">
        <is>
          <t>BTS_GES</t>
        </is>
      </c>
      <c r="D38" s="6" t="inlineStr">
        <is>
          <t>BTS2</t>
        </is>
      </c>
      <c r="E38" s="6" t="inlineStr">
        <is>
          <t>ALT</t>
        </is>
      </c>
      <c r="F38" s="7" t="n">
        <v>2</v>
      </c>
      <c r="G38" s="7" t="n">
        <v>30</v>
      </c>
      <c r="H38" s="7">
        <f>F38*G38</f>
        <v/>
      </c>
      <c r="I38" s="7" t="n">
        <v>50</v>
      </c>
      <c r="J38" s="7" t="n">
        <v>397737</v>
      </c>
      <c r="K38" s="7" t="n">
        <v>424139</v>
      </c>
      <c r="L38" s="7" t="n">
        <v>18150</v>
      </c>
      <c r="M38" s="7" t="n">
        <v>365186</v>
      </c>
      <c r="N38" s="7" t="n">
        <v>24066</v>
      </c>
      <c r="O38" s="7" t="n">
        <v>36868</v>
      </c>
      <c r="P38" s="7">
        <f>K38-L38-M38</f>
        <v/>
      </c>
      <c r="Q38" s="7">
        <f>K38-L38</f>
        <v/>
      </c>
      <c r="R38" s="7">
        <f>L38+M38+N38</f>
        <v/>
      </c>
      <c r="S38" s="7">
        <f>K38-R38</f>
        <v/>
      </c>
      <c r="T38" s="8">
        <f>IF(AND(OR(Drill!$C$6="(Tous)",$A38=Drill!$C$6),OR(Drill!$D$6="(Tous)",$B38=Drill!$D$6),OR(Drill!$E$6="(Tous)",$C38=Drill!$E$6),OR(Drill!$F$6="(Tous)",$D38=Drill!$F$6),OR(Drill!$G$6="(Tous)",$E38=Drill!$G$6)),1,0)</f>
        <v/>
      </c>
      <c r="U38" s="8">
        <f>IF(T38=1,SUM($T$5:T38),"")</f>
        <v/>
      </c>
    </row>
    <row r="39">
      <c r="A39" s="6" t="inlineStr">
        <is>
          <t>Pigier</t>
        </is>
      </c>
      <c r="B39" s="6" t="inlineStr">
        <is>
          <t>PIGIER_LYO</t>
        </is>
      </c>
      <c r="C39" s="6" t="inlineStr">
        <is>
          <t>BAC_GES</t>
        </is>
      </c>
      <c r="D39" s="6" t="inlineStr">
        <is>
          <t>B1</t>
        </is>
      </c>
      <c r="E39" s="6" t="inlineStr">
        <is>
          <t>ALT</t>
        </is>
      </c>
      <c r="F39" s="7" t="n">
        <v>2</v>
      </c>
      <c r="G39" s="7" t="n">
        <v>32</v>
      </c>
      <c r="H39" s="7">
        <f>F39*G39</f>
        <v/>
      </c>
      <c r="I39" s="7" t="n">
        <v>54</v>
      </c>
      <c r="J39" s="7" t="n">
        <v>462073</v>
      </c>
      <c r="K39" s="7" t="n">
        <v>498658</v>
      </c>
      <c r="L39" s="7" t="n">
        <v>19602</v>
      </c>
      <c r="M39" s="7" t="n">
        <v>339102</v>
      </c>
      <c r="N39" s="7" t="n">
        <v>25992</v>
      </c>
      <c r="O39" s="7" t="n">
        <v>130254</v>
      </c>
      <c r="P39" s="7">
        <f>K39-L39-M39</f>
        <v/>
      </c>
      <c r="Q39" s="7">
        <f>K39-L39</f>
        <v/>
      </c>
      <c r="R39" s="7">
        <f>L39+M39+N39</f>
        <v/>
      </c>
      <c r="S39" s="7">
        <f>K39-R39</f>
        <v/>
      </c>
      <c r="T39" s="8">
        <f>IF(AND(OR(Drill!$C$6="(Tous)",$A39=Drill!$C$6),OR(Drill!$D$6="(Tous)",$B39=Drill!$D$6),OR(Drill!$E$6="(Tous)",$C39=Drill!$E$6),OR(Drill!$F$6="(Tous)",$D39=Drill!$F$6),OR(Drill!$G$6="(Tous)",$E39=Drill!$G$6)),1,0)</f>
        <v/>
      </c>
      <c r="U39" s="8">
        <f>IF(T39=1,SUM($T$5:T39),"")</f>
        <v/>
      </c>
    </row>
    <row r="40">
      <c r="A40" s="6" t="inlineStr">
        <is>
          <t>Pigier</t>
        </is>
      </c>
      <c r="B40" s="6" t="inlineStr">
        <is>
          <t>PIGIER_LYO</t>
        </is>
      </c>
      <c r="C40" s="6" t="inlineStr">
        <is>
          <t>BAC_GES</t>
        </is>
      </c>
      <c r="D40" s="6" t="inlineStr">
        <is>
          <t>B2</t>
        </is>
      </c>
      <c r="E40" s="6" t="inlineStr">
        <is>
          <t>ALT</t>
        </is>
      </c>
      <c r="F40" s="7" t="n">
        <v>2</v>
      </c>
      <c r="G40" s="7" t="n">
        <v>32</v>
      </c>
      <c r="H40" s="7">
        <f>F40*G40</f>
        <v/>
      </c>
      <c r="I40" s="7" t="n">
        <v>53</v>
      </c>
      <c r="J40" s="7" t="n">
        <v>464532</v>
      </c>
      <c r="K40" s="7" t="n">
        <v>489424</v>
      </c>
      <c r="L40" s="7" t="n">
        <v>19239</v>
      </c>
      <c r="M40" s="7" t="n">
        <v>339102</v>
      </c>
      <c r="N40" s="7" t="n">
        <v>25510</v>
      </c>
      <c r="O40" s="7" t="n">
        <v>114891</v>
      </c>
      <c r="P40" s="7">
        <f>K40-L40-M40</f>
        <v/>
      </c>
      <c r="Q40" s="7">
        <f>K40-L40</f>
        <v/>
      </c>
      <c r="R40" s="7">
        <f>L40+M40+N40</f>
        <v/>
      </c>
      <c r="S40" s="7">
        <f>K40-R40</f>
        <v/>
      </c>
      <c r="T40" s="8">
        <f>IF(AND(OR(Drill!$C$6="(Tous)",$A40=Drill!$C$6),OR(Drill!$D$6="(Tous)",$B40=Drill!$D$6),OR(Drill!$E$6="(Tous)",$C40=Drill!$E$6),OR(Drill!$F$6="(Tous)",$D40=Drill!$F$6),OR(Drill!$G$6="(Tous)",$E40=Drill!$G$6)),1,0)</f>
        <v/>
      </c>
      <c r="U40" s="8">
        <f>IF(T40=1,SUM($T$5:T40),"")</f>
        <v/>
      </c>
    </row>
    <row r="41">
      <c r="A41" s="6" t="inlineStr">
        <is>
          <t>Pigier</t>
        </is>
      </c>
      <c r="B41" s="6" t="inlineStr">
        <is>
          <t>PIGIER_LYO</t>
        </is>
      </c>
      <c r="C41" s="6" t="inlineStr">
        <is>
          <t>BAC_GES</t>
        </is>
      </c>
      <c r="D41" s="6" t="inlineStr">
        <is>
          <t>B3</t>
        </is>
      </c>
      <c r="E41" s="6" t="inlineStr">
        <is>
          <t>ALT</t>
        </is>
      </c>
      <c r="F41" s="7" t="n">
        <v>1</v>
      </c>
      <c r="G41" s="7" t="n">
        <v>32</v>
      </c>
      <c r="H41" s="7">
        <f>F41*G41</f>
        <v/>
      </c>
      <c r="I41" s="7" t="n">
        <v>32</v>
      </c>
      <c r="J41" s="7" t="n">
        <v>277107</v>
      </c>
      <c r="K41" s="7" t="n">
        <v>295501</v>
      </c>
      <c r="L41" s="7" t="n">
        <v>11616</v>
      </c>
      <c r="M41" s="7" t="n">
        <v>169551</v>
      </c>
      <c r="N41" s="7" t="n">
        <v>15402</v>
      </c>
      <c r="O41" s="7" t="n">
        <v>103310</v>
      </c>
      <c r="P41" s="7">
        <f>K41-L41-M41</f>
        <v/>
      </c>
      <c r="Q41" s="7">
        <f>K41-L41</f>
        <v/>
      </c>
      <c r="R41" s="7">
        <f>L41+M41+N41</f>
        <v/>
      </c>
      <c r="S41" s="7">
        <f>K41-R41</f>
        <v/>
      </c>
      <c r="T41" s="8">
        <f>IF(AND(OR(Drill!$C$6="(Tous)",$A41=Drill!$C$6),OR(Drill!$D$6="(Tous)",$B41=Drill!$D$6),OR(Drill!$E$6="(Tous)",$C41=Drill!$E$6),OR(Drill!$F$6="(Tous)",$D41=Drill!$F$6),OR(Drill!$G$6="(Tous)",$E41=Drill!$G$6)),1,0)</f>
        <v/>
      </c>
      <c r="U41" s="8">
        <f>IF(T41=1,SUM($T$5:T41),"")</f>
        <v/>
      </c>
    </row>
    <row r="42">
      <c r="A42" s="6" t="inlineStr">
        <is>
          <t>Tunon</t>
        </is>
      </c>
      <c r="B42" s="6" t="inlineStr">
        <is>
          <t>TUNON_PAR</t>
        </is>
      </c>
      <c r="C42" s="6" t="inlineStr">
        <is>
          <t>BAC_TOU</t>
        </is>
      </c>
      <c r="D42" s="6" t="inlineStr">
        <is>
          <t>B1</t>
        </is>
      </c>
      <c r="E42" s="6" t="inlineStr">
        <is>
          <t>INIT</t>
        </is>
      </c>
      <c r="F42" s="7" t="n">
        <v>2</v>
      </c>
      <c r="G42" s="7" t="n">
        <v>32</v>
      </c>
      <c r="H42" s="7">
        <f>F42*G42</f>
        <v/>
      </c>
      <c r="I42" s="7" t="n">
        <v>48</v>
      </c>
      <c r="J42" s="7" t="n">
        <v>446458</v>
      </c>
      <c r="K42" s="7" t="n">
        <v>456878</v>
      </c>
      <c r="L42" s="7" t="n">
        <v>17424</v>
      </c>
      <c r="M42" s="7" t="n">
        <v>378610</v>
      </c>
      <c r="N42" s="7" t="n">
        <v>23104</v>
      </c>
      <c r="O42" s="7" t="n">
        <v>65554</v>
      </c>
      <c r="P42" s="7">
        <f>K42-L42-M42</f>
        <v/>
      </c>
      <c r="Q42" s="7">
        <f>K42-L42</f>
        <v/>
      </c>
      <c r="R42" s="7">
        <f>L42+M42+N42</f>
        <v/>
      </c>
      <c r="S42" s="7">
        <f>K42-R42</f>
        <v/>
      </c>
      <c r="T42" s="8">
        <f>IF(AND(OR(Drill!$C$6="(Tous)",$A42=Drill!$C$6),OR(Drill!$D$6="(Tous)",$B42=Drill!$D$6),OR(Drill!$E$6="(Tous)",$C42=Drill!$E$6),OR(Drill!$F$6="(Tous)",$D42=Drill!$F$6),OR(Drill!$G$6="(Tous)",$E42=Drill!$G$6)),1,0)</f>
        <v/>
      </c>
      <c r="U42" s="8">
        <f>IF(T42=1,SUM($T$5:T42),"")</f>
        <v/>
      </c>
    </row>
    <row r="43">
      <c r="A43" s="6" t="inlineStr">
        <is>
          <t>Tunon</t>
        </is>
      </c>
      <c r="B43" s="6" t="inlineStr">
        <is>
          <t>TUNON_PAR</t>
        </is>
      </c>
      <c r="C43" s="6" t="inlineStr">
        <is>
          <t>BAC_TOU</t>
        </is>
      </c>
      <c r="D43" s="6" t="inlineStr">
        <is>
          <t>B2</t>
        </is>
      </c>
      <c r="E43" s="6" t="inlineStr">
        <is>
          <t>ALT</t>
        </is>
      </c>
      <c r="F43" s="7" t="n">
        <v>1</v>
      </c>
      <c r="G43" s="7" t="n">
        <v>32</v>
      </c>
      <c r="H43" s="7">
        <f>F43*G43</f>
        <v/>
      </c>
      <c r="I43" s="7" t="n">
        <v>27</v>
      </c>
      <c r="J43" s="7" t="n">
        <v>227002</v>
      </c>
      <c r="K43" s="7" t="n">
        <v>235122</v>
      </c>
      <c r="L43" s="7" t="n">
        <v>9801</v>
      </c>
      <c r="M43" s="7" t="n">
        <v>189305</v>
      </c>
      <c r="N43" s="7" t="n">
        <v>12996</v>
      </c>
      <c r="O43" s="7" t="n">
        <v>40004</v>
      </c>
      <c r="P43" s="7">
        <f>K43-L43-M43</f>
        <v/>
      </c>
      <c r="Q43" s="7">
        <f>K43-L43</f>
        <v/>
      </c>
      <c r="R43" s="7">
        <f>L43+M43+N43</f>
        <v/>
      </c>
      <c r="S43" s="7">
        <f>K43-R43</f>
        <v/>
      </c>
      <c r="T43" s="8">
        <f>IF(AND(OR(Drill!$C$6="(Tous)",$A43=Drill!$C$6),OR(Drill!$D$6="(Tous)",$B43=Drill!$D$6),OR(Drill!$E$6="(Tous)",$C43=Drill!$E$6),OR(Drill!$F$6="(Tous)",$D43=Drill!$F$6),OR(Drill!$G$6="(Tous)",$E43=Drill!$G$6)),1,0)</f>
        <v/>
      </c>
      <c r="U43" s="8">
        <f>IF(T43=1,SUM($T$5:T43),"")</f>
        <v/>
      </c>
    </row>
    <row r="44">
      <c r="A44" s="6" t="inlineStr">
        <is>
          <t>Tunon</t>
        </is>
      </c>
      <c r="B44" s="6" t="inlineStr">
        <is>
          <t>TUNON_PAR</t>
        </is>
      </c>
      <c r="C44" s="6" t="inlineStr">
        <is>
          <t>BAC_TOU</t>
        </is>
      </c>
      <c r="D44" s="6" t="inlineStr">
        <is>
          <t>B3</t>
        </is>
      </c>
      <c r="E44" s="6" t="inlineStr">
        <is>
          <t>ALT</t>
        </is>
      </c>
      <c r="F44" s="7" t="n">
        <v>1</v>
      </c>
      <c r="G44" s="7" t="n">
        <v>32</v>
      </c>
      <c r="H44" s="7">
        <f>F44*G44</f>
        <v/>
      </c>
      <c r="I44" s="7" t="n">
        <v>26</v>
      </c>
      <c r="J44" s="7" t="n">
        <v>216003</v>
      </c>
      <c r="K44" s="7" t="n">
        <v>226414</v>
      </c>
      <c r="L44" s="7" t="n">
        <v>9438</v>
      </c>
      <c r="M44" s="7" t="n">
        <v>189305</v>
      </c>
      <c r="N44" s="7" t="n">
        <v>12514</v>
      </c>
      <c r="O44" s="7" t="n">
        <v>31657</v>
      </c>
      <c r="P44" s="7">
        <f>K44-L44-M44</f>
        <v/>
      </c>
      <c r="Q44" s="7">
        <f>K44-L44</f>
        <v/>
      </c>
      <c r="R44" s="7">
        <f>L44+M44+N44</f>
        <v/>
      </c>
      <c r="S44" s="7">
        <f>K44-R44</f>
        <v/>
      </c>
      <c r="T44" s="8">
        <f>IF(AND(OR(Drill!$C$6="(Tous)",$A44=Drill!$C$6),OR(Drill!$D$6="(Tous)",$B44=Drill!$D$6),OR(Drill!$E$6="(Tous)",$C44=Drill!$E$6),OR(Drill!$F$6="(Tous)",$D44=Drill!$F$6),OR(Drill!$G$6="(Tous)",$E44=Drill!$G$6)),1,0)</f>
        <v/>
      </c>
      <c r="U44" s="8">
        <f>IF(T44=1,SUM($T$5:T44),"")</f>
        <v/>
      </c>
    </row>
    <row r="45">
      <c r="A45" s="6" t="inlineStr">
        <is>
          <t>Tunon</t>
        </is>
      </c>
      <c r="B45" s="6" t="inlineStr">
        <is>
          <t>TUNON_PAR</t>
        </is>
      </c>
      <c r="C45" s="6" t="inlineStr">
        <is>
          <t>BTS_TOU</t>
        </is>
      </c>
      <c r="D45" s="6" t="inlineStr">
        <is>
          <t>BTS1</t>
        </is>
      </c>
      <c r="E45" s="6" t="inlineStr">
        <is>
          <t>ALT</t>
        </is>
      </c>
      <c r="F45" s="7" t="n">
        <v>1</v>
      </c>
      <c r="G45" s="7" t="n">
        <v>30</v>
      </c>
      <c r="H45" s="7">
        <f>F45*G45</f>
        <v/>
      </c>
      <c r="I45" s="7" t="n">
        <v>23</v>
      </c>
      <c r="J45" s="7" t="n">
        <v>179790</v>
      </c>
      <c r="K45" s="7" t="n">
        <v>183986</v>
      </c>
      <c r="L45" s="7" t="n">
        <v>8349</v>
      </c>
      <c r="M45" s="7" t="n">
        <v>203867</v>
      </c>
      <c r="N45" s="7" t="n">
        <v>11070</v>
      </c>
      <c r="O45" s="7" t="n">
        <v>-30415</v>
      </c>
      <c r="P45" s="7">
        <f>K45-L45-M45</f>
        <v/>
      </c>
      <c r="Q45" s="7">
        <f>K45-L45</f>
        <v/>
      </c>
      <c r="R45" s="7">
        <f>L45+M45+N45</f>
        <v/>
      </c>
      <c r="S45" s="7">
        <f>K45-R45</f>
        <v/>
      </c>
      <c r="T45" s="8">
        <f>IF(AND(OR(Drill!$C$6="(Tous)",$A45=Drill!$C$6),OR(Drill!$D$6="(Tous)",$B45=Drill!$D$6),OR(Drill!$E$6="(Tous)",$C45=Drill!$E$6),OR(Drill!$F$6="(Tous)",$D45=Drill!$F$6),OR(Drill!$G$6="(Tous)",$E45=Drill!$G$6)),1,0)</f>
        <v/>
      </c>
      <c r="U45" s="8">
        <f>IF(T45=1,SUM($T$5:T45),"")</f>
        <v/>
      </c>
    </row>
    <row r="46">
      <c r="A46" s="6" t="inlineStr">
        <is>
          <t>Tunon</t>
        </is>
      </c>
      <c r="B46" s="6" t="inlineStr">
        <is>
          <t>TUNON_LYO</t>
        </is>
      </c>
      <c r="C46" s="6" t="inlineStr">
        <is>
          <t>BAC_TOU</t>
        </is>
      </c>
      <c r="D46" s="6" t="inlineStr">
        <is>
          <t>B1</t>
        </is>
      </c>
      <c r="E46" s="6" t="inlineStr">
        <is>
          <t>INIT</t>
        </is>
      </c>
      <c r="F46" s="7" t="n">
        <v>1</v>
      </c>
      <c r="G46" s="7" t="n">
        <v>32</v>
      </c>
      <c r="H46" s="7">
        <f>F46*G46</f>
        <v/>
      </c>
      <c r="I46" s="7" t="n">
        <v>28</v>
      </c>
      <c r="J46" s="7" t="n">
        <v>268492</v>
      </c>
      <c r="K46" s="7" t="n">
        <v>266706</v>
      </c>
      <c r="L46" s="7" t="n">
        <v>10164</v>
      </c>
      <c r="M46" s="7" t="n">
        <v>180874</v>
      </c>
      <c r="N46" s="7" t="n">
        <v>13477</v>
      </c>
      <c r="O46" s="7" t="n">
        <v>41741</v>
      </c>
      <c r="P46" s="7">
        <f>K46-L46-M46</f>
        <v/>
      </c>
      <c r="Q46" s="7">
        <f>K46-L46</f>
        <v/>
      </c>
      <c r="R46" s="7">
        <f>L46+M46+N46</f>
        <v/>
      </c>
      <c r="S46" s="7">
        <f>K46-R46</f>
        <v/>
      </c>
      <c r="T46" s="8">
        <f>IF(AND(OR(Drill!$C$6="(Tous)",$A46=Drill!$C$6),OR(Drill!$D$6="(Tous)",$B46=Drill!$D$6),OR(Drill!$E$6="(Tous)",$C46=Drill!$E$6),OR(Drill!$F$6="(Tous)",$D46=Drill!$F$6),OR(Drill!$G$6="(Tous)",$E46=Drill!$G$6)),1,0)</f>
        <v/>
      </c>
      <c r="U46" s="8">
        <f>IF(T46=1,SUM($T$5:T46),"")</f>
        <v/>
      </c>
    </row>
    <row r="47">
      <c r="A47" s="6" t="inlineStr">
        <is>
          <t>Tunon</t>
        </is>
      </c>
      <c r="B47" s="6" t="inlineStr">
        <is>
          <t>TUNON_LYO</t>
        </is>
      </c>
      <c r="C47" s="6" t="inlineStr">
        <is>
          <t>BAC_TOU</t>
        </is>
      </c>
      <c r="D47" s="6" t="inlineStr">
        <is>
          <t>B2</t>
        </is>
      </c>
      <c r="E47" s="6" t="inlineStr">
        <is>
          <t>ALT</t>
        </is>
      </c>
      <c r="F47" s="7" t="n">
        <v>1</v>
      </c>
      <c r="G47" s="7" t="n">
        <v>32</v>
      </c>
      <c r="H47" s="7">
        <f>F47*G47</f>
        <v/>
      </c>
      <c r="I47" s="7" t="n">
        <v>24</v>
      </c>
      <c r="J47" s="7" t="n">
        <v>208023</v>
      </c>
      <c r="K47" s="7" t="n">
        <v>209149</v>
      </c>
      <c r="L47" s="7" t="n">
        <v>8712</v>
      </c>
      <c r="M47" s="7" t="n">
        <v>180874</v>
      </c>
      <c r="N47" s="7" t="n">
        <v>11552</v>
      </c>
      <c r="O47" s="7" t="n">
        <v>11126</v>
      </c>
      <c r="P47" s="7">
        <f>K47-L47-M47</f>
        <v/>
      </c>
      <c r="Q47" s="7">
        <f>K47-L47</f>
        <v/>
      </c>
      <c r="R47" s="7">
        <f>L47+M47+N47</f>
        <v/>
      </c>
      <c r="S47" s="7">
        <f>K47-R47</f>
        <v/>
      </c>
      <c r="T47" s="8">
        <f>IF(AND(OR(Drill!$C$6="(Tous)",$A47=Drill!$C$6),OR(Drill!$D$6="(Tous)",$B47=Drill!$D$6),OR(Drill!$E$6="(Tous)",$C47=Drill!$E$6),OR(Drill!$F$6="(Tous)",$D47=Drill!$F$6),OR(Drill!$G$6="(Tous)",$E47=Drill!$G$6)),1,0)</f>
        <v/>
      </c>
      <c r="U47" s="8">
        <f>IF(T47=1,SUM($T$5:T47),"")</f>
        <v/>
      </c>
    </row>
    <row r="48">
      <c r="A48" s="6" t="inlineStr">
        <is>
          <t>Tunon</t>
        </is>
      </c>
      <c r="B48" s="6" t="inlineStr">
        <is>
          <t>TUNON_LYO</t>
        </is>
      </c>
      <c r="C48" s="6" t="inlineStr">
        <is>
          <t>BAC_TOU</t>
        </is>
      </c>
      <c r="D48" s="6" t="inlineStr">
        <is>
          <t>B3</t>
        </is>
      </c>
      <c r="E48" s="6" t="inlineStr">
        <is>
          <t>ALT</t>
        </is>
      </c>
      <c r="F48" s="7" t="n">
        <v>1</v>
      </c>
      <c r="G48" s="7" t="n">
        <v>32</v>
      </c>
      <c r="H48" s="7">
        <f>F48*G48</f>
        <v/>
      </c>
      <c r="I48" s="7" t="n">
        <v>19</v>
      </c>
      <c r="J48" s="7" t="n">
        <v>162732</v>
      </c>
      <c r="K48" s="7" t="n">
        <v>165577</v>
      </c>
      <c r="L48" s="7" t="n">
        <v>6897</v>
      </c>
      <c r="M48" s="7" t="n">
        <v>180874</v>
      </c>
      <c r="N48" s="7" t="n">
        <v>9145</v>
      </c>
      <c r="O48" s="7" t="n">
        <v>-13000</v>
      </c>
      <c r="P48" s="7">
        <f>K48-L48-M48</f>
        <v/>
      </c>
      <c r="Q48" s="7">
        <f>K48-L48</f>
        <v/>
      </c>
      <c r="R48" s="7">
        <f>L48+M48+N48</f>
        <v/>
      </c>
      <c r="S48" s="7">
        <f>K48-R48</f>
        <v/>
      </c>
      <c r="T48" s="8">
        <f>IF(AND(OR(Drill!$C$6="(Tous)",$A48=Drill!$C$6),OR(Drill!$D$6="(Tous)",$B48=Drill!$D$6),OR(Drill!$E$6="(Tous)",$C48=Drill!$E$6),OR(Drill!$F$6="(Tous)",$D48=Drill!$F$6),OR(Drill!$G$6="(Tous)",$E48=Drill!$G$6)),1,0)</f>
        <v/>
      </c>
      <c r="U48" s="8">
        <f>IF(T48=1,SUM($T$5:T48),"")</f>
        <v/>
      </c>
    </row>
    <row r="49">
      <c r="A49" s="6" t="inlineStr">
        <is>
          <t>Tunon</t>
        </is>
      </c>
      <c r="B49" s="6" t="inlineStr">
        <is>
          <t>TUNON_LYO</t>
        </is>
      </c>
      <c r="C49" s="6" t="inlineStr">
        <is>
          <t>BTS_TOU</t>
        </is>
      </c>
      <c r="D49" s="6" t="inlineStr">
        <is>
          <t>BTS1</t>
        </is>
      </c>
      <c r="E49" s="6" t="inlineStr">
        <is>
          <t>ALT</t>
        </is>
      </c>
      <c r="F49" s="7" t="n">
        <v>1</v>
      </c>
      <c r="G49" s="7" t="n">
        <v>30</v>
      </c>
      <c r="H49" s="7">
        <f>F49*G49</f>
        <v/>
      </c>
      <c r="I49" s="7" t="n">
        <v>13</v>
      </c>
      <c r="J49" s="7" t="n">
        <v>104765</v>
      </c>
      <c r="K49" s="7" t="n">
        <v>104068</v>
      </c>
      <c r="L49" s="7" t="n">
        <v>4719</v>
      </c>
      <c r="M49" s="7" t="n">
        <v>194787</v>
      </c>
      <c r="N49" s="7" t="n">
        <v>6257</v>
      </c>
      <c r="O49" s="7" t="n">
        <v>-52646</v>
      </c>
      <c r="P49" s="7">
        <f>K49-L49-M49</f>
        <v/>
      </c>
      <c r="Q49" s="7">
        <f>K49-L49</f>
        <v/>
      </c>
      <c r="R49" s="7">
        <f>L49+M49+N49</f>
        <v/>
      </c>
      <c r="S49" s="7">
        <f>K49-R49</f>
        <v/>
      </c>
      <c r="T49" s="8">
        <f>IF(AND(OR(Drill!$C$6="(Tous)",$A49=Drill!$C$6),OR(Drill!$D$6="(Tous)",$B49=Drill!$D$6),OR(Drill!$E$6="(Tous)",$C49=Drill!$E$6),OR(Drill!$F$6="(Tous)",$D49=Drill!$F$6),OR(Drill!$G$6="(Tous)",$E49=Drill!$G$6)),1,0)</f>
        <v/>
      </c>
      <c r="U49" s="8">
        <f>IF(T49=1,SUM($T$5:T49),"")</f>
        <v/>
      </c>
    </row>
    <row r="50">
      <c r="A50" s="10" t="inlineStr">
        <is>
          <t>TOTAL</t>
        </is>
      </c>
      <c r="H50" s="11">
        <f>SUM(H5:H49)</f>
        <v/>
      </c>
      <c r="I50" s="11">
        <f>SUM(I5:I49)</f>
        <v/>
      </c>
      <c r="J50" s="11">
        <f>SUM(J5:J49)</f>
        <v/>
      </c>
      <c r="K50" s="11">
        <f>SUM(K5:K49)</f>
        <v/>
      </c>
      <c r="L50" s="11">
        <f>SUM(L5:L49)</f>
        <v/>
      </c>
      <c r="M50" s="11">
        <f>SUM(M5:M49)</f>
        <v/>
      </c>
      <c r="N50" s="11">
        <f>SUM(N5:N49)</f>
        <v/>
      </c>
      <c r="O50" s="11">
        <f>SUM(O5:O49)</f>
        <v/>
      </c>
      <c r="P50" s="11">
        <f>SUM(P5:P49)</f>
        <v/>
      </c>
      <c r="Q50" s="11">
        <f>SUM(Q5:Q49)</f>
        <v/>
      </c>
      <c r="R50" s="11">
        <f>SUM(R5:R49)</f>
        <v/>
      </c>
      <c r="S50" s="11">
        <f>SUM(S5:S49)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3" customWidth="1" min="14" max="14"/>
    <col hidden="1" width="3" customWidth="1" min="15" max="15"/>
  </cols>
  <sheetData>
    <row r="1" ht="6" customHeight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</row>
    <row r="2" ht="28" customHeight="1">
      <c r="A2" s="12" t="n"/>
      <c r="B2" s="13" t="inlineStr">
        <is>
          <t xml:space="preserve">  Drill EBITDA — du groupe à la classe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5" t="inlineStr">
        <is>
          <t xml:space="preserve">CONTRIBUTION vs COÛT COMPLET  </t>
        </is>
      </c>
      <c r="N2" s="12" t="n"/>
      <c r="O2" s="12" t="n"/>
    </row>
    <row r="3" ht="16" customHeight="1">
      <c r="A3" s="12" t="n"/>
      <c r="B3" s="16" t="inlineStr">
        <is>
          <t xml:space="preserve">  Marque → Campus → Programme → Année d'étude → Modalité · exercice 2026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8" t="n"/>
      <c r="N3" s="12" t="n"/>
      <c r="O3" s="12" t="n"/>
    </row>
    <row r="4" ht="8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 ht="15" customHeight="1">
      <c r="A5" s="12" t="n"/>
      <c r="B5" s="19" t="inlineStr">
        <is>
          <t xml:space="preserve">  ① CHEMIN DE DRILL</t>
        </is>
      </c>
      <c r="C5" s="20" t="inlineStr">
        <is>
          <t>Marque</t>
        </is>
      </c>
      <c r="D5" s="20" t="inlineStr">
        <is>
          <t>Campus</t>
        </is>
      </c>
      <c r="E5" s="20" t="inlineStr">
        <is>
          <t>Programme</t>
        </is>
      </c>
      <c r="F5" s="20" t="inlineStr">
        <is>
          <t>Année d'étude</t>
        </is>
      </c>
      <c r="G5" s="20" t="inlineStr">
        <is>
          <t>Modalité</t>
        </is>
      </c>
      <c r="H5" s="14" t="n"/>
      <c r="I5" s="14" t="n"/>
      <c r="J5" s="14" t="n"/>
      <c r="K5" s="14" t="n"/>
      <c r="L5" s="14" t="n"/>
      <c r="M5" s="21" t="n"/>
      <c r="N5" s="12" t="n"/>
      <c r="O5" s="12" t="n"/>
    </row>
    <row r="6" ht="22" customHeight="1">
      <c r="A6" s="12" t="n"/>
      <c r="B6" s="22" t="inlineStr">
        <is>
          <t xml:space="preserve">  remets « (Tous) » pour remonter d'un niveau</t>
        </is>
      </c>
      <c r="C6" s="23" t="inlineStr">
        <is>
          <t>(Tous)</t>
        </is>
      </c>
      <c r="D6" s="23" t="inlineStr">
        <is>
          <t>(Tous)</t>
        </is>
      </c>
      <c r="E6" s="23" t="inlineStr">
        <is>
          <t>(Tous)</t>
        </is>
      </c>
      <c r="F6" s="23" t="inlineStr">
        <is>
          <t>(Tous)</t>
        </is>
      </c>
      <c r="G6" s="23" t="inlineStr">
        <is>
          <t>(Tous)</t>
        </is>
      </c>
      <c r="H6" s="17" t="n"/>
      <c r="I6" s="17" t="n"/>
      <c r="J6" s="17" t="n"/>
      <c r="K6" s="17" t="n"/>
      <c r="L6" s="17" t="n"/>
      <c r="M6" s="18" t="n"/>
      <c r="N6" s="12" t="n"/>
      <c r="O6" s="24">
        <f>5-COUNTIF($C$6:$G$6,"(Tous)")+1</f>
        <v/>
      </c>
    </row>
    <row r="7" ht="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 ht="18" customHeight="1">
      <c r="A8" s="12" t="n"/>
      <c r="B8" s="25">
        <f>"②  Vous regardez : "&amp;IF($O$6=1,"le GROUPE (tous périmètres)",IF($C$6="(Tous)","",$C$6)&amp;IF($D$6="(Tous)",""," › "&amp;$D$6)&amp;IF($E$6="(Tous)",""," › "&amp;$E$6)&amp;IF($F$6="(Tous)",""," › "&amp;$F$6)&amp;IF($G$6="(Tous)",""," › "&amp;$G$6))</f>
        <v/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 ht="20" customHeight="1">
      <c r="A10" s="12" t="n"/>
      <c r="B10" s="19" t="inlineStr">
        <is>
          <t xml:space="preserve">  ② NIVEAU COURANT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21" t="n"/>
      <c r="N10" s="12" t="n"/>
      <c r="O10" s="12" t="n"/>
    </row>
    <row r="11" ht="18" customHeight="1">
      <c r="A11" s="12" t="n"/>
      <c r="B11" s="26" t="inlineStr">
        <is>
          <t>Agrégat de la sélection</t>
        </is>
      </c>
      <c r="C11" s="27" t="inlineStr">
        <is>
          <t>CA 2026</t>
        </is>
      </c>
      <c r="D11" s="27" t="inlineStr">
        <is>
          <t>Δ CA</t>
        </is>
      </c>
      <c r="E11" s="27" t="inlineStr">
        <is>
          <t>EBITDA</t>
        </is>
      </c>
      <c r="F11" s="27" t="inlineStr">
        <is>
          <t>Marge EBITDA</t>
        </is>
      </c>
      <c r="G11" s="27" t="inlineStr">
        <is>
          <t>Contribution</t>
        </is>
      </c>
      <c r="H11" s="27" t="inlineStr">
        <is>
          <t>Coût complet</t>
        </is>
      </c>
      <c r="I11" s="27" t="inlineStr">
        <is>
          <t>Marge complète</t>
        </is>
      </c>
      <c r="J11" s="27" t="inlineStr">
        <is>
          <t>Effectifs</t>
        </is>
      </c>
      <c r="K11" s="27" t="inlineStr">
        <is>
          <t>Places</t>
        </is>
      </c>
      <c r="L11" s="27" t="inlineStr">
        <is>
          <t>Remplissage</t>
        </is>
      </c>
      <c r="M11" s="27" t="inlineStr">
        <is>
          <t>Statut</t>
        </is>
      </c>
      <c r="N11" s="12" t="n"/>
      <c r="O11" s="12" t="n"/>
    </row>
    <row r="12" ht="24" customHeight="1">
      <c r="A12" s="12" t="n"/>
      <c r="B12" s="28">
        <f>IF($O$6=1,"GROUPE",INDEX($C$6:$G$6,$O$6-1))</f>
        <v/>
      </c>
      <c r="C12" s="29">
        <f>SUMPRODUCT(Données!$T$5:$T$49,Données!$K$5:$K$49)</f>
        <v/>
      </c>
      <c r="D12" s="30">
        <f>C12/SUMPRODUCT(Données!$T$5:$T$49,Données!$J$5:$J$49)-1</f>
        <v/>
      </c>
      <c r="E12" s="29">
        <f>SUMPRODUCT(Données!$T$5:$T$49,Données!$P$5:$P$49)</f>
        <v/>
      </c>
      <c r="F12" s="31">
        <f>IFERROR(E12/C12,0)</f>
        <v/>
      </c>
      <c r="G12" s="29">
        <f>SUMPRODUCT(Données!$T$5:$T$49,Données!$Q$5:$Q$49)</f>
        <v/>
      </c>
      <c r="H12" s="29">
        <f>SUMPRODUCT(Données!$T$5:$T$49,Données!$R$5:$R$49)</f>
        <v/>
      </c>
      <c r="I12" s="29">
        <f>SUMPRODUCT(Données!$T$5:$T$49,Données!$S$5:$S$49)</f>
        <v/>
      </c>
      <c r="J12" s="29">
        <f>SUMPRODUCT(Données!$T$5:$T$49,Données!$I$5:$I$49)</f>
        <v/>
      </c>
      <c r="K12" s="29">
        <f>SUMPRODUCT(Données!$T$5:$T$49,Données!$H$5:$H$49)</f>
        <v/>
      </c>
      <c r="L12" s="32">
        <f>IFERROR(J12/K12,0)</f>
        <v/>
      </c>
      <c r="M12" s="33">
        <f>IF(E12&lt;0,"DÉFICITAIRE",IF(I12&lt;0,"PIÈGE",IF(L12&lt;0.75,"SOUS-REMPLI","SAIN")))</f>
        <v/>
      </c>
      <c r="N12" s="12" t="n"/>
      <c r="O12" s="12" t="n"/>
    </row>
    <row r="13" ht="1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20" customHeight="1">
      <c r="A14" s="12" t="n"/>
      <c r="B14" s="19">
        <f>"  ③ NIVEAU SUIVANT — "&amp;IF($O$6&gt;5,"grain classe atteint, voir le détail ci-dessous",UPPER(INDEX(Données!$AC$5:$AC$9,$O$6)))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21" t="n"/>
      <c r="N14" s="12" t="n"/>
      <c r="O14" s="12" t="n"/>
    </row>
    <row r="15" ht="18" customHeight="1">
      <c r="A15" s="12" t="n"/>
      <c r="B15" s="26" t="inlineStr">
        <is>
          <t>Membre</t>
        </is>
      </c>
      <c r="C15" s="27" t="inlineStr">
        <is>
          <t>CA 2026</t>
        </is>
      </c>
      <c r="D15" s="27" t="inlineStr">
        <is>
          <t>Δ CA</t>
        </is>
      </c>
      <c r="E15" s="27" t="inlineStr">
        <is>
          <t>EBITDA</t>
        </is>
      </c>
      <c r="F15" s="27" t="inlineStr">
        <is>
          <t>Marge EBITDA</t>
        </is>
      </c>
      <c r="G15" s="27" t="inlineStr">
        <is>
          <t>Contribution</t>
        </is>
      </c>
      <c r="H15" s="27" t="inlineStr">
        <is>
          <t>Coût complet</t>
        </is>
      </c>
      <c r="I15" s="27" t="inlineStr">
        <is>
          <t>Marge complète</t>
        </is>
      </c>
      <c r="J15" s="27" t="inlineStr">
        <is>
          <t>Effectifs</t>
        </is>
      </c>
      <c r="K15" s="27" t="inlineStr">
        <is>
          <t>Places</t>
        </is>
      </c>
      <c r="L15" s="27" t="inlineStr">
        <is>
          <t>Remplissage</t>
        </is>
      </c>
      <c r="M15" s="27" t="inlineStr">
        <is>
          <t>Statut</t>
        </is>
      </c>
      <c r="N15" s="12" t="n"/>
      <c r="O15" s="12" t="n"/>
    </row>
    <row r="16" ht="16" customHeight="1">
      <c r="A16" s="12" t="n"/>
      <c r="B16" s="34">
        <f>IF($O$6&gt;5,"",IFERROR(INDEX(Données!$W$5:$AA$16,1,$O$6),""))</f>
        <v/>
      </c>
      <c r="C16" s="35">
        <f>IF($B16="","",SUMPRODUCT(Données!$T$5:$T$49*(INDEX(Données!$A$5:$E$49,0,$O$6)=$B16)*Données!$K$5:$K$49))</f>
        <v/>
      </c>
      <c r="D16" s="36">
        <f>IF(OR($C16="",$C16=0),"",C16/SUMPRODUCT(Données!$T$5:$T$49*(INDEX(Données!$A$5:$E$49,0,$O$6)=$B16)*Données!$J$5:$J$49)-1)</f>
        <v/>
      </c>
      <c r="E16" s="35">
        <f>IF(OR($C16="",$C16=0),"",SUMPRODUCT(Données!$T$5:$T$49*(INDEX(Données!$A$5:$E$49,0,$O$6)=$B16)*Données!$P$5:$P$49))</f>
        <v/>
      </c>
      <c r="F16" s="37">
        <f>IF(OR($C16="",$C16=0),"",E16/C16)</f>
        <v/>
      </c>
      <c r="G16" s="35">
        <f>IF(OR($C16="",$C16=0),"",SUMPRODUCT(Données!$T$5:$T$49*(INDEX(Données!$A$5:$E$49,0,$O$6)=$B16)*Données!$Q$5:$Q$49))</f>
        <v/>
      </c>
      <c r="H16" s="35">
        <f>IF(OR($C16="",$C16=0),"",SUMPRODUCT(Données!$T$5:$T$49*(INDEX(Données!$A$5:$E$49,0,$O$6)=$B16)*Données!$R$5:$R$49))</f>
        <v/>
      </c>
      <c r="I16" s="35">
        <f>IF(OR($C16="",$C16=0),"",SUMPRODUCT(Données!$T$5:$T$49*(INDEX(Données!$A$5:$E$49,0,$O$6)=$B16)*Données!$S$5:$S$49))</f>
        <v/>
      </c>
      <c r="J16" s="35">
        <f>IF(OR($C16="",$C16=0),"",SUMPRODUCT(Données!$T$5:$T$49*(INDEX(Données!$A$5:$E$49,0,$O$6)=$B16)*Données!$I$5:$I$49))</f>
        <v/>
      </c>
      <c r="K16" s="35">
        <f>IF(OR($C16="",$C16=0),"",SUMPRODUCT(Données!$T$5:$T$49*(INDEX(Données!$A$5:$E$49,0,$O$6)=$B16)*Données!$H$5:$H$49))</f>
        <v/>
      </c>
      <c r="L16" s="38">
        <f>IF(OR($C16="",$C16=0),"",J16/K16)</f>
        <v/>
      </c>
      <c r="M16" s="39">
        <f>IF(OR($C16="",$C16=0),"",IF(E16&lt;0,"DÉFICITAIRE",IF(I16&lt;0,"PIÈGE",IF(L16&lt;0.75,"SOUS-REMPLI",""))))</f>
        <v/>
      </c>
      <c r="N16" s="12" t="n"/>
      <c r="O16" s="12" t="n"/>
    </row>
    <row r="17" ht="16" customHeight="1">
      <c r="A17" s="12" t="n"/>
      <c r="B17" s="34">
        <f>IF($O$6&gt;5,"",IFERROR(INDEX(Données!$W$5:$AA$16,2,$O$6),""))</f>
        <v/>
      </c>
      <c r="C17" s="35">
        <f>IF($B17="","",SUMPRODUCT(Données!$T$5:$T$49*(INDEX(Données!$A$5:$E$49,0,$O$6)=$B17)*Données!$K$5:$K$49))</f>
        <v/>
      </c>
      <c r="D17" s="36">
        <f>IF(OR($C17="",$C17=0),"",C17/SUMPRODUCT(Données!$T$5:$T$49*(INDEX(Données!$A$5:$E$49,0,$O$6)=$B17)*Données!$J$5:$J$49)-1)</f>
        <v/>
      </c>
      <c r="E17" s="35">
        <f>IF(OR($C17="",$C17=0),"",SUMPRODUCT(Données!$T$5:$T$49*(INDEX(Données!$A$5:$E$49,0,$O$6)=$B17)*Données!$P$5:$P$49))</f>
        <v/>
      </c>
      <c r="F17" s="37">
        <f>IF(OR($C17="",$C17=0),"",E17/C17)</f>
        <v/>
      </c>
      <c r="G17" s="35">
        <f>IF(OR($C17="",$C17=0),"",SUMPRODUCT(Données!$T$5:$T$49*(INDEX(Données!$A$5:$E$49,0,$O$6)=$B17)*Données!$Q$5:$Q$49))</f>
        <v/>
      </c>
      <c r="H17" s="35">
        <f>IF(OR($C17="",$C17=0),"",SUMPRODUCT(Données!$T$5:$T$49*(INDEX(Données!$A$5:$E$49,0,$O$6)=$B17)*Données!$R$5:$R$49))</f>
        <v/>
      </c>
      <c r="I17" s="35">
        <f>IF(OR($C17="",$C17=0),"",SUMPRODUCT(Données!$T$5:$T$49*(INDEX(Données!$A$5:$E$49,0,$O$6)=$B17)*Données!$S$5:$S$49))</f>
        <v/>
      </c>
      <c r="J17" s="35">
        <f>IF(OR($C17="",$C17=0),"",SUMPRODUCT(Données!$T$5:$T$49*(INDEX(Données!$A$5:$E$49,0,$O$6)=$B17)*Données!$I$5:$I$49))</f>
        <v/>
      </c>
      <c r="K17" s="35">
        <f>IF(OR($C17="",$C17=0),"",SUMPRODUCT(Données!$T$5:$T$49*(INDEX(Données!$A$5:$E$49,0,$O$6)=$B17)*Données!$H$5:$H$49))</f>
        <v/>
      </c>
      <c r="L17" s="38">
        <f>IF(OR($C17="",$C17=0),"",J17/K17)</f>
        <v/>
      </c>
      <c r="M17" s="39">
        <f>IF(OR($C17="",$C17=0),"",IF(E17&lt;0,"DÉFICITAIRE",IF(I17&lt;0,"PIÈGE",IF(L17&lt;0.75,"SOUS-REMPLI",""))))</f>
        <v/>
      </c>
      <c r="N17" s="12" t="n"/>
      <c r="O17" s="12" t="n"/>
    </row>
    <row r="18" ht="16" customHeight="1">
      <c r="A18" s="12" t="n"/>
      <c r="B18" s="34">
        <f>IF($O$6&gt;5,"",IFERROR(INDEX(Données!$W$5:$AA$16,3,$O$6),""))</f>
        <v/>
      </c>
      <c r="C18" s="35">
        <f>IF($B18="","",SUMPRODUCT(Données!$T$5:$T$49*(INDEX(Données!$A$5:$E$49,0,$O$6)=$B18)*Données!$K$5:$K$49))</f>
        <v/>
      </c>
      <c r="D18" s="36">
        <f>IF(OR($C18="",$C18=0),"",C18/SUMPRODUCT(Données!$T$5:$T$49*(INDEX(Données!$A$5:$E$49,0,$O$6)=$B18)*Données!$J$5:$J$49)-1)</f>
        <v/>
      </c>
      <c r="E18" s="35">
        <f>IF(OR($C18="",$C18=0),"",SUMPRODUCT(Données!$T$5:$T$49*(INDEX(Données!$A$5:$E$49,0,$O$6)=$B18)*Données!$P$5:$P$49))</f>
        <v/>
      </c>
      <c r="F18" s="37">
        <f>IF(OR($C18="",$C18=0),"",E18/C18)</f>
        <v/>
      </c>
      <c r="G18" s="35">
        <f>IF(OR($C18="",$C18=0),"",SUMPRODUCT(Données!$T$5:$T$49*(INDEX(Données!$A$5:$E$49,0,$O$6)=$B18)*Données!$Q$5:$Q$49))</f>
        <v/>
      </c>
      <c r="H18" s="35">
        <f>IF(OR($C18="",$C18=0),"",SUMPRODUCT(Données!$T$5:$T$49*(INDEX(Données!$A$5:$E$49,0,$O$6)=$B18)*Données!$R$5:$R$49))</f>
        <v/>
      </c>
      <c r="I18" s="35">
        <f>IF(OR($C18="",$C18=0),"",SUMPRODUCT(Données!$T$5:$T$49*(INDEX(Données!$A$5:$E$49,0,$O$6)=$B18)*Données!$S$5:$S$49))</f>
        <v/>
      </c>
      <c r="J18" s="35">
        <f>IF(OR($C18="",$C18=0),"",SUMPRODUCT(Données!$T$5:$T$49*(INDEX(Données!$A$5:$E$49,0,$O$6)=$B18)*Données!$I$5:$I$49))</f>
        <v/>
      </c>
      <c r="K18" s="35">
        <f>IF(OR($C18="",$C18=0),"",SUMPRODUCT(Données!$T$5:$T$49*(INDEX(Données!$A$5:$E$49,0,$O$6)=$B18)*Données!$H$5:$H$49))</f>
        <v/>
      </c>
      <c r="L18" s="38">
        <f>IF(OR($C18="",$C18=0),"",J18/K18)</f>
        <v/>
      </c>
      <c r="M18" s="39">
        <f>IF(OR($C18="",$C18=0),"",IF(E18&lt;0,"DÉFICITAIRE",IF(I18&lt;0,"PIÈGE",IF(L18&lt;0.75,"SOUS-REMPLI",""))))</f>
        <v/>
      </c>
      <c r="N18" s="12" t="n"/>
      <c r="O18" s="12" t="n"/>
    </row>
    <row r="19" ht="16" customHeight="1">
      <c r="A19" s="12" t="n"/>
      <c r="B19" s="34">
        <f>IF($O$6&gt;5,"",IFERROR(INDEX(Données!$W$5:$AA$16,4,$O$6),""))</f>
        <v/>
      </c>
      <c r="C19" s="35">
        <f>IF($B19="","",SUMPRODUCT(Données!$T$5:$T$49*(INDEX(Données!$A$5:$E$49,0,$O$6)=$B19)*Données!$K$5:$K$49))</f>
        <v/>
      </c>
      <c r="D19" s="36">
        <f>IF(OR($C19="",$C19=0),"",C19/SUMPRODUCT(Données!$T$5:$T$49*(INDEX(Données!$A$5:$E$49,0,$O$6)=$B19)*Données!$J$5:$J$49)-1)</f>
        <v/>
      </c>
      <c r="E19" s="35">
        <f>IF(OR($C19="",$C19=0),"",SUMPRODUCT(Données!$T$5:$T$49*(INDEX(Données!$A$5:$E$49,0,$O$6)=$B19)*Données!$P$5:$P$49))</f>
        <v/>
      </c>
      <c r="F19" s="37">
        <f>IF(OR($C19="",$C19=0),"",E19/C19)</f>
        <v/>
      </c>
      <c r="G19" s="35">
        <f>IF(OR($C19="",$C19=0),"",SUMPRODUCT(Données!$T$5:$T$49*(INDEX(Données!$A$5:$E$49,0,$O$6)=$B19)*Données!$Q$5:$Q$49))</f>
        <v/>
      </c>
      <c r="H19" s="35">
        <f>IF(OR($C19="",$C19=0),"",SUMPRODUCT(Données!$T$5:$T$49*(INDEX(Données!$A$5:$E$49,0,$O$6)=$B19)*Données!$R$5:$R$49))</f>
        <v/>
      </c>
      <c r="I19" s="35">
        <f>IF(OR($C19="",$C19=0),"",SUMPRODUCT(Données!$T$5:$T$49*(INDEX(Données!$A$5:$E$49,0,$O$6)=$B19)*Données!$S$5:$S$49))</f>
        <v/>
      </c>
      <c r="J19" s="35">
        <f>IF(OR($C19="",$C19=0),"",SUMPRODUCT(Données!$T$5:$T$49*(INDEX(Données!$A$5:$E$49,0,$O$6)=$B19)*Données!$I$5:$I$49))</f>
        <v/>
      </c>
      <c r="K19" s="35">
        <f>IF(OR($C19="",$C19=0),"",SUMPRODUCT(Données!$T$5:$T$49*(INDEX(Données!$A$5:$E$49,0,$O$6)=$B19)*Données!$H$5:$H$49))</f>
        <v/>
      </c>
      <c r="L19" s="38">
        <f>IF(OR($C19="",$C19=0),"",J19/K19)</f>
        <v/>
      </c>
      <c r="M19" s="39">
        <f>IF(OR($C19="",$C19=0),"",IF(E19&lt;0,"DÉFICITAIRE",IF(I19&lt;0,"PIÈGE",IF(L19&lt;0.75,"SOUS-REMPLI",""))))</f>
        <v/>
      </c>
      <c r="N19" s="12" t="n"/>
      <c r="O19" s="12" t="n"/>
    </row>
    <row r="20" ht="16" customHeight="1">
      <c r="A20" s="12" t="n"/>
      <c r="B20" s="34">
        <f>IF($O$6&gt;5,"",IFERROR(INDEX(Données!$W$5:$AA$16,5,$O$6),""))</f>
        <v/>
      </c>
      <c r="C20" s="35">
        <f>IF($B20="","",SUMPRODUCT(Données!$T$5:$T$49*(INDEX(Données!$A$5:$E$49,0,$O$6)=$B20)*Données!$K$5:$K$49))</f>
        <v/>
      </c>
      <c r="D20" s="36">
        <f>IF(OR($C20="",$C20=0),"",C20/SUMPRODUCT(Données!$T$5:$T$49*(INDEX(Données!$A$5:$E$49,0,$O$6)=$B20)*Données!$J$5:$J$49)-1)</f>
        <v/>
      </c>
      <c r="E20" s="35">
        <f>IF(OR($C20="",$C20=0),"",SUMPRODUCT(Données!$T$5:$T$49*(INDEX(Données!$A$5:$E$49,0,$O$6)=$B20)*Données!$P$5:$P$49))</f>
        <v/>
      </c>
      <c r="F20" s="37">
        <f>IF(OR($C20="",$C20=0),"",E20/C20)</f>
        <v/>
      </c>
      <c r="G20" s="35">
        <f>IF(OR($C20="",$C20=0),"",SUMPRODUCT(Données!$T$5:$T$49*(INDEX(Données!$A$5:$E$49,0,$O$6)=$B20)*Données!$Q$5:$Q$49))</f>
        <v/>
      </c>
      <c r="H20" s="35">
        <f>IF(OR($C20="",$C20=0),"",SUMPRODUCT(Données!$T$5:$T$49*(INDEX(Données!$A$5:$E$49,0,$O$6)=$B20)*Données!$R$5:$R$49))</f>
        <v/>
      </c>
      <c r="I20" s="35">
        <f>IF(OR($C20="",$C20=0),"",SUMPRODUCT(Données!$T$5:$T$49*(INDEX(Données!$A$5:$E$49,0,$O$6)=$B20)*Données!$S$5:$S$49))</f>
        <v/>
      </c>
      <c r="J20" s="35">
        <f>IF(OR($C20="",$C20=0),"",SUMPRODUCT(Données!$T$5:$T$49*(INDEX(Données!$A$5:$E$49,0,$O$6)=$B20)*Données!$I$5:$I$49))</f>
        <v/>
      </c>
      <c r="K20" s="35">
        <f>IF(OR($C20="",$C20=0),"",SUMPRODUCT(Données!$T$5:$T$49*(INDEX(Données!$A$5:$E$49,0,$O$6)=$B20)*Données!$H$5:$H$49))</f>
        <v/>
      </c>
      <c r="L20" s="38">
        <f>IF(OR($C20="",$C20=0),"",J20/K20)</f>
        <v/>
      </c>
      <c r="M20" s="39">
        <f>IF(OR($C20="",$C20=0),"",IF(E20&lt;0,"DÉFICITAIRE",IF(I20&lt;0,"PIÈGE",IF(L20&lt;0.75,"SOUS-REMPLI",""))))</f>
        <v/>
      </c>
      <c r="N20" s="12" t="n"/>
      <c r="O20" s="12" t="n"/>
    </row>
    <row r="21" ht="16" customHeight="1">
      <c r="A21" s="12" t="n"/>
      <c r="B21" s="34">
        <f>IF($O$6&gt;5,"",IFERROR(INDEX(Données!$W$5:$AA$16,6,$O$6),""))</f>
        <v/>
      </c>
      <c r="C21" s="35">
        <f>IF($B21="","",SUMPRODUCT(Données!$T$5:$T$49*(INDEX(Données!$A$5:$E$49,0,$O$6)=$B21)*Données!$K$5:$K$49))</f>
        <v/>
      </c>
      <c r="D21" s="36">
        <f>IF(OR($C21="",$C21=0),"",C21/SUMPRODUCT(Données!$T$5:$T$49*(INDEX(Données!$A$5:$E$49,0,$O$6)=$B21)*Données!$J$5:$J$49)-1)</f>
        <v/>
      </c>
      <c r="E21" s="35">
        <f>IF(OR($C21="",$C21=0),"",SUMPRODUCT(Données!$T$5:$T$49*(INDEX(Données!$A$5:$E$49,0,$O$6)=$B21)*Données!$P$5:$P$49))</f>
        <v/>
      </c>
      <c r="F21" s="37">
        <f>IF(OR($C21="",$C21=0),"",E21/C21)</f>
        <v/>
      </c>
      <c r="G21" s="35">
        <f>IF(OR($C21="",$C21=0),"",SUMPRODUCT(Données!$T$5:$T$49*(INDEX(Données!$A$5:$E$49,0,$O$6)=$B21)*Données!$Q$5:$Q$49))</f>
        <v/>
      </c>
      <c r="H21" s="35">
        <f>IF(OR($C21="",$C21=0),"",SUMPRODUCT(Données!$T$5:$T$49*(INDEX(Données!$A$5:$E$49,0,$O$6)=$B21)*Données!$R$5:$R$49))</f>
        <v/>
      </c>
      <c r="I21" s="35">
        <f>IF(OR($C21="",$C21=0),"",SUMPRODUCT(Données!$T$5:$T$49*(INDEX(Données!$A$5:$E$49,0,$O$6)=$B21)*Données!$S$5:$S$49))</f>
        <v/>
      </c>
      <c r="J21" s="35">
        <f>IF(OR($C21="",$C21=0),"",SUMPRODUCT(Données!$T$5:$T$49*(INDEX(Données!$A$5:$E$49,0,$O$6)=$B21)*Données!$I$5:$I$49))</f>
        <v/>
      </c>
      <c r="K21" s="35">
        <f>IF(OR($C21="",$C21=0),"",SUMPRODUCT(Données!$T$5:$T$49*(INDEX(Données!$A$5:$E$49,0,$O$6)=$B21)*Données!$H$5:$H$49))</f>
        <v/>
      </c>
      <c r="L21" s="38">
        <f>IF(OR($C21="",$C21=0),"",J21/K21)</f>
        <v/>
      </c>
      <c r="M21" s="39">
        <f>IF(OR($C21="",$C21=0),"",IF(E21&lt;0,"DÉFICITAIRE",IF(I21&lt;0,"PIÈGE",IF(L21&lt;0.75,"SOUS-REMPLI",""))))</f>
        <v/>
      </c>
      <c r="N21" s="12" t="n"/>
      <c r="O21" s="12" t="n"/>
    </row>
    <row r="22" ht="16" customHeight="1">
      <c r="A22" s="12" t="n"/>
      <c r="B22" s="34">
        <f>IF($O$6&gt;5,"",IFERROR(INDEX(Données!$W$5:$AA$16,7,$O$6),""))</f>
        <v/>
      </c>
      <c r="C22" s="35">
        <f>IF($B22="","",SUMPRODUCT(Données!$T$5:$T$49*(INDEX(Données!$A$5:$E$49,0,$O$6)=$B22)*Données!$K$5:$K$49))</f>
        <v/>
      </c>
      <c r="D22" s="36">
        <f>IF(OR($C22="",$C22=0),"",C22/SUMPRODUCT(Données!$T$5:$T$49*(INDEX(Données!$A$5:$E$49,0,$O$6)=$B22)*Données!$J$5:$J$49)-1)</f>
        <v/>
      </c>
      <c r="E22" s="35">
        <f>IF(OR($C22="",$C22=0),"",SUMPRODUCT(Données!$T$5:$T$49*(INDEX(Données!$A$5:$E$49,0,$O$6)=$B22)*Données!$P$5:$P$49))</f>
        <v/>
      </c>
      <c r="F22" s="37">
        <f>IF(OR($C22="",$C22=0),"",E22/C22)</f>
        <v/>
      </c>
      <c r="G22" s="35">
        <f>IF(OR($C22="",$C22=0),"",SUMPRODUCT(Données!$T$5:$T$49*(INDEX(Données!$A$5:$E$49,0,$O$6)=$B22)*Données!$Q$5:$Q$49))</f>
        <v/>
      </c>
      <c r="H22" s="35">
        <f>IF(OR($C22="",$C22=0),"",SUMPRODUCT(Données!$T$5:$T$49*(INDEX(Données!$A$5:$E$49,0,$O$6)=$B22)*Données!$R$5:$R$49))</f>
        <v/>
      </c>
      <c r="I22" s="35">
        <f>IF(OR($C22="",$C22=0),"",SUMPRODUCT(Données!$T$5:$T$49*(INDEX(Données!$A$5:$E$49,0,$O$6)=$B22)*Données!$S$5:$S$49))</f>
        <v/>
      </c>
      <c r="J22" s="35">
        <f>IF(OR($C22="",$C22=0),"",SUMPRODUCT(Données!$T$5:$T$49*(INDEX(Données!$A$5:$E$49,0,$O$6)=$B22)*Données!$I$5:$I$49))</f>
        <v/>
      </c>
      <c r="K22" s="35">
        <f>IF(OR($C22="",$C22=0),"",SUMPRODUCT(Données!$T$5:$T$49*(INDEX(Données!$A$5:$E$49,0,$O$6)=$B22)*Données!$H$5:$H$49))</f>
        <v/>
      </c>
      <c r="L22" s="38">
        <f>IF(OR($C22="",$C22=0),"",J22/K22)</f>
        <v/>
      </c>
      <c r="M22" s="39">
        <f>IF(OR($C22="",$C22=0),"",IF(E22&lt;0,"DÉFICITAIRE",IF(I22&lt;0,"PIÈGE",IF(L22&lt;0.75,"SOUS-REMPLI",""))))</f>
        <v/>
      </c>
      <c r="N22" s="12" t="n"/>
      <c r="O22" s="12" t="n"/>
    </row>
    <row r="23" ht="16" customHeight="1">
      <c r="A23" s="12" t="n"/>
      <c r="B23" s="34">
        <f>IF($O$6&gt;5,"",IFERROR(INDEX(Données!$W$5:$AA$16,8,$O$6),""))</f>
        <v/>
      </c>
      <c r="C23" s="35">
        <f>IF($B23="","",SUMPRODUCT(Données!$T$5:$T$49*(INDEX(Données!$A$5:$E$49,0,$O$6)=$B23)*Données!$K$5:$K$49))</f>
        <v/>
      </c>
      <c r="D23" s="36">
        <f>IF(OR($C23="",$C23=0),"",C23/SUMPRODUCT(Données!$T$5:$T$49*(INDEX(Données!$A$5:$E$49,0,$O$6)=$B23)*Données!$J$5:$J$49)-1)</f>
        <v/>
      </c>
      <c r="E23" s="35">
        <f>IF(OR($C23="",$C23=0),"",SUMPRODUCT(Données!$T$5:$T$49*(INDEX(Données!$A$5:$E$49,0,$O$6)=$B23)*Données!$P$5:$P$49))</f>
        <v/>
      </c>
      <c r="F23" s="37">
        <f>IF(OR($C23="",$C23=0),"",E23/C23)</f>
        <v/>
      </c>
      <c r="G23" s="35">
        <f>IF(OR($C23="",$C23=0),"",SUMPRODUCT(Données!$T$5:$T$49*(INDEX(Données!$A$5:$E$49,0,$O$6)=$B23)*Données!$Q$5:$Q$49))</f>
        <v/>
      </c>
      <c r="H23" s="35">
        <f>IF(OR($C23="",$C23=0),"",SUMPRODUCT(Données!$T$5:$T$49*(INDEX(Données!$A$5:$E$49,0,$O$6)=$B23)*Données!$R$5:$R$49))</f>
        <v/>
      </c>
      <c r="I23" s="35">
        <f>IF(OR($C23="",$C23=0),"",SUMPRODUCT(Données!$T$5:$T$49*(INDEX(Données!$A$5:$E$49,0,$O$6)=$B23)*Données!$S$5:$S$49))</f>
        <v/>
      </c>
      <c r="J23" s="35">
        <f>IF(OR($C23="",$C23=0),"",SUMPRODUCT(Données!$T$5:$T$49*(INDEX(Données!$A$5:$E$49,0,$O$6)=$B23)*Données!$I$5:$I$49))</f>
        <v/>
      </c>
      <c r="K23" s="35">
        <f>IF(OR($C23="",$C23=0),"",SUMPRODUCT(Données!$T$5:$T$49*(INDEX(Données!$A$5:$E$49,0,$O$6)=$B23)*Données!$H$5:$H$49))</f>
        <v/>
      </c>
      <c r="L23" s="38">
        <f>IF(OR($C23="",$C23=0),"",J23/K23)</f>
        <v/>
      </c>
      <c r="M23" s="39">
        <f>IF(OR($C23="",$C23=0),"",IF(E23&lt;0,"DÉFICITAIRE",IF(I23&lt;0,"PIÈGE",IF(L23&lt;0.75,"SOUS-REMPLI",""))))</f>
        <v/>
      </c>
      <c r="N23" s="12" t="n"/>
      <c r="O23" s="12" t="n"/>
    </row>
    <row r="24" ht="16" customHeight="1">
      <c r="A24" s="12" t="n"/>
      <c r="B24" s="34">
        <f>IF($O$6&gt;5,"",IFERROR(INDEX(Données!$W$5:$AA$16,9,$O$6),""))</f>
        <v/>
      </c>
      <c r="C24" s="35">
        <f>IF($B24="","",SUMPRODUCT(Données!$T$5:$T$49*(INDEX(Données!$A$5:$E$49,0,$O$6)=$B24)*Données!$K$5:$K$49))</f>
        <v/>
      </c>
      <c r="D24" s="36">
        <f>IF(OR($C24="",$C24=0),"",C24/SUMPRODUCT(Données!$T$5:$T$49*(INDEX(Données!$A$5:$E$49,0,$O$6)=$B24)*Données!$J$5:$J$49)-1)</f>
        <v/>
      </c>
      <c r="E24" s="35">
        <f>IF(OR($C24="",$C24=0),"",SUMPRODUCT(Données!$T$5:$T$49*(INDEX(Données!$A$5:$E$49,0,$O$6)=$B24)*Données!$P$5:$P$49))</f>
        <v/>
      </c>
      <c r="F24" s="37">
        <f>IF(OR($C24="",$C24=0),"",E24/C24)</f>
        <v/>
      </c>
      <c r="G24" s="35">
        <f>IF(OR($C24="",$C24=0),"",SUMPRODUCT(Données!$T$5:$T$49*(INDEX(Données!$A$5:$E$49,0,$O$6)=$B24)*Données!$Q$5:$Q$49))</f>
        <v/>
      </c>
      <c r="H24" s="35">
        <f>IF(OR($C24="",$C24=0),"",SUMPRODUCT(Données!$T$5:$T$49*(INDEX(Données!$A$5:$E$49,0,$O$6)=$B24)*Données!$R$5:$R$49))</f>
        <v/>
      </c>
      <c r="I24" s="35">
        <f>IF(OR($C24="",$C24=0),"",SUMPRODUCT(Données!$T$5:$T$49*(INDEX(Données!$A$5:$E$49,0,$O$6)=$B24)*Données!$S$5:$S$49))</f>
        <v/>
      </c>
      <c r="J24" s="35">
        <f>IF(OR($C24="",$C24=0),"",SUMPRODUCT(Données!$T$5:$T$49*(INDEX(Données!$A$5:$E$49,0,$O$6)=$B24)*Données!$I$5:$I$49))</f>
        <v/>
      </c>
      <c r="K24" s="35">
        <f>IF(OR($C24="",$C24=0),"",SUMPRODUCT(Données!$T$5:$T$49*(INDEX(Données!$A$5:$E$49,0,$O$6)=$B24)*Données!$H$5:$H$49))</f>
        <v/>
      </c>
      <c r="L24" s="38">
        <f>IF(OR($C24="",$C24=0),"",J24/K24)</f>
        <v/>
      </c>
      <c r="M24" s="39">
        <f>IF(OR($C24="",$C24=0),"",IF(E24&lt;0,"DÉFICITAIRE",IF(I24&lt;0,"PIÈGE",IF(L24&lt;0.75,"SOUS-REMPLI",""))))</f>
        <v/>
      </c>
      <c r="N24" s="12" t="n"/>
      <c r="O24" s="12" t="n"/>
    </row>
    <row r="25" ht="16" customHeight="1">
      <c r="A25" s="12" t="n"/>
      <c r="B25" s="34">
        <f>IF($O$6&gt;5,"",IFERROR(INDEX(Données!$W$5:$AA$16,10,$O$6),""))</f>
        <v/>
      </c>
      <c r="C25" s="35">
        <f>IF($B25="","",SUMPRODUCT(Données!$T$5:$T$49*(INDEX(Données!$A$5:$E$49,0,$O$6)=$B25)*Données!$K$5:$K$49))</f>
        <v/>
      </c>
      <c r="D25" s="36">
        <f>IF(OR($C25="",$C25=0),"",C25/SUMPRODUCT(Données!$T$5:$T$49*(INDEX(Données!$A$5:$E$49,0,$O$6)=$B25)*Données!$J$5:$J$49)-1)</f>
        <v/>
      </c>
      <c r="E25" s="35">
        <f>IF(OR($C25="",$C25=0),"",SUMPRODUCT(Données!$T$5:$T$49*(INDEX(Données!$A$5:$E$49,0,$O$6)=$B25)*Données!$P$5:$P$49))</f>
        <v/>
      </c>
      <c r="F25" s="37">
        <f>IF(OR($C25="",$C25=0),"",E25/C25)</f>
        <v/>
      </c>
      <c r="G25" s="35">
        <f>IF(OR($C25="",$C25=0),"",SUMPRODUCT(Données!$T$5:$T$49*(INDEX(Données!$A$5:$E$49,0,$O$6)=$B25)*Données!$Q$5:$Q$49))</f>
        <v/>
      </c>
      <c r="H25" s="35">
        <f>IF(OR($C25="",$C25=0),"",SUMPRODUCT(Données!$T$5:$T$49*(INDEX(Données!$A$5:$E$49,0,$O$6)=$B25)*Données!$R$5:$R$49))</f>
        <v/>
      </c>
      <c r="I25" s="35">
        <f>IF(OR($C25="",$C25=0),"",SUMPRODUCT(Données!$T$5:$T$49*(INDEX(Données!$A$5:$E$49,0,$O$6)=$B25)*Données!$S$5:$S$49))</f>
        <v/>
      </c>
      <c r="J25" s="35">
        <f>IF(OR($C25="",$C25=0),"",SUMPRODUCT(Données!$T$5:$T$49*(INDEX(Données!$A$5:$E$49,0,$O$6)=$B25)*Données!$I$5:$I$49))</f>
        <v/>
      </c>
      <c r="K25" s="35">
        <f>IF(OR($C25="",$C25=0),"",SUMPRODUCT(Données!$T$5:$T$49*(INDEX(Données!$A$5:$E$49,0,$O$6)=$B25)*Données!$H$5:$H$49))</f>
        <v/>
      </c>
      <c r="L25" s="38">
        <f>IF(OR($C25="",$C25=0),"",J25/K25)</f>
        <v/>
      </c>
      <c r="M25" s="39">
        <f>IF(OR($C25="",$C25=0),"",IF(E25&lt;0,"DÉFICITAIRE",IF(I25&lt;0,"PIÈGE",IF(L25&lt;0.75,"SOUS-REMPLI",""))))</f>
        <v/>
      </c>
      <c r="N25" s="12" t="n"/>
      <c r="O25" s="12" t="n"/>
    </row>
    <row r="26" ht="16" customHeight="1">
      <c r="A26" s="12" t="n"/>
      <c r="B26" s="34">
        <f>IF($O$6&gt;5,"",IFERROR(INDEX(Données!$W$5:$AA$16,11,$O$6),""))</f>
        <v/>
      </c>
      <c r="C26" s="35">
        <f>IF($B26="","",SUMPRODUCT(Données!$T$5:$T$49*(INDEX(Données!$A$5:$E$49,0,$O$6)=$B26)*Données!$K$5:$K$49))</f>
        <v/>
      </c>
      <c r="D26" s="36">
        <f>IF(OR($C26="",$C26=0),"",C26/SUMPRODUCT(Données!$T$5:$T$49*(INDEX(Données!$A$5:$E$49,0,$O$6)=$B26)*Données!$J$5:$J$49)-1)</f>
        <v/>
      </c>
      <c r="E26" s="35">
        <f>IF(OR($C26="",$C26=0),"",SUMPRODUCT(Données!$T$5:$T$49*(INDEX(Données!$A$5:$E$49,0,$O$6)=$B26)*Données!$P$5:$P$49))</f>
        <v/>
      </c>
      <c r="F26" s="37">
        <f>IF(OR($C26="",$C26=0),"",E26/C26)</f>
        <v/>
      </c>
      <c r="G26" s="35">
        <f>IF(OR($C26="",$C26=0),"",SUMPRODUCT(Données!$T$5:$T$49*(INDEX(Données!$A$5:$E$49,0,$O$6)=$B26)*Données!$Q$5:$Q$49))</f>
        <v/>
      </c>
      <c r="H26" s="35">
        <f>IF(OR($C26="",$C26=0),"",SUMPRODUCT(Données!$T$5:$T$49*(INDEX(Données!$A$5:$E$49,0,$O$6)=$B26)*Données!$R$5:$R$49))</f>
        <v/>
      </c>
      <c r="I26" s="35">
        <f>IF(OR($C26="",$C26=0),"",SUMPRODUCT(Données!$T$5:$T$49*(INDEX(Données!$A$5:$E$49,0,$O$6)=$B26)*Données!$S$5:$S$49))</f>
        <v/>
      </c>
      <c r="J26" s="35">
        <f>IF(OR($C26="",$C26=0),"",SUMPRODUCT(Données!$T$5:$T$49*(INDEX(Données!$A$5:$E$49,0,$O$6)=$B26)*Données!$I$5:$I$49))</f>
        <v/>
      </c>
      <c r="K26" s="35">
        <f>IF(OR($C26="",$C26=0),"",SUMPRODUCT(Données!$T$5:$T$49*(INDEX(Données!$A$5:$E$49,0,$O$6)=$B26)*Données!$H$5:$H$49))</f>
        <v/>
      </c>
      <c r="L26" s="38">
        <f>IF(OR($C26="",$C26=0),"",J26/K26)</f>
        <v/>
      </c>
      <c r="M26" s="39">
        <f>IF(OR($C26="",$C26=0),"",IF(E26&lt;0,"DÉFICITAIRE",IF(I26&lt;0,"PIÈGE",IF(L26&lt;0.75,"SOUS-REMPLI",""))))</f>
        <v/>
      </c>
      <c r="N26" s="12" t="n"/>
      <c r="O26" s="12" t="n"/>
    </row>
    <row r="27" ht="16" customHeight="1">
      <c r="A27" s="12" t="n"/>
      <c r="B27" s="34">
        <f>IF($O$6&gt;5,"",IFERROR(INDEX(Données!$W$5:$AA$16,12,$O$6),""))</f>
        <v/>
      </c>
      <c r="C27" s="35">
        <f>IF($B27="","",SUMPRODUCT(Données!$T$5:$T$49*(INDEX(Données!$A$5:$E$49,0,$O$6)=$B27)*Données!$K$5:$K$49))</f>
        <v/>
      </c>
      <c r="D27" s="36">
        <f>IF(OR($C27="",$C27=0),"",C27/SUMPRODUCT(Données!$T$5:$T$49*(INDEX(Données!$A$5:$E$49,0,$O$6)=$B27)*Données!$J$5:$J$49)-1)</f>
        <v/>
      </c>
      <c r="E27" s="35">
        <f>IF(OR($C27="",$C27=0),"",SUMPRODUCT(Données!$T$5:$T$49*(INDEX(Données!$A$5:$E$49,0,$O$6)=$B27)*Données!$P$5:$P$49))</f>
        <v/>
      </c>
      <c r="F27" s="37">
        <f>IF(OR($C27="",$C27=0),"",E27/C27)</f>
        <v/>
      </c>
      <c r="G27" s="35">
        <f>IF(OR($C27="",$C27=0),"",SUMPRODUCT(Données!$T$5:$T$49*(INDEX(Données!$A$5:$E$49,0,$O$6)=$B27)*Données!$Q$5:$Q$49))</f>
        <v/>
      </c>
      <c r="H27" s="35">
        <f>IF(OR($C27="",$C27=0),"",SUMPRODUCT(Données!$T$5:$T$49*(INDEX(Données!$A$5:$E$49,0,$O$6)=$B27)*Données!$R$5:$R$49))</f>
        <v/>
      </c>
      <c r="I27" s="35">
        <f>IF(OR($C27="",$C27=0),"",SUMPRODUCT(Données!$T$5:$T$49*(INDEX(Données!$A$5:$E$49,0,$O$6)=$B27)*Données!$S$5:$S$49))</f>
        <v/>
      </c>
      <c r="J27" s="35">
        <f>IF(OR($C27="",$C27=0),"",SUMPRODUCT(Données!$T$5:$T$49*(INDEX(Données!$A$5:$E$49,0,$O$6)=$B27)*Données!$I$5:$I$49))</f>
        <v/>
      </c>
      <c r="K27" s="35">
        <f>IF(OR($C27="",$C27=0),"",SUMPRODUCT(Données!$T$5:$T$49*(INDEX(Données!$A$5:$E$49,0,$O$6)=$B27)*Données!$H$5:$H$49))</f>
        <v/>
      </c>
      <c r="L27" s="38">
        <f>IF(OR($C27="",$C27=0),"",J27/K27)</f>
        <v/>
      </c>
      <c r="M27" s="39">
        <f>IF(OR($C27="",$C27=0),"",IF(E27&lt;0,"DÉFICITAIRE",IF(I27&lt;0,"PIÈGE",IF(L27&lt;0.75,"SOUS-REMPLI",""))))</f>
        <v/>
      </c>
      <c r="N27" s="12" t="n"/>
      <c r="O27" s="12" t="n"/>
    </row>
    <row r="28" ht="16" customHeight="1">
      <c r="A28" s="12" t="n"/>
      <c r="B28" s="40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8" t="n"/>
      <c r="N28" s="12" t="n"/>
      <c r="O28" s="12" t="n"/>
    </row>
    <row r="29" ht="1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 ht="20" customHeight="1">
      <c r="A30" s="12" t="n"/>
      <c r="B30" s="19" t="inlineStr">
        <is>
          <t xml:space="preserve">  ④ DÉTAIL AU GRAIN CLASSE — le fond du drill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21" t="n"/>
      <c r="N30" s="12" t="n"/>
      <c r="O30" s="12" t="n"/>
    </row>
    <row r="31" ht="18" customHeight="1">
      <c r="A31" s="12" t="n"/>
      <c r="B31" s="26" t="inlineStr">
        <is>
          <t>Campus · Programme · Année · Modalité</t>
        </is>
      </c>
      <c r="C31" s="27" t="inlineStr">
        <is>
          <t>CA 2026</t>
        </is>
      </c>
      <c r="D31" s="27" t="inlineStr">
        <is>
          <t>Δ CA</t>
        </is>
      </c>
      <c r="E31" s="27" t="inlineStr">
        <is>
          <t>EBITDA</t>
        </is>
      </c>
      <c r="F31" s="27" t="inlineStr">
        <is>
          <t>Marge EBITDA</t>
        </is>
      </c>
      <c r="G31" s="27" t="inlineStr">
        <is>
          <t>Contribution</t>
        </is>
      </c>
      <c r="H31" s="27" t="inlineStr">
        <is>
          <t>Coût complet</t>
        </is>
      </c>
      <c r="I31" s="27" t="inlineStr">
        <is>
          <t>Marge complète</t>
        </is>
      </c>
      <c r="J31" s="27" t="inlineStr">
        <is>
          <t>Effectifs</t>
        </is>
      </c>
      <c r="K31" s="27" t="inlineStr">
        <is>
          <t>Places</t>
        </is>
      </c>
      <c r="L31" s="27" t="inlineStr">
        <is>
          <t>Remplissage</t>
        </is>
      </c>
      <c r="M31" s="27" t="inlineStr">
        <is>
          <t>Statut</t>
        </is>
      </c>
      <c r="N31" s="12" t="n"/>
      <c r="O31" s="12" t="n"/>
    </row>
    <row r="32" ht="16" customHeight="1">
      <c r="A32" s="12" t="n"/>
      <c r="B32" s="41">
        <f>IF($N32="","",INDEX(Données!$B$5:$B$49,$N32)&amp;" · "&amp;INDEX(Données!$C$5:$C$49,$N32)&amp;" · "&amp;INDEX(Données!$D$5:$D$49,$N32)&amp;" · "&amp;INDEX(Données!$E$5:$E$49,$N32))</f>
        <v/>
      </c>
      <c r="C32" s="42">
        <f>IF($N32="","",INDEX(Données!$K$5:$K$49,$N32))</f>
        <v/>
      </c>
      <c r="D32" s="43">
        <f>IF($N32="","",C32/INDEX(Données!$J$5:$J$49,$N32)-1)</f>
        <v/>
      </c>
      <c r="E32" s="42">
        <f>IF($N32="","",INDEX(Données!$P$5:$P$49,$N32))</f>
        <v/>
      </c>
      <c r="F32" s="44">
        <f>IF($N32="","",E32/C32)</f>
        <v/>
      </c>
      <c r="G32" s="42">
        <f>IF($N32="","",INDEX(Données!$Q$5:$Q$49,$N32))</f>
        <v/>
      </c>
      <c r="H32" s="42">
        <f>IF($N32="","",INDEX(Données!$R$5:$R$49,$N32))</f>
        <v/>
      </c>
      <c r="I32" s="42">
        <f>IF($N32="","",INDEX(Données!$S$5:$S$49,$N32))</f>
        <v/>
      </c>
      <c r="J32" s="42">
        <f>IF($N32="","",INDEX(Données!$I$5:$I$49,$N32))</f>
        <v/>
      </c>
      <c r="K32" s="42">
        <f>IF($N32="","",INDEX(Données!$H$5:$H$49,$N32))</f>
        <v/>
      </c>
      <c r="L32" s="45">
        <f>IF($N32="","",J32/K32)</f>
        <v/>
      </c>
      <c r="M32" s="46">
        <f>IF($N32="","",IF(E32&lt;0,"DÉFICITAIRE",IF(I32&lt;0,"PIÈGE",IF(L32&lt;0.75,"SOUS-REMPLI",""))))</f>
        <v/>
      </c>
      <c r="N32" s="47">
        <f>IFERROR(MATCH(1,Données!$U$5:$U$49,0),"")</f>
        <v/>
      </c>
      <c r="O32" s="12" t="n"/>
    </row>
    <row r="33" ht="16" customHeight="1">
      <c r="A33" s="12" t="n"/>
      <c r="B33" s="41">
        <f>IF($N33="","",INDEX(Données!$B$5:$B$49,$N33)&amp;" · "&amp;INDEX(Données!$C$5:$C$49,$N33)&amp;" · "&amp;INDEX(Données!$D$5:$D$49,$N33)&amp;" · "&amp;INDEX(Données!$E$5:$E$49,$N33))</f>
        <v/>
      </c>
      <c r="C33" s="42">
        <f>IF($N33="","",INDEX(Données!$K$5:$K$49,$N33))</f>
        <v/>
      </c>
      <c r="D33" s="43">
        <f>IF($N33="","",C33/INDEX(Données!$J$5:$J$49,$N33)-1)</f>
        <v/>
      </c>
      <c r="E33" s="42">
        <f>IF($N33="","",INDEX(Données!$P$5:$P$49,$N33))</f>
        <v/>
      </c>
      <c r="F33" s="44">
        <f>IF($N33="","",E33/C33)</f>
        <v/>
      </c>
      <c r="G33" s="42">
        <f>IF($N33="","",INDEX(Données!$Q$5:$Q$49,$N33))</f>
        <v/>
      </c>
      <c r="H33" s="42">
        <f>IF($N33="","",INDEX(Données!$R$5:$R$49,$N33))</f>
        <v/>
      </c>
      <c r="I33" s="42">
        <f>IF($N33="","",INDEX(Données!$S$5:$S$49,$N33))</f>
        <v/>
      </c>
      <c r="J33" s="42">
        <f>IF($N33="","",INDEX(Données!$I$5:$I$49,$N33))</f>
        <v/>
      </c>
      <c r="K33" s="42">
        <f>IF($N33="","",INDEX(Données!$H$5:$H$49,$N33))</f>
        <v/>
      </c>
      <c r="L33" s="45">
        <f>IF($N33="","",J33/K33)</f>
        <v/>
      </c>
      <c r="M33" s="46">
        <f>IF($N33="","",IF(E33&lt;0,"DÉFICITAIRE",IF(I33&lt;0,"PIÈGE",IF(L33&lt;0.75,"SOUS-REMPLI",""))))</f>
        <v/>
      </c>
      <c r="N33" s="47">
        <f>IFERROR(MATCH(2,Données!$U$5:$U$49,0),"")</f>
        <v/>
      </c>
      <c r="O33" s="12" t="n"/>
    </row>
    <row r="34" ht="16" customHeight="1">
      <c r="A34" s="12" t="n"/>
      <c r="B34" s="41">
        <f>IF($N34="","",INDEX(Données!$B$5:$B$49,$N34)&amp;" · "&amp;INDEX(Données!$C$5:$C$49,$N34)&amp;" · "&amp;INDEX(Données!$D$5:$D$49,$N34)&amp;" · "&amp;INDEX(Données!$E$5:$E$49,$N34))</f>
        <v/>
      </c>
      <c r="C34" s="42">
        <f>IF($N34="","",INDEX(Données!$K$5:$K$49,$N34))</f>
        <v/>
      </c>
      <c r="D34" s="43">
        <f>IF($N34="","",C34/INDEX(Données!$J$5:$J$49,$N34)-1)</f>
        <v/>
      </c>
      <c r="E34" s="42">
        <f>IF($N34="","",INDEX(Données!$P$5:$P$49,$N34))</f>
        <v/>
      </c>
      <c r="F34" s="44">
        <f>IF($N34="","",E34/C34)</f>
        <v/>
      </c>
      <c r="G34" s="42">
        <f>IF($N34="","",INDEX(Données!$Q$5:$Q$49,$N34))</f>
        <v/>
      </c>
      <c r="H34" s="42">
        <f>IF($N34="","",INDEX(Données!$R$5:$R$49,$N34))</f>
        <v/>
      </c>
      <c r="I34" s="42">
        <f>IF($N34="","",INDEX(Données!$S$5:$S$49,$N34))</f>
        <v/>
      </c>
      <c r="J34" s="42">
        <f>IF($N34="","",INDEX(Données!$I$5:$I$49,$N34))</f>
        <v/>
      </c>
      <c r="K34" s="42">
        <f>IF($N34="","",INDEX(Données!$H$5:$H$49,$N34))</f>
        <v/>
      </c>
      <c r="L34" s="45">
        <f>IF($N34="","",J34/K34)</f>
        <v/>
      </c>
      <c r="M34" s="46">
        <f>IF($N34="","",IF(E34&lt;0,"DÉFICITAIRE",IF(I34&lt;0,"PIÈGE",IF(L34&lt;0.75,"SOUS-REMPLI",""))))</f>
        <v/>
      </c>
      <c r="N34" s="47">
        <f>IFERROR(MATCH(3,Données!$U$5:$U$49,0),"")</f>
        <v/>
      </c>
      <c r="O34" s="12" t="n"/>
    </row>
    <row r="35" ht="16" customHeight="1">
      <c r="A35" s="12" t="n"/>
      <c r="B35" s="41">
        <f>IF($N35="","",INDEX(Données!$B$5:$B$49,$N35)&amp;" · "&amp;INDEX(Données!$C$5:$C$49,$N35)&amp;" · "&amp;INDEX(Données!$D$5:$D$49,$N35)&amp;" · "&amp;INDEX(Données!$E$5:$E$49,$N35))</f>
        <v/>
      </c>
      <c r="C35" s="42">
        <f>IF($N35="","",INDEX(Données!$K$5:$K$49,$N35))</f>
        <v/>
      </c>
      <c r="D35" s="43">
        <f>IF($N35="","",C35/INDEX(Données!$J$5:$J$49,$N35)-1)</f>
        <v/>
      </c>
      <c r="E35" s="42">
        <f>IF($N35="","",INDEX(Données!$P$5:$P$49,$N35))</f>
        <v/>
      </c>
      <c r="F35" s="44">
        <f>IF($N35="","",E35/C35)</f>
        <v/>
      </c>
      <c r="G35" s="42">
        <f>IF($N35="","",INDEX(Données!$Q$5:$Q$49,$N35))</f>
        <v/>
      </c>
      <c r="H35" s="42">
        <f>IF($N35="","",INDEX(Données!$R$5:$R$49,$N35))</f>
        <v/>
      </c>
      <c r="I35" s="42">
        <f>IF($N35="","",INDEX(Données!$S$5:$S$49,$N35))</f>
        <v/>
      </c>
      <c r="J35" s="42">
        <f>IF($N35="","",INDEX(Données!$I$5:$I$49,$N35))</f>
        <v/>
      </c>
      <c r="K35" s="42">
        <f>IF($N35="","",INDEX(Données!$H$5:$H$49,$N35))</f>
        <v/>
      </c>
      <c r="L35" s="45">
        <f>IF($N35="","",J35/K35)</f>
        <v/>
      </c>
      <c r="M35" s="46">
        <f>IF($N35="","",IF(E35&lt;0,"DÉFICITAIRE",IF(I35&lt;0,"PIÈGE",IF(L35&lt;0.75,"SOUS-REMPLI",""))))</f>
        <v/>
      </c>
      <c r="N35" s="47">
        <f>IFERROR(MATCH(4,Données!$U$5:$U$49,0),"")</f>
        <v/>
      </c>
      <c r="O35" s="12" t="n"/>
    </row>
    <row r="36" ht="16" customHeight="1">
      <c r="A36" s="12" t="n"/>
      <c r="B36" s="41">
        <f>IF($N36="","",INDEX(Données!$B$5:$B$49,$N36)&amp;" · "&amp;INDEX(Données!$C$5:$C$49,$N36)&amp;" · "&amp;INDEX(Données!$D$5:$D$49,$N36)&amp;" · "&amp;INDEX(Données!$E$5:$E$49,$N36))</f>
        <v/>
      </c>
      <c r="C36" s="42">
        <f>IF($N36="","",INDEX(Données!$K$5:$K$49,$N36))</f>
        <v/>
      </c>
      <c r="D36" s="43">
        <f>IF($N36="","",C36/INDEX(Données!$J$5:$J$49,$N36)-1)</f>
        <v/>
      </c>
      <c r="E36" s="42">
        <f>IF($N36="","",INDEX(Données!$P$5:$P$49,$N36))</f>
        <v/>
      </c>
      <c r="F36" s="44">
        <f>IF($N36="","",E36/C36)</f>
        <v/>
      </c>
      <c r="G36" s="42">
        <f>IF($N36="","",INDEX(Données!$Q$5:$Q$49,$N36))</f>
        <v/>
      </c>
      <c r="H36" s="42">
        <f>IF($N36="","",INDEX(Données!$R$5:$R$49,$N36))</f>
        <v/>
      </c>
      <c r="I36" s="42">
        <f>IF($N36="","",INDEX(Données!$S$5:$S$49,$N36))</f>
        <v/>
      </c>
      <c r="J36" s="42">
        <f>IF($N36="","",INDEX(Données!$I$5:$I$49,$N36))</f>
        <v/>
      </c>
      <c r="K36" s="42">
        <f>IF($N36="","",INDEX(Données!$H$5:$H$49,$N36))</f>
        <v/>
      </c>
      <c r="L36" s="45">
        <f>IF($N36="","",J36/K36)</f>
        <v/>
      </c>
      <c r="M36" s="46">
        <f>IF($N36="","",IF(E36&lt;0,"DÉFICITAIRE",IF(I36&lt;0,"PIÈGE",IF(L36&lt;0.75,"SOUS-REMPLI",""))))</f>
        <v/>
      </c>
      <c r="N36" s="47">
        <f>IFERROR(MATCH(5,Données!$U$5:$U$49,0),"")</f>
        <v/>
      </c>
      <c r="O36" s="12" t="n"/>
    </row>
    <row r="37" ht="16" customHeight="1">
      <c r="A37" s="12" t="n"/>
      <c r="B37" s="41">
        <f>IF($N37="","",INDEX(Données!$B$5:$B$49,$N37)&amp;" · "&amp;INDEX(Données!$C$5:$C$49,$N37)&amp;" · "&amp;INDEX(Données!$D$5:$D$49,$N37)&amp;" · "&amp;INDEX(Données!$E$5:$E$49,$N37))</f>
        <v/>
      </c>
      <c r="C37" s="42">
        <f>IF($N37="","",INDEX(Données!$K$5:$K$49,$N37))</f>
        <v/>
      </c>
      <c r="D37" s="43">
        <f>IF($N37="","",C37/INDEX(Données!$J$5:$J$49,$N37)-1)</f>
        <v/>
      </c>
      <c r="E37" s="42">
        <f>IF($N37="","",INDEX(Données!$P$5:$P$49,$N37))</f>
        <v/>
      </c>
      <c r="F37" s="44">
        <f>IF($N37="","",E37/C37)</f>
        <v/>
      </c>
      <c r="G37" s="42">
        <f>IF($N37="","",INDEX(Données!$Q$5:$Q$49,$N37))</f>
        <v/>
      </c>
      <c r="H37" s="42">
        <f>IF($N37="","",INDEX(Données!$R$5:$R$49,$N37))</f>
        <v/>
      </c>
      <c r="I37" s="42">
        <f>IF($N37="","",INDEX(Données!$S$5:$S$49,$N37))</f>
        <v/>
      </c>
      <c r="J37" s="42">
        <f>IF($N37="","",INDEX(Données!$I$5:$I$49,$N37))</f>
        <v/>
      </c>
      <c r="K37" s="42">
        <f>IF($N37="","",INDEX(Données!$H$5:$H$49,$N37))</f>
        <v/>
      </c>
      <c r="L37" s="45">
        <f>IF($N37="","",J37/K37)</f>
        <v/>
      </c>
      <c r="M37" s="46">
        <f>IF($N37="","",IF(E37&lt;0,"DÉFICITAIRE",IF(I37&lt;0,"PIÈGE",IF(L37&lt;0.75,"SOUS-REMPLI",""))))</f>
        <v/>
      </c>
      <c r="N37" s="47">
        <f>IFERROR(MATCH(6,Données!$U$5:$U$49,0),"")</f>
        <v/>
      </c>
      <c r="O37" s="12" t="n"/>
    </row>
    <row r="38" ht="16" customHeight="1">
      <c r="A38" s="12" t="n"/>
      <c r="B38" s="41">
        <f>IF($N38="","",INDEX(Données!$B$5:$B$49,$N38)&amp;" · "&amp;INDEX(Données!$C$5:$C$49,$N38)&amp;" · "&amp;INDEX(Données!$D$5:$D$49,$N38)&amp;" · "&amp;INDEX(Données!$E$5:$E$49,$N38))</f>
        <v/>
      </c>
      <c r="C38" s="42">
        <f>IF($N38="","",INDEX(Données!$K$5:$K$49,$N38))</f>
        <v/>
      </c>
      <c r="D38" s="43">
        <f>IF($N38="","",C38/INDEX(Données!$J$5:$J$49,$N38)-1)</f>
        <v/>
      </c>
      <c r="E38" s="42">
        <f>IF($N38="","",INDEX(Données!$P$5:$P$49,$N38))</f>
        <v/>
      </c>
      <c r="F38" s="44">
        <f>IF($N38="","",E38/C38)</f>
        <v/>
      </c>
      <c r="G38" s="42">
        <f>IF($N38="","",INDEX(Données!$Q$5:$Q$49,$N38))</f>
        <v/>
      </c>
      <c r="H38" s="42">
        <f>IF($N38="","",INDEX(Données!$R$5:$R$49,$N38))</f>
        <v/>
      </c>
      <c r="I38" s="42">
        <f>IF($N38="","",INDEX(Données!$S$5:$S$49,$N38))</f>
        <v/>
      </c>
      <c r="J38" s="42">
        <f>IF($N38="","",INDEX(Données!$I$5:$I$49,$N38))</f>
        <v/>
      </c>
      <c r="K38" s="42">
        <f>IF($N38="","",INDEX(Données!$H$5:$H$49,$N38))</f>
        <v/>
      </c>
      <c r="L38" s="45">
        <f>IF($N38="","",J38/K38)</f>
        <v/>
      </c>
      <c r="M38" s="46">
        <f>IF($N38="","",IF(E38&lt;0,"DÉFICITAIRE",IF(I38&lt;0,"PIÈGE",IF(L38&lt;0.75,"SOUS-REMPLI",""))))</f>
        <v/>
      </c>
      <c r="N38" s="47">
        <f>IFERROR(MATCH(7,Données!$U$5:$U$49,0),"")</f>
        <v/>
      </c>
      <c r="O38" s="12" t="n"/>
    </row>
    <row r="39" ht="16" customHeight="1">
      <c r="A39" s="12" t="n"/>
      <c r="B39" s="41">
        <f>IF($N39="","",INDEX(Données!$B$5:$B$49,$N39)&amp;" · "&amp;INDEX(Données!$C$5:$C$49,$N39)&amp;" · "&amp;INDEX(Données!$D$5:$D$49,$N39)&amp;" · "&amp;INDEX(Données!$E$5:$E$49,$N39))</f>
        <v/>
      </c>
      <c r="C39" s="42">
        <f>IF($N39="","",INDEX(Données!$K$5:$K$49,$N39))</f>
        <v/>
      </c>
      <c r="D39" s="43">
        <f>IF($N39="","",C39/INDEX(Données!$J$5:$J$49,$N39)-1)</f>
        <v/>
      </c>
      <c r="E39" s="42">
        <f>IF($N39="","",INDEX(Données!$P$5:$P$49,$N39))</f>
        <v/>
      </c>
      <c r="F39" s="44">
        <f>IF($N39="","",E39/C39)</f>
        <v/>
      </c>
      <c r="G39" s="42">
        <f>IF($N39="","",INDEX(Données!$Q$5:$Q$49,$N39))</f>
        <v/>
      </c>
      <c r="H39" s="42">
        <f>IF($N39="","",INDEX(Données!$R$5:$R$49,$N39))</f>
        <v/>
      </c>
      <c r="I39" s="42">
        <f>IF($N39="","",INDEX(Données!$S$5:$S$49,$N39))</f>
        <v/>
      </c>
      <c r="J39" s="42">
        <f>IF($N39="","",INDEX(Données!$I$5:$I$49,$N39))</f>
        <v/>
      </c>
      <c r="K39" s="42">
        <f>IF($N39="","",INDEX(Données!$H$5:$H$49,$N39))</f>
        <v/>
      </c>
      <c r="L39" s="45">
        <f>IF($N39="","",J39/K39)</f>
        <v/>
      </c>
      <c r="M39" s="46">
        <f>IF($N39="","",IF(E39&lt;0,"DÉFICITAIRE",IF(I39&lt;0,"PIÈGE",IF(L39&lt;0.75,"SOUS-REMPLI",""))))</f>
        <v/>
      </c>
      <c r="N39" s="47">
        <f>IFERROR(MATCH(8,Données!$U$5:$U$49,0),"")</f>
        <v/>
      </c>
      <c r="O39" s="12" t="n"/>
    </row>
    <row r="40" ht="16" customHeight="1">
      <c r="A40" s="12" t="n"/>
      <c r="B40" s="41">
        <f>IF($N40="","",INDEX(Données!$B$5:$B$49,$N40)&amp;" · "&amp;INDEX(Données!$C$5:$C$49,$N40)&amp;" · "&amp;INDEX(Données!$D$5:$D$49,$N40)&amp;" · "&amp;INDEX(Données!$E$5:$E$49,$N40))</f>
        <v/>
      </c>
      <c r="C40" s="42">
        <f>IF($N40="","",INDEX(Données!$K$5:$K$49,$N40))</f>
        <v/>
      </c>
      <c r="D40" s="43">
        <f>IF($N40="","",C40/INDEX(Données!$J$5:$J$49,$N40)-1)</f>
        <v/>
      </c>
      <c r="E40" s="42">
        <f>IF($N40="","",INDEX(Données!$P$5:$P$49,$N40))</f>
        <v/>
      </c>
      <c r="F40" s="44">
        <f>IF($N40="","",E40/C40)</f>
        <v/>
      </c>
      <c r="G40" s="42">
        <f>IF($N40="","",INDEX(Données!$Q$5:$Q$49,$N40))</f>
        <v/>
      </c>
      <c r="H40" s="42">
        <f>IF($N40="","",INDEX(Données!$R$5:$R$49,$N40))</f>
        <v/>
      </c>
      <c r="I40" s="42">
        <f>IF($N40="","",INDEX(Données!$S$5:$S$49,$N40))</f>
        <v/>
      </c>
      <c r="J40" s="42">
        <f>IF($N40="","",INDEX(Données!$I$5:$I$49,$N40))</f>
        <v/>
      </c>
      <c r="K40" s="42">
        <f>IF($N40="","",INDEX(Données!$H$5:$H$49,$N40))</f>
        <v/>
      </c>
      <c r="L40" s="45">
        <f>IF($N40="","",J40/K40)</f>
        <v/>
      </c>
      <c r="M40" s="46">
        <f>IF($N40="","",IF(E40&lt;0,"DÉFICITAIRE",IF(I40&lt;0,"PIÈGE",IF(L40&lt;0.75,"SOUS-REMPLI",""))))</f>
        <v/>
      </c>
      <c r="N40" s="47">
        <f>IFERROR(MATCH(9,Données!$U$5:$U$49,0),"")</f>
        <v/>
      </c>
      <c r="O40" s="12" t="n"/>
    </row>
    <row r="41" ht="16" customHeight="1">
      <c r="A41" s="12" t="n"/>
      <c r="B41" s="41">
        <f>IF($N41="","",INDEX(Données!$B$5:$B$49,$N41)&amp;" · "&amp;INDEX(Données!$C$5:$C$49,$N41)&amp;" · "&amp;INDEX(Données!$D$5:$D$49,$N41)&amp;" · "&amp;INDEX(Données!$E$5:$E$49,$N41))</f>
        <v/>
      </c>
      <c r="C41" s="42">
        <f>IF($N41="","",INDEX(Données!$K$5:$K$49,$N41))</f>
        <v/>
      </c>
      <c r="D41" s="43">
        <f>IF($N41="","",C41/INDEX(Données!$J$5:$J$49,$N41)-1)</f>
        <v/>
      </c>
      <c r="E41" s="42">
        <f>IF($N41="","",INDEX(Données!$P$5:$P$49,$N41))</f>
        <v/>
      </c>
      <c r="F41" s="44">
        <f>IF($N41="","",E41/C41)</f>
        <v/>
      </c>
      <c r="G41" s="42">
        <f>IF($N41="","",INDEX(Données!$Q$5:$Q$49,$N41))</f>
        <v/>
      </c>
      <c r="H41" s="42">
        <f>IF($N41="","",INDEX(Données!$R$5:$R$49,$N41))</f>
        <v/>
      </c>
      <c r="I41" s="42">
        <f>IF($N41="","",INDEX(Données!$S$5:$S$49,$N41))</f>
        <v/>
      </c>
      <c r="J41" s="42">
        <f>IF($N41="","",INDEX(Données!$I$5:$I$49,$N41))</f>
        <v/>
      </c>
      <c r="K41" s="42">
        <f>IF($N41="","",INDEX(Données!$H$5:$H$49,$N41))</f>
        <v/>
      </c>
      <c r="L41" s="45">
        <f>IF($N41="","",J41/K41)</f>
        <v/>
      </c>
      <c r="M41" s="46">
        <f>IF($N41="","",IF(E41&lt;0,"DÉFICITAIRE",IF(I41&lt;0,"PIÈGE",IF(L41&lt;0.75,"SOUS-REMPLI",""))))</f>
        <v/>
      </c>
      <c r="N41" s="47">
        <f>IFERROR(MATCH(10,Données!$U$5:$U$49,0),"")</f>
        <v/>
      </c>
      <c r="O41" s="12" t="n"/>
    </row>
    <row r="42" ht="16" customHeight="1">
      <c r="A42" s="12" t="n"/>
      <c r="B42" s="41">
        <f>IF($N42="","",INDEX(Données!$B$5:$B$49,$N42)&amp;" · "&amp;INDEX(Données!$C$5:$C$49,$N42)&amp;" · "&amp;INDEX(Données!$D$5:$D$49,$N42)&amp;" · "&amp;INDEX(Données!$E$5:$E$49,$N42))</f>
        <v/>
      </c>
      <c r="C42" s="42">
        <f>IF($N42="","",INDEX(Données!$K$5:$K$49,$N42))</f>
        <v/>
      </c>
      <c r="D42" s="43">
        <f>IF($N42="","",C42/INDEX(Données!$J$5:$J$49,$N42)-1)</f>
        <v/>
      </c>
      <c r="E42" s="42">
        <f>IF($N42="","",INDEX(Données!$P$5:$P$49,$N42))</f>
        <v/>
      </c>
      <c r="F42" s="44">
        <f>IF($N42="","",E42/C42)</f>
        <v/>
      </c>
      <c r="G42" s="42">
        <f>IF($N42="","",INDEX(Données!$Q$5:$Q$49,$N42))</f>
        <v/>
      </c>
      <c r="H42" s="42">
        <f>IF($N42="","",INDEX(Données!$R$5:$R$49,$N42))</f>
        <v/>
      </c>
      <c r="I42" s="42">
        <f>IF($N42="","",INDEX(Données!$S$5:$S$49,$N42))</f>
        <v/>
      </c>
      <c r="J42" s="42">
        <f>IF($N42="","",INDEX(Données!$I$5:$I$49,$N42))</f>
        <v/>
      </c>
      <c r="K42" s="42">
        <f>IF($N42="","",INDEX(Données!$H$5:$H$49,$N42))</f>
        <v/>
      </c>
      <c r="L42" s="45">
        <f>IF($N42="","",J42/K42)</f>
        <v/>
      </c>
      <c r="M42" s="46">
        <f>IF($N42="","",IF(E42&lt;0,"DÉFICITAIRE",IF(I42&lt;0,"PIÈGE",IF(L42&lt;0.75,"SOUS-REMPLI",""))))</f>
        <v/>
      </c>
      <c r="N42" s="47">
        <f>IFERROR(MATCH(11,Données!$U$5:$U$49,0),"")</f>
        <v/>
      </c>
      <c r="O42" s="12" t="n"/>
    </row>
    <row r="43" ht="16" customHeight="1">
      <c r="A43" s="12" t="n"/>
      <c r="B43" s="41">
        <f>IF($N43="","",INDEX(Données!$B$5:$B$49,$N43)&amp;" · "&amp;INDEX(Données!$C$5:$C$49,$N43)&amp;" · "&amp;INDEX(Données!$D$5:$D$49,$N43)&amp;" · "&amp;INDEX(Données!$E$5:$E$49,$N43))</f>
        <v/>
      </c>
      <c r="C43" s="42">
        <f>IF($N43="","",INDEX(Données!$K$5:$K$49,$N43))</f>
        <v/>
      </c>
      <c r="D43" s="43">
        <f>IF($N43="","",C43/INDEX(Données!$J$5:$J$49,$N43)-1)</f>
        <v/>
      </c>
      <c r="E43" s="42">
        <f>IF($N43="","",INDEX(Données!$P$5:$P$49,$N43))</f>
        <v/>
      </c>
      <c r="F43" s="44">
        <f>IF($N43="","",E43/C43)</f>
        <v/>
      </c>
      <c r="G43" s="42">
        <f>IF($N43="","",INDEX(Données!$Q$5:$Q$49,$N43))</f>
        <v/>
      </c>
      <c r="H43" s="42">
        <f>IF($N43="","",INDEX(Données!$R$5:$R$49,$N43))</f>
        <v/>
      </c>
      <c r="I43" s="42">
        <f>IF($N43="","",INDEX(Données!$S$5:$S$49,$N43))</f>
        <v/>
      </c>
      <c r="J43" s="42">
        <f>IF($N43="","",INDEX(Données!$I$5:$I$49,$N43))</f>
        <v/>
      </c>
      <c r="K43" s="42">
        <f>IF($N43="","",INDEX(Données!$H$5:$H$49,$N43))</f>
        <v/>
      </c>
      <c r="L43" s="45">
        <f>IF($N43="","",J43/K43)</f>
        <v/>
      </c>
      <c r="M43" s="46">
        <f>IF($N43="","",IF(E43&lt;0,"DÉFICITAIRE",IF(I43&lt;0,"PIÈGE",IF(L43&lt;0.75,"SOUS-REMPLI",""))))</f>
        <v/>
      </c>
      <c r="N43" s="47">
        <f>IFERROR(MATCH(12,Données!$U$5:$U$49,0),"")</f>
        <v/>
      </c>
      <c r="O43" s="12" t="n"/>
    </row>
    <row r="44" ht="16" customHeight="1">
      <c r="A44" s="12" t="n"/>
      <c r="B44" s="41">
        <f>IF($N44="","",INDEX(Données!$B$5:$B$49,$N44)&amp;" · "&amp;INDEX(Données!$C$5:$C$49,$N44)&amp;" · "&amp;INDEX(Données!$D$5:$D$49,$N44)&amp;" · "&amp;INDEX(Données!$E$5:$E$49,$N44))</f>
        <v/>
      </c>
      <c r="C44" s="42">
        <f>IF($N44="","",INDEX(Données!$K$5:$K$49,$N44))</f>
        <v/>
      </c>
      <c r="D44" s="43">
        <f>IF($N44="","",C44/INDEX(Données!$J$5:$J$49,$N44)-1)</f>
        <v/>
      </c>
      <c r="E44" s="42">
        <f>IF($N44="","",INDEX(Données!$P$5:$P$49,$N44))</f>
        <v/>
      </c>
      <c r="F44" s="44">
        <f>IF($N44="","",E44/C44)</f>
        <v/>
      </c>
      <c r="G44" s="42">
        <f>IF($N44="","",INDEX(Données!$Q$5:$Q$49,$N44))</f>
        <v/>
      </c>
      <c r="H44" s="42">
        <f>IF($N44="","",INDEX(Données!$R$5:$R$49,$N44))</f>
        <v/>
      </c>
      <c r="I44" s="42">
        <f>IF($N44="","",INDEX(Données!$S$5:$S$49,$N44))</f>
        <v/>
      </c>
      <c r="J44" s="42">
        <f>IF($N44="","",INDEX(Données!$I$5:$I$49,$N44))</f>
        <v/>
      </c>
      <c r="K44" s="42">
        <f>IF($N44="","",INDEX(Données!$H$5:$H$49,$N44))</f>
        <v/>
      </c>
      <c r="L44" s="45">
        <f>IF($N44="","",J44/K44)</f>
        <v/>
      </c>
      <c r="M44" s="46">
        <f>IF($N44="","",IF(E44&lt;0,"DÉFICITAIRE",IF(I44&lt;0,"PIÈGE",IF(L44&lt;0.75,"SOUS-REMPLI",""))))</f>
        <v/>
      </c>
      <c r="N44" s="47">
        <f>IFERROR(MATCH(13,Données!$U$5:$U$49,0),"")</f>
        <v/>
      </c>
      <c r="O44" s="12" t="n"/>
    </row>
    <row r="45" ht="16" customHeight="1">
      <c r="A45" s="12" t="n"/>
      <c r="B45" s="41">
        <f>IF($N45="","",INDEX(Données!$B$5:$B$49,$N45)&amp;" · "&amp;INDEX(Données!$C$5:$C$49,$N45)&amp;" · "&amp;INDEX(Données!$D$5:$D$49,$N45)&amp;" · "&amp;INDEX(Données!$E$5:$E$49,$N45))</f>
        <v/>
      </c>
      <c r="C45" s="42">
        <f>IF($N45="","",INDEX(Données!$K$5:$K$49,$N45))</f>
        <v/>
      </c>
      <c r="D45" s="43">
        <f>IF($N45="","",C45/INDEX(Données!$J$5:$J$49,$N45)-1)</f>
        <v/>
      </c>
      <c r="E45" s="42">
        <f>IF($N45="","",INDEX(Données!$P$5:$P$49,$N45))</f>
        <v/>
      </c>
      <c r="F45" s="44">
        <f>IF($N45="","",E45/C45)</f>
        <v/>
      </c>
      <c r="G45" s="42">
        <f>IF($N45="","",INDEX(Données!$Q$5:$Q$49,$N45))</f>
        <v/>
      </c>
      <c r="H45" s="42">
        <f>IF($N45="","",INDEX(Données!$R$5:$R$49,$N45))</f>
        <v/>
      </c>
      <c r="I45" s="42">
        <f>IF($N45="","",INDEX(Données!$S$5:$S$49,$N45))</f>
        <v/>
      </c>
      <c r="J45" s="42">
        <f>IF($N45="","",INDEX(Données!$I$5:$I$49,$N45))</f>
        <v/>
      </c>
      <c r="K45" s="42">
        <f>IF($N45="","",INDEX(Données!$H$5:$H$49,$N45))</f>
        <v/>
      </c>
      <c r="L45" s="45">
        <f>IF($N45="","",J45/K45)</f>
        <v/>
      </c>
      <c r="M45" s="46">
        <f>IF($N45="","",IF(E45&lt;0,"DÉFICITAIRE",IF(I45&lt;0,"PIÈGE",IF(L45&lt;0.75,"SOUS-REMPLI",""))))</f>
        <v/>
      </c>
      <c r="N45" s="47">
        <f>IFERROR(MATCH(14,Données!$U$5:$U$49,0),"")</f>
        <v/>
      </c>
      <c r="O45" s="12" t="n"/>
    </row>
    <row r="46" ht="16" customHeight="1">
      <c r="A46" s="12" t="n"/>
      <c r="B46" s="41">
        <f>IF($N46="","",INDEX(Données!$B$5:$B$49,$N46)&amp;" · "&amp;INDEX(Données!$C$5:$C$49,$N46)&amp;" · "&amp;INDEX(Données!$D$5:$D$49,$N46)&amp;" · "&amp;INDEX(Données!$E$5:$E$49,$N46))</f>
        <v/>
      </c>
      <c r="C46" s="42">
        <f>IF($N46="","",INDEX(Données!$K$5:$K$49,$N46))</f>
        <v/>
      </c>
      <c r="D46" s="43">
        <f>IF($N46="","",C46/INDEX(Données!$J$5:$J$49,$N46)-1)</f>
        <v/>
      </c>
      <c r="E46" s="42">
        <f>IF($N46="","",INDEX(Données!$P$5:$P$49,$N46))</f>
        <v/>
      </c>
      <c r="F46" s="44">
        <f>IF($N46="","",E46/C46)</f>
        <v/>
      </c>
      <c r="G46" s="42">
        <f>IF($N46="","",INDEX(Données!$Q$5:$Q$49,$N46))</f>
        <v/>
      </c>
      <c r="H46" s="42">
        <f>IF($N46="","",INDEX(Données!$R$5:$R$49,$N46))</f>
        <v/>
      </c>
      <c r="I46" s="42">
        <f>IF($N46="","",INDEX(Données!$S$5:$S$49,$N46))</f>
        <v/>
      </c>
      <c r="J46" s="42">
        <f>IF($N46="","",INDEX(Données!$I$5:$I$49,$N46))</f>
        <v/>
      </c>
      <c r="K46" s="42">
        <f>IF($N46="","",INDEX(Données!$H$5:$H$49,$N46))</f>
        <v/>
      </c>
      <c r="L46" s="45">
        <f>IF($N46="","",J46/K46)</f>
        <v/>
      </c>
      <c r="M46" s="46">
        <f>IF($N46="","",IF(E46&lt;0,"DÉFICITAIRE",IF(I46&lt;0,"PIÈGE",IF(L46&lt;0.75,"SOUS-REMPLI",""))))</f>
        <v/>
      </c>
      <c r="N46" s="47">
        <f>IFERROR(MATCH(15,Données!$U$5:$U$49,0),"")</f>
        <v/>
      </c>
      <c r="O46" s="12" t="n"/>
    </row>
    <row r="47" ht="1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</row>
    <row r="48">
      <c r="A48" s="12" t="n"/>
      <c r="B48" s="48" t="inlineStr">
        <is>
          <t xml:space="preserve">  Comment lire.  La CONTRIBUTION (CA − coûts évitables : vacataires et achats directs) répond à « que perd-on si on ferme ? ».  La MARGE COMPLÈTE (après permanents, structure campus et siège) répond à « cette classe paie-t-elle sa part ? ».  Aux niveaux hauts elles disent la même chose. Au grain classe elles se contredisent : « PIÈGE » = contribution positive mais marge complète négative — la fermer coûterait plus cher que la garder, parce que les coûts qu'on lui a affectés, eux, ne disparaissent pas.  « DÉFICITAIRE » = son EBITDA lui-même est négatif : elle ne couvre pas ses coûts directs, et là seulement l’arbitrage de fermeture se pose vraiment.</t>
        </is>
      </c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50" t="n"/>
      <c r="N48" s="12" t="n"/>
      <c r="O48" s="12" t="n"/>
    </row>
    <row r="49">
      <c r="A49" s="12" t="n"/>
      <c r="B49" s="51" t="n"/>
      <c r="M49" s="52" t="n"/>
      <c r="N49" s="12" t="n"/>
      <c r="O49" s="12" t="n"/>
    </row>
    <row r="50">
      <c r="A50" s="12" t="n"/>
      <c r="B50" s="51" t="n"/>
      <c r="M50" s="52" t="n"/>
      <c r="N50" s="12" t="n"/>
      <c r="O50" s="12" t="n"/>
    </row>
    <row r="51">
      <c r="A51" s="12" t="n"/>
      <c r="B51" s="51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4" t="n"/>
      <c r="N51" s="12" t="n"/>
      <c r="O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</row>
    <row r="53">
      <c r="A53" s="12" t="n"/>
      <c r="B53" s="55" t="inlineStr">
        <is>
          <t>Source : V_ALLOCATION au grain classe · remonte exactement au socle campus du cockpit (CA 23 098 985 · EBITDA 3 845 790). Coût variable 363 €/élève, coût direct réparti aux HEURES (une classe coûte une classe, quel que soit son effectif) — c'est ce mécanisme qui crée le piège.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</row>
  </sheetData>
  <mergeCells count="1">
    <mergeCell ref="B48:M51"/>
  </mergeCells>
  <conditionalFormatting sqref="M12">
    <cfRule type="cellIs" priority="1" operator="equal" dxfId="0">
      <formula>"PIÈGE"</formula>
    </cfRule>
    <cfRule type="cellIs" priority="2" operator="equal" dxfId="1">
      <formula>"DÉFICITAIRE"</formula>
    </cfRule>
    <cfRule type="cellIs" priority="3" operator="equal" dxfId="2">
      <formula>"SOUS-REMPLI"</formula>
    </cfRule>
  </conditionalFormatting>
  <conditionalFormatting sqref="M16:M28">
    <cfRule type="cellIs" priority="4" operator="equal" dxfId="0">
      <formula>"PIÈGE"</formula>
    </cfRule>
    <cfRule type="cellIs" priority="5" operator="equal" dxfId="1">
      <formula>"DÉFICITAIRE"</formula>
    </cfRule>
    <cfRule type="cellIs" priority="6" operator="equal" dxfId="2">
      <formula>"SOUS-REMPLI"</formula>
    </cfRule>
  </conditionalFormatting>
  <conditionalFormatting sqref="M32:M46">
    <cfRule type="cellIs" priority="7" operator="equal" dxfId="0">
      <formula>"PIÈGE"</formula>
    </cfRule>
    <cfRule type="cellIs" priority="8" operator="equal" dxfId="1">
      <formula>"DÉFICITAIRE"</formula>
    </cfRule>
    <cfRule type="cellIs" priority="9" operator="equal" dxfId="2">
      <formula>"SOUS-REMPLI"</formula>
    </cfRule>
  </conditionalFormatting>
  <conditionalFormatting sqref="I12">
    <cfRule type="cellIs" priority="10" operator="lessThan" dxfId="3">
      <formula>0</formula>
    </cfRule>
  </conditionalFormatting>
  <conditionalFormatting sqref="I16:I28">
    <cfRule type="cellIs" priority="11" operator="lessThan" dxfId="3">
      <formula>0</formula>
    </cfRule>
  </conditionalFormatting>
  <conditionalFormatting sqref="I32:I46">
    <cfRule type="cellIs" priority="12" operator="lessThan" dxfId="3">
      <formula>0</formula>
    </cfRule>
  </conditionalFormatting>
  <conditionalFormatting sqref="E12">
    <cfRule type="cellIs" priority="13" operator="lessThan" dxfId="3">
      <formula>0</formula>
    </cfRule>
  </conditionalFormatting>
  <conditionalFormatting sqref="E16:E28">
    <cfRule type="cellIs" priority="14" operator="lessThan" dxfId="3">
      <formula>0</formula>
    </cfRule>
  </conditionalFormatting>
  <conditionalFormatting sqref="E32:E46">
    <cfRule type="cellIs" priority="15" operator="lessThan" dxfId="3">
      <formula>0</formula>
    </cfRule>
  </conditionalFormatting>
  <conditionalFormatting sqref="D12">
    <cfRule type="cellIs" priority="16" operator="greaterThan" dxfId="4">
      <formula>0</formula>
    </cfRule>
    <cfRule type="cellIs" priority="17" operator="lessThan" dxfId="5">
      <formula>0</formula>
    </cfRule>
  </conditionalFormatting>
  <conditionalFormatting sqref="D16:D28">
    <cfRule type="cellIs" priority="18" operator="greaterThan" dxfId="4">
      <formula>0</formula>
    </cfRule>
    <cfRule type="cellIs" priority="19" operator="lessThan" dxfId="5">
      <formula>0</formula>
    </cfRule>
  </conditionalFormatting>
  <conditionalFormatting sqref="D32:D46">
    <cfRule type="cellIs" priority="20" operator="greaterThan" dxfId="4">
      <formula>0</formula>
    </cfRule>
    <cfRule type="cellIs" priority="21" operator="lessThan" dxfId="5">
      <formula>0</formula>
    </cfRule>
  </conditionalFormatting>
  <conditionalFormatting sqref="L12">
    <cfRule type="cellIs" priority="22" operator="lessThan" dxfId="6">
      <formula>0.75</formula>
    </cfRule>
  </conditionalFormatting>
  <conditionalFormatting sqref="L16:L28">
    <cfRule type="cellIs" priority="23" operator="lessThan" dxfId="6">
      <formula>0.75</formula>
    </cfRule>
  </conditionalFormatting>
  <conditionalFormatting sqref="L32:L46">
    <cfRule type="cellIs" priority="24" operator="lessThan" dxfId="6">
      <formula>0.75</formula>
    </cfRule>
  </conditionalFormatting>
  <dataValidations count="5">
    <dataValidation sqref="C6" showDropDown="0" showInputMessage="0" showErrorMessage="0" allowBlank="0" type="list">
      <formula1>=Données!$AE$5:$AE$9</formula1>
    </dataValidation>
    <dataValidation sqref="D6" showDropDown="0" showInputMessage="0" showErrorMessage="0" allowBlank="0" type="list">
      <formula1>=Données!$AF$5:$AF$14</formula1>
    </dataValidation>
    <dataValidation sqref="E6" showDropDown="0" showInputMessage="0" showErrorMessage="0" allowBlank="0" type="list">
      <formula1>=Données!$AG$5:$AG$15</formula1>
    </dataValidation>
    <dataValidation sqref="F6" showDropDown="0" showInputMessage="0" showErrorMessage="0" allowBlank="0" type="list">
      <formula1>=Données!$AH$5:$AH$12</formula1>
    </dataValidation>
    <dataValidation sqref="G6" showDropDown="0" showInputMessage="0" showErrorMessage="0" allowBlank="0" type="list">
      <formula1>=Données!$AI$5:$AI$7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2026-09-03T00:36:04Z</dcterms:created>
  <dcterms:modified xsi:type="dcterms:W3CDTF">2026-09-03T00:36:04Z</dcterms:modified>
</cp:coreProperties>
</file>