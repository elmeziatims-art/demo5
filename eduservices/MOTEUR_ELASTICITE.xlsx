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 méthode" sheetId="1" state="visible" r:id="rId1"/>
    <sheet name="Ce que dit l'historique" sheetId="2" state="visible" r:id="rId2"/>
    <sheet name="Budget ↔ inscrits" sheetId="3" state="visible" r:id="rId3"/>
    <sheet name="Playback" sheetId="4" state="visible" r:id="rId4"/>
  </sheets>
  <definedNames/>
  <calcPr calcId="124519" fullCalcOnLoad="1"/>
</workbook>
</file>

<file path=xl/styles.xml><?xml version="1.0" encoding="utf-8"?>
<styleSheet xmlns="http://schemas.openxmlformats.org/spreadsheetml/2006/main">
  <numFmts count="7">
    <numFmt numFmtId="164" formatCode="#,##0&quot; €&quot;"/>
    <numFmt numFmtId="165" formatCode="+0.0%;-0.0%;&quot;—&quot;"/>
    <numFmt numFmtId="166" formatCode="0.000"/>
    <numFmt numFmtId="167" formatCode="#,##0.0"/>
    <numFmt numFmtId="168" formatCode="0.0&quot; ×&quot;"/>
    <numFmt numFmtId="169" formatCode="+#,##0.0;-#,##0.0"/>
    <numFmt numFmtId="170" formatCode="+0.00%;-0.00%"/>
  </numFmts>
  <fonts count="18">
    <font>
      <name val="Calibri"/>
      <family val="2"/>
      <color theme="1"/>
      <sz val="11"/>
      <scheme val="minor"/>
    </font>
    <font>
      <name val="Arial"/>
      <b val="1"/>
      <color rgb="00FFFFFF"/>
      <sz val="13"/>
    </font>
    <font>
      <name val="Arial"/>
      <color rgb="006B7075"/>
      <sz val="8.5"/>
    </font>
    <font>
      <name val="Arial"/>
      <b val="1"/>
      <color rgb="00007AC3"/>
      <sz val="14"/>
    </font>
    <font>
      <name val="Arial"/>
      <b val="1"/>
      <color rgb="00262626"/>
      <sz val="10"/>
    </font>
    <font>
      <name val="Arial"/>
      <color rgb="00262626"/>
      <sz val="9"/>
    </font>
    <font>
      <name val="Arial"/>
      <b val="1"/>
      <color rgb="00007AC3"/>
      <sz val="9"/>
    </font>
    <font>
      <name val="Arial"/>
      <b val="1"/>
      <color rgb="00262626"/>
      <sz val="11"/>
    </font>
    <font>
      <name val="Arial"/>
      <b val="1"/>
      <color rgb="00007AC3"/>
      <sz val="11"/>
    </font>
    <font>
      <name val="Arial"/>
      <i val="1"/>
      <color rgb="006B7075"/>
      <sz val="8.5"/>
    </font>
    <font>
      <name val="Arial"/>
      <b val="1"/>
      <color rgb="00FFFFFF"/>
      <sz val="8"/>
    </font>
    <font>
      <name val="Arial"/>
      <b val="1"/>
      <color rgb="00007AC3"/>
      <sz val="9.5"/>
    </font>
    <font>
      <name val="Arial"/>
      <b val="1"/>
      <color rgb="00262626"/>
      <sz val="9"/>
    </font>
    <font>
      <name val="Arial"/>
      <b val="1"/>
      <color rgb="00007AC3"/>
      <sz val="10"/>
    </font>
    <font>
      <name val="Arial"/>
      <color rgb="00262626"/>
      <sz val="8.5"/>
    </font>
    <font>
      <name val="Arial"/>
      <b val="1"/>
      <color rgb="00007AC3"/>
      <sz val="12"/>
    </font>
    <font>
      <name val="Arial"/>
      <b val="1"/>
      <color rgb="005F8A17"/>
      <sz val="9"/>
    </font>
    <font>
      <name val="Arial"/>
      <b val="1"/>
      <color rgb="005F8A17"/>
      <sz val="12"/>
    </font>
  </fonts>
  <fills count="4">
    <fill>
      <patternFill/>
    </fill>
    <fill>
      <patternFill patternType="gray125"/>
    </fill>
    <fill>
      <patternFill patternType="solid">
        <fgColor rgb="00007AC3"/>
      </patternFill>
    </fill>
    <fill>
      <patternFill patternType="solid">
        <fgColor rgb="00E8F1F9"/>
      </patternFill>
    </fill>
  </fills>
  <borders count="7">
    <border>
      <left/>
      <right/>
      <top/>
      <bottom/>
      <diagonal/>
    </border>
    <border>
      <bottom style="thin">
        <color rgb="00E7E6E6"/>
      </bottom>
    </border>
    <border>
      <bottom style="thin">
        <color rgb="00007AC3"/>
      </bottom>
    </border>
    <border>
      <bottom style="thin">
        <color rgb="00262626"/>
      </bottom>
    </border>
    <border>
      <top style="thin">
        <color rgb="00D5D7DA"/>
      </top>
      <bottom style="thin">
        <color rgb="00D5D7DA"/>
      </bottom>
    </border>
    <border>
      <top style="thin">
        <color rgb="00262626"/>
      </top>
      <bottom style="double">
        <color rgb="00262626"/>
      </bottom>
    </border>
    <border>
      <top style="thin">
        <color rgb="00262626"/>
      </top>
    </border>
  </borders>
  <cellStyleXfs count="1">
    <xf numFmtId="0" fontId="0" fillId="0" borderId="0"/>
  </cellStyleXfs>
  <cellXfs count="63">
    <xf numFmtId="0" fontId="0" fillId="0" borderId="0" pivotButton="0" quotePrefix="0" xfId="0"/>
    <xf numFmtId="0" fontId="0" fillId="2" borderId="0" pivotButton="0" quotePrefix="0" xfId="0"/>
    <xf numFmtId="0" fontId="1" fillId="2" borderId="0" applyAlignment="1" pivotButton="0" quotePrefix="0" xfId="0">
      <alignment horizontal="left" vertical="center"/>
    </xf>
    <xf numFmtId="0" fontId="2" fillId="0" borderId="0" applyAlignment="1" pivotButton="0" quotePrefix="0" xfId="0">
      <alignment horizontal="left" vertical="center"/>
    </xf>
    <xf numFmtId="0" fontId="3" fillId="0" borderId="1" applyAlignment="1" pivotButton="0" quotePrefix="0" xfId="0">
      <alignment horizontal="center" vertical="center"/>
    </xf>
    <xf numFmtId="0" fontId="4" fillId="0" borderId="1" applyAlignment="1" pivotButton="0" quotePrefix="0" xfId="0">
      <alignment horizontal="left" vertical="top" wrapText="1"/>
    </xf>
    <xf numFmtId="0" fontId="5" fillId="0" borderId="1" applyAlignment="1" pivotButton="0" quotePrefix="0" xfId="0">
      <alignment horizontal="left" vertical="top" wrapText="1"/>
    </xf>
    <xf numFmtId="0" fontId="6" fillId="0" borderId="2" applyAlignment="1" pivotButton="0" quotePrefix="0" xfId="0">
      <alignment horizontal="left" vertical="center"/>
    </xf>
    <xf numFmtId="0" fontId="0" fillId="0" borderId="2" pivotButton="0" quotePrefix="0" xfId="0"/>
    <xf numFmtId="0" fontId="7" fillId="0" borderId="0" applyAlignment="1" pivotButton="0" quotePrefix="0" xfId="0">
      <alignment horizontal="right" vertical="center"/>
    </xf>
    <xf numFmtId="0" fontId="8" fillId="0" borderId="0" applyAlignment="1" pivotButton="0" quotePrefix="0" xfId="0">
      <alignment horizontal="left" vertical="center" indent="1"/>
    </xf>
    <xf numFmtId="0" fontId="9" fillId="0" borderId="0" applyAlignment="1" pivotButton="0" quotePrefix="0" xfId="0">
      <alignment horizontal="left" vertical="center" indent="1"/>
    </xf>
    <xf numFmtId="0" fontId="9" fillId="0" borderId="0" applyAlignment="1" pivotButton="0" quotePrefix="0" xfId="0">
      <alignment horizontal="left" vertical="center"/>
    </xf>
    <xf numFmtId="0" fontId="10" fillId="2" borderId="3" applyAlignment="1" pivotButton="0" quotePrefix="0" xfId="0">
      <alignment horizontal="left" vertical="center" indent="1"/>
    </xf>
    <xf numFmtId="0" fontId="10" fillId="2" borderId="3" applyAlignment="1" pivotButton="0" quotePrefix="0" xfId="0">
      <alignment horizontal="center" vertical="center"/>
    </xf>
    <xf numFmtId="0" fontId="10" fillId="2" borderId="3" applyAlignment="1" pivotButton="0" quotePrefix="0" xfId="0">
      <alignment horizontal="center" vertical="center" wrapText="1"/>
    </xf>
    <xf numFmtId="0" fontId="11" fillId="3" borderId="4" applyAlignment="1" pivotButton="0" quotePrefix="0" xfId="0">
      <alignment horizontal="left" vertical="center"/>
    </xf>
    <xf numFmtId="0" fontId="0" fillId="3" borderId="4" pivotButton="0" quotePrefix="0" xfId="0"/>
    <xf numFmtId="164" fontId="12" fillId="3" borderId="4" applyAlignment="1" pivotButton="0" quotePrefix="0" xfId="0">
      <alignment horizontal="right" vertical="center"/>
    </xf>
    <xf numFmtId="3" fontId="12" fillId="3" borderId="4" applyAlignment="1" pivotButton="0" quotePrefix="0" xfId="0">
      <alignment horizontal="right" vertical="center"/>
    </xf>
    <xf numFmtId="165" fontId="12" fillId="3" borderId="4" applyAlignment="1" pivotButton="0" quotePrefix="0" xfId="0">
      <alignment horizontal="right" vertical="center"/>
    </xf>
    <xf numFmtId="166" fontId="13" fillId="3" borderId="4" applyAlignment="1" pivotButton="0" quotePrefix="0" xfId="0">
      <alignment horizontal="center" vertical="center"/>
    </xf>
    <xf numFmtId="0" fontId="14" fillId="0" borderId="1" applyAlignment="1" pivotButton="0" quotePrefix="0" xfId="0">
      <alignment horizontal="left" vertical="center" indent="3"/>
    </xf>
    <xf numFmtId="0" fontId="0" fillId="0" borderId="1" pivotButton="0" quotePrefix="0" xfId="0"/>
    <xf numFmtId="164" fontId="14" fillId="0" borderId="1" applyAlignment="1" pivotButton="0" quotePrefix="0" xfId="0">
      <alignment horizontal="right" vertical="center"/>
    </xf>
    <xf numFmtId="3" fontId="14" fillId="0" borderId="1" applyAlignment="1" pivotButton="0" quotePrefix="0" xfId="0">
      <alignment horizontal="right" vertical="center"/>
    </xf>
    <xf numFmtId="165" fontId="14" fillId="0" borderId="1" applyAlignment="1" pivotButton="0" quotePrefix="0" xfId="0">
      <alignment horizontal="right" vertical="center"/>
    </xf>
    <xf numFmtId="166" fontId="12" fillId="0" borderId="1" applyAlignment="1" pivotButton="0" quotePrefix="0" xfId="0">
      <alignment horizontal="center" vertical="center"/>
    </xf>
    <xf numFmtId="0" fontId="4" fillId="0" borderId="5" applyAlignment="1" pivotButton="0" quotePrefix="0" xfId="0">
      <alignment horizontal="left" vertical="center" indent="1"/>
    </xf>
    <xf numFmtId="0" fontId="0" fillId="0" borderId="5" pivotButton="0" quotePrefix="0" xfId="0"/>
    <xf numFmtId="164" fontId="4" fillId="0" borderId="5" applyAlignment="1" pivotButton="0" quotePrefix="0" xfId="0">
      <alignment horizontal="right" vertical="center"/>
    </xf>
    <xf numFmtId="3" fontId="4" fillId="0" borderId="5" applyAlignment="1" pivotButton="0" quotePrefix="0" xfId="0">
      <alignment horizontal="right" vertical="center"/>
    </xf>
    <xf numFmtId="165" fontId="4" fillId="0" borderId="5" applyAlignment="1" pivotButton="0" quotePrefix="0" xfId="0">
      <alignment horizontal="right" vertical="center"/>
    </xf>
    <xf numFmtId="166" fontId="15" fillId="0" borderId="5" applyAlignment="1" pivotButton="0" quotePrefix="0" xfId="0">
      <alignment horizontal="center" vertical="center"/>
    </xf>
    <xf numFmtId="0" fontId="5" fillId="0" borderId="1" applyAlignment="1" pivotButton="0" quotePrefix="0" xfId="0">
      <alignment horizontal="left" vertical="center" indent="1"/>
    </xf>
    <xf numFmtId="3" fontId="5" fillId="0" borderId="1" applyAlignment="1" pivotButton="0" quotePrefix="0" xfId="0">
      <alignment horizontal="right" vertical="center"/>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0" fontId="14" fillId="0" borderId="1" applyAlignment="1" pivotButton="0" quotePrefix="0" xfId="0">
      <alignment horizontal="left" vertical="center" indent="1"/>
    </xf>
    <xf numFmtId="167" fontId="12" fillId="0" borderId="1" applyAlignment="1" pivotButton="0" quotePrefix="0" xfId="0">
      <alignment horizontal="right" vertical="center"/>
    </xf>
    <xf numFmtId="0" fontId="12" fillId="3" borderId="1" applyAlignment="1" pivotButton="0" quotePrefix="0" xfId="0">
      <alignment horizontal="left" vertical="center" indent="1"/>
    </xf>
    <xf numFmtId="3" fontId="12" fillId="3" borderId="1" applyAlignment="1" pivotButton="0" quotePrefix="0" xfId="0">
      <alignment horizontal="right" vertical="center"/>
    </xf>
    <xf numFmtId="164" fontId="12" fillId="3" borderId="1" applyAlignment="1" pivotButton="0" quotePrefix="0" xfId="0">
      <alignment horizontal="right" vertical="center"/>
    </xf>
    <xf numFmtId="165" fontId="13" fillId="3" borderId="1" applyAlignment="1" pivotButton="0" quotePrefix="0" xfId="0">
      <alignment horizontal="right" vertical="center"/>
    </xf>
    <xf numFmtId="0" fontId="9" fillId="0" borderId="6" applyAlignment="1" pivotButton="0" quotePrefix="0" xfId="0">
      <alignment horizontal="left" vertical="center" indent="1"/>
    </xf>
    <xf numFmtId="3" fontId="2" fillId="0" borderId="6" applyAlignment="1" pivotButton="0" quotePrefix="0" xfId="0">
      <alignment horizontal="right" vertical="center"/>
    </xf>
    <xf numFmtId="164" fontId="2" fillId="0" borderId="6" applyAlignment="1" pivotButton="0" quotePrefix="0" xfId="0">
      <alignment horizontal="right" vertical="center"/>
    </xf>
    <xf numFmtId="0" fontId="0" fillId="0" borderId="6" pivotButton="0" quotePrefix="0" xfId="0"/>
    <xf numFmtId="0" fontId="12" fillId="0" borderId="1" applyAlignment="1" pivotButton="0" quotePrefix="0" xfId="0">
      <alignment horizontal="left" vertical="center" indent="1"/>
    </xf>
    <xf numFmtId="164" fontId="8" fillId="0" borderId="1" applyAlignment="1" pivotButton="0" quotePrefix="0" xfId="0">
      <alignment horizontal="right" vertical="center"/>
    </xf>
    <xf numFmtId="168" fontId="5" fillId="0" borderId="1" applyAlignment="1" pivotButton="0" quotePrefix="0" xfId="0">
      <alignment horizontal="right" vertical="center"/>
    </xf>
    <xf numFmtId="167" fontId="12" fillId="3" borderId="4" applyAlignment="1" pivotButton="0" quotePrefix="0" xfId="0">
      <alignment horizontal="right" vertical="center"/>
    </xf>
    <xf numFmtId="169" fontId="12" fillId="3" borderId="4" applyAlignment="1" pivotButton="0" quotePrefix="0" xfId="0">
      <alignment horizontal="right" vertical="center"/>
    </xf>
    <xf numFmtId="170" fontId="16" fillId="3" borderId="4" applyAlignment="1" pivotButton="0" quotePrefix="0" xfId="0">
      <alignment horizontal="right" vertical="center"/>
    </xf>
    <xf numFmtId="166" fontId="12" fillId="3" borderId="4" applyAlignment="1" pivotButton="0" quotePrefix="0" xfId="0">
      <alignment horizontal="center" vertical="center"/>
    </xf>
    <xf numFmtId="166" fontId="14" fillId="0" borderId="1" applyAlignment="1" pivotButton="0" quotePrefix="0" xfId="0">
      <alignment horizontal="center" vertical="center"/>
    </xf>
    <xf numFmtId="167" fontId="14" fillId="0" borderId="1" applyAlignment="1" pivotButton="0" quotePrefix="0" xfId="0">
      <alignment horizontal="right" vertical="center"/>
    </xf>
    <xf numFmtId="169" fontId="14" fillId="0" borderId="1" applyAlignment="1" pivotButton="0" quotePrefix="0" xfId="0">
      <alignment horizontal="right" vertical="center"/>
    </xf>
    <xf numFmtId="170" fontId="16" fillId="0" borderId="1" applyAlignment="1" pivotButton="0" quotePrefix="0" xfId="0">
      <alignment horizontal="right" vertical="center"/>
    </xf>
    <xf numFmtId="166" fontId="4" fillId="0" borderId="5" applyAlignment="1" pivotButton="0" quotePrefix="0" xfId="0">
      <alignment horizontal="center" vertical="center"/>
    </xf>
    <xf numFmtId="167" fontId="4" fillId="0" borderId="5" applyAlignment="1" pivotButton="0" quotePrefix="0" xfId="0">
      <alignment horizontal="right" vertical="center"/>
    </xf>
    <xf numFmtId="169" fontId="4" fillId="0" borderId="5" applyAlignment="1" pivotButton="0" quotePrefix="0" xfId="0">
      <alignment horizontal="right" vertical="center"/>
    </xf>
    <xf numFmtId="170" fontId="17" fillId="0" borderId="5"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7AC3"/>
    <outlinePr summaryBelow="1" summaryRight="1"/>
    <pageSetUpPr/>
  </sheetPr>
  <dimension ref="A1:E1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4" customWidth="1" min="2" max="2"/>
    <col width="26" customWidth="1" min="3" max="3"/>
    <col width="96" customWidth="1" min="4" max="4"/>
    <col width="2" customWidth="1" min="5" max="5"/>
  </cols>
  <sheetData>
    <row r="1" ht="26" customHeight="1">
      <c r="A1" s="1" t="n"/>
      <c r="B1" s="2" t="inlineStr">
        <is>
          <t>COMMENT LA PROJECTION EST CONSTRUITE</t>
        </is>
      </c>
      <c r="C1" s="1" t="n"/>
      <c r="D1" s="1" t="n"/>
      <c r="E1" s="1" t="n"/>
    </row>
    <row r="2">
      <c r="B2" s="3" t="inlineStr">
        <is>
          <t>Une seule relation, mesurée sur trois exercices — et ce qu'elle permet de dire</t>
        </is>
      </c>
    </row>
    <row r="4" ht="50" customHeight="1">
      <c r="B4" s="4" t="inlineStr">
        <is>
          <t>1</t>
        </is>
      </c>
      <c r="C4" s="5" t="inlineStr">
        <is>
          <t>On ne prévoit pas,
on construit</t>
        </is>
      </c>
      <c r="D4" s="6" t="inlineStr">
        <is>
          <t>Personne ne devine le nombre d'inscrits de 2027. On part de 2026, et on applique ce que l'historique a mesuré. Deux entrées seulement : le budget marketing, décidé au siège, et les effectifs déjà inscrits, qui poursuivent leur cursus.</t>
        </is>
      </c>
    </row>
    <row r="5" ht="62" customHeight="1">
      <c r="B5" s="4" t="inlineStr">
        <is>
          <t>2</t>
        </is>
      </c>
      <c r="C5" s="5" t="inlineStr">
        <is>
          <t>Ce que dit l'historique :
une élasticité</t>
        </is>
      </c>
      <c r="D5" s="6" t="inlineStr">
        <is>
          <t>Sur 2024-2026, le budget marketing a crû de +13,7 % par an, les inscrits de +6,1 %. Le rapport de ces deux croissances, mesuré en logarithmes, vaut 0,46 au niveau du groupe. Autrement dit : +1 % de budget donne +0,46 % d'inscrits. Ce n'est pas une hypothèse posée, c'est une pente relevée sur les comptes.</t>
        </is>
      </c>
    </row>
    <row r="6" ht="62" customHeight="1">
      <c r="B6" s="4" t="inlineStr">
        <is>
          <t>3</t>
        </is>
      </c>
      <c r="C6" s="5" t="inlineStr">
        <is>
          <t>Pourquoi ce rendement
décroît</t>
        </is>
      </c>
      <c r="D6" s="6" t="inlineStr">
        <is>
          <t>Parce qu'on n'achète pas des inscrits : on achète de l'audience, sur un marché fini, par enchères. Les contacts les moins chers sont pris en premier ; l'euro suivant va chercher des audiences plus larges, moins qualifiées, et plus disputées. Le volume continue de monter, simplement moins vite que la dépense.</t>
        </is>
      </c>
    </row>
    <row r="7" ht="74" customHeight="1">
      <c r="B7" s="4" t="inlineStr">
        <is>
          <t>4</t>
        </is>
      </c>
      <c r="C7" s="5" t="inlineStr">
        <is>
          <t>Ce qu'on n'a PAS eu
à supposer</t>
        </is>
      </c>
      <c r="D7" s="6" t="inlineStr">
        <is>
          <t>Le taux de transformation d'un contact en inscrit est passé de 7,135 % à 7,147 % en trois ans. Sur les 137 inscrits gagnés, 98,5 % viennent du volume de contacts et 1,5 % de la transformation. Le tenir constant ne relève d'aucune hypothèse : c'est ce que montre l'historique. Et c'est pour cela qu'il ne faut surtout pas le remultiplier — il est déjà contenu dans l'élasticité.</t>
        </is>
      </c>
    </row>
    <row r="8" ht="50" customHeight="1">
      <c r="B8" s="4" t="inlineStr">
        <is>
          <t>5</t>
        </is>
      </c>
      <c r="C8" s="5" t="inlineStr">
        <is>
          <t>Ce que ça permet
de dire</t>
        </is>
      </c>
      <c r="D8" s="6" t="inlineStr">
        <is>
          <t>La relation se lit dans les deux sens. Du budget vers les inscrits pour construire le budget 2027 ; des inscrits vers le budget pour répondre à la seule question qui se pose en séance : « il faut combien pour tenir l'objectif ? »</t>
        </is>
      </c>
    </row>
    <row r="9" ht="50" customHeight="1">
      <c r="B9" s="4" t="inlineStr">
        <is>
          <t>6</t>
        </is>
      </c>
      <c r="C9" s="5" t="inlineStr">
        <is>
          <t>Puis la mécanique,
qui ne se discute pas</t>
        </is>
      </c>
      <c r="D9" s="6" t="inlineStr">
        <is>
          <t>Les inscrits entrent en première année. Les autres années viennent des cohortes déjà là, multipliées par le taux de passage. L'effectif total rencontre le tarif, et donne le chiffre d'affaires. Aucune élasticité là-dedans, que de l'arithmétique.</t>
        </is>
      </c>
    </row>
    <row r="10" ht="50" customHeight="1">
      <c r="B10" s="4" t="inlineStr">
        <is>
          <t>7</t>
        </is>
      </c>
      <c r="C10" s="5" t="inlineStr">
        <is>
          <t>Et la preuve</t>
        </is>
      </c>
      <c r="D10" s="6" t="inlineStr">
        <is>
          <t>On cale l'élasticité sur 2024 et 2025 uniquement. On lui donne le budget 2026, qu'elle n'a jamais vu. Elle rend 1 232 inscrits ; il y en a eu 1 229. Écart : +0,25 %. Par campus, écart moyen 1,06 %, maximum 2,28 %.</t>
        </is>
      </c>
    </row>
    <row r="12">
      <c r="B12" s="7" t="inlineStr">
        <is>
          <t>LA RELATION, ÉCRITE EN ENTIER</t>
        </is>
      </c>
      <c r="C12" s="8" t="n"/>
      <c r="D12" s="8" t="n"/>
    </row>
    <row r="13" ht="22" customHeight="1">
      <c r="C13" s="9" t="inlineStr">
        <is>
          <t>inscrits 2027</t>
        </is>
      </c>
      <c r="D13" s="10">
        <f>  inscrits 2026  ×  ( budget marketing 2027 ÷ budget marketing 2026 ) ^ 0,46</f>
        <v/>
      </c>
    </row>
    <row r="14">
      <c r="D14" s="11" t="inlineStr">
        <is>
          <t>et rien d'autre : le taux de transformation est déjà dans l'exposant.</t>
        </is>
      </c>
    </row>
  </sheetData>
  <pageMargins left="0.75" right="0.75" top="1" bottom="1" header="0.5" footer="0.5"/>
</worksheet>
</file>

<file path=xl/worksheets/sheet2.xml><?xml version="1.0" encoding="utf-8"?>
<worksheet xmlns="http://schemas.openxmlformats.org/spreadsheetml/2006/main">
  <sheetPr>
    <tabColor rgb="00007AC3"/>
    <outlinePr summaryBelow="1" summaryRight="1"/>
    <pageSetUpPr/>
  </sheetPr>
  <dimension ref="A1:O32"/>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22" customWidth="1" min="2" max="2"/>
    <col width="14" customWidth="1" min="3" max="3"/>
    <col width="12" customWidth="1" min="4" max="4"/>
    <col width="12" customWidth="1" min="5" max="5"/>
    <col width="12" customWidth="1" min="6" max="6"/>
    <col width="3" customWidth="1" min="7" max="7"/>
    <col width="10" customWidth="1" min="8" max="8"/>
    <col width="10" customWidth="1" min="9" max="9"/>
    <col width="10" customWidth="1" min="10" max="10"/>
    <col width="3" customWidth="1" min="11" max="11"/>
    <col width="12" customWidth="1" min="12" max="12"/>
    <col width="12" customWidth="1" min="13" max="13"/>
    <col width="13" customWidth="1" min="14" max="14"/>
    <col width="2" customWidth="1" min="15" max="15"/>
  </cols>
  <sheetData>
    <row r="1" ht="26" customHeight="1">
      <c r="A1" s="1" t="n"/>
      <c r="B1" s="2" t="inlineStr">
        <is>
          <t>CE QUE DIT L'HISTORIQUE</t>
        </is>
      </c>
      <c r="C1" s="1" t="n"/>
      <c r="D1" s="1" t="n"/>
      <c r="E1" s="1" t="n"/>
      <c r="F1" s="1" t="n"/>
      <c r="G1" s="1" t="n"/>
      <c r="H1" s="1" t="n"/>
      <c r="I1" s="1" t="n"/>
      <c r="J1" s="1" t="n"/>
      <c r="K1" s="1" t="n"/>
      <c r="L1" s="1" t="n"/>
      <c r="M1" s="1" t="n"/>
      <c r="N1" s="1" t="n"/>
      <c r="O1" s="1" t="n"/>
    </row>
    <row r="2">
      <c r="B2" s="3" t="inlineStr">
        <is>
          <t>Trois exercices, deux colonnes, une pente — mesurée là où le budget se décide</t>
        </is>
      </c>
    </row>
    <row r="3">
      <c r="B3" s="12" t="inlineStr">
        <is>
          <t>L'élasticité est la pente de ln(inscrits) sur ln(budget marketing). Elle se mesure par campus, parce que c'est là que le marché est.</t>
        </is>
      </c>
    </row>
    <row r="5" ht="28" customHeight="1">
      <c r="B5" s="13" t="inlineStr">
        <is>
          <t>Marque · Campus</t>
        </is>
      </c>
      <c r="C5" s="14" t="inlineStr"/>
      <c r="D5" s="15" t="inlineStr">
        <is>
          <t>Budget 2024</t>
        </is>
      </c>
      <c r="E5" s="15" t="inlineStr">
        <is>
          <t>Budget 2025</t>
        </is>
      </c>
      <c r="F5" s="15" t="inlineStr">
        <is>
          <t>Budget 2026</t>
        </is>
      </c>
      <c r="G5" s="1" t="n"/>
      <c r="H5" s="15" t="inlineStr">
        <is>
          <t>Inscrits
2024</t>
        </is>
      </c>
      <c r="I5" s="15" t="inlineStr">
        <is>
          <t>Inscrits
2025</t>
        </is>
      </c>
      <c r="J5" s="15" t="inlineStr">
        <is>
          <t>Inscrits
2026</t>
        </is>
      </c>
      <c r="K5" s="1" t="n"/>
      <c r="L5" s="15" t="inlineStr">
        <is>
          <t>Budget
par an</t>
        </is>
      </c>
      <c r="M5" s="15" t="inlineStr">
        <is>
          <t>Inscrits
par an</t>
        </is>
      </c>
      <c r="N5" s="15" t="inlineStr">
        <is>
          <t>ÉLASTICITÉ</t>
        </is>
      </c>
    </row>
    <row r="6">
      <c r="B6" s="16" t="inlineStr">
        <is>
          <t>Ipac Bachelor Factory</t>
        </is>
      </c>
      <c r="C6" s="17" t="n"/>
      <c r="D6" s="18" t="n">
        <v>86407</v>
      </c>
      <c r="E6" s="18" t="n">
        <v>104510</v>
      </c>
      <c r="F6" s="18" t="n">
        <v>127426</v>
      </c>
      <c r="G6" s="17" t="n"/>
      <c r="H6" s="19" t="n">
        <v>116</v>
      </c>
      <c r="I6" s="19" t="n">
        <v>123</v>
      </c>
      <c r="J6" s="19" t="n">
        <v>130</v>
      </c>
      <c r="K6" s="17" t="n"/>
      <c r="L6" s="20" t="n">
        <v>0.21437987609158</v>
      </c>
      <c r="M6" s="20" t="n">
        <v>0.05862630572474137</v>
      </c>
      <c r="N6" s="21" t="n">
        <v>0.2932181850805484</v>
      </c>
    </row>
    <row r="7">
      <c r="B7" s="22" t="inlineStr">
        <is>
          <t>Montpellier</t>
        </is>
      </c>
      <c r="C7" s="23" t="n"/>
      <c r="D7" s="24" t="n">
        <v>26124</v>
      </c>
      <c r="E7" s="24" t="n">
        <v>31668</v>
      </c>
      <c r="F7" s="24" t="n">
        <v>38692</v>
      </c>
      <c r="G7" s="23" t="n"/>
      <c r="H7" s="25" t="n">
        <v>36</v>
      </c>
      <c r="I7" s="25" t="n">
        <v>38</v>
      </c>
      <c r="J7" s="25" t="n">
        <v>40</v>
      </c>
      <c r="K7" s="23" t="n"/>
      <c r="L7" s="26" t="n">
        <v>0.2170004869638507</v>
      </c>
      <c r="M7" s="26" t="n">
        <v>0.05409255338945984</v>
      </c>
      <c r="N7" s="27" t="n">
        <v>0.2681610365289153</v>
      </c>
    </row>
    <row r="8">
      <c r="B8" s="22" t="inlineStr">
        <is>
          <t>Nantes</t>
        </is>
      </c>
      <c r="C8" s="23" t="n"/>
      <c r="D8" s="24" t="n">
        <v>33920</v>
      </c>
      <c r="E8" s="24" t="n">
        <v>40864</v>
      </c>
      <c r="F8" s="24" t="n">
        <v>49649</v>
      </c>
      <c r="G8" s="23" t="n"/>
      <c r="H8" s="25" t="n">
        <v>44</v>
      </c>
      <c r="I8" s="25" t="n">
        <v>47</v>
      </c>
      <c r="J8" s="25" t="n">
        <v>50</v>
      </c>
      <c r="K8" s="23" t="n"/>
      <c r="L8" s="26" t="n">
        <v>0.2098383058967401</v>
      </c>
      <c r="M8" s="26" t="n">
        <v>0.06600358177805221</v>
      </c>
      <c r="N8" s="27" t="n">
        <v>0.335409058262757</v>
      </c>
    </row>
    <row r="9">
      <c r="B9" s="22" t="inlineStr">
        <is>
          <t>Rennes</t>
        </is>
      </c>
      <c r="C9" s="23" t="n"/>
      <c r="D9" s="24" t="n">
        <v>26363</v>
      </c>
      <c r="E9" s="24" t="n">
        <v>31978</v>
      </c>
      <c r="F9" s="24" t="n">
        <v>39085</v>
      </c>
      <c r="G9" s="23" t="n"/>
      <c r="H9" s="25" t="n">
        <v>36</v>
      </c>
      <c r="I9" s="25" t="n">
        <v>38</v>
      </c>
      <c r="J9" s="25" t="n">
        <v>40</v>
      </c>
      <c r="K9" s="23" t="n"/>
      <c r="L9" s="26" t="n">
        <v>0.2176084218407517</v>
      </c>
      <c r="M9" s="26" t="n">
        <v>0.05409255338945984</v>
      </c>
      <c r="N9" s="27" t="n">
        <v>0.2674851548021007</v>
      </c>
    </row>
    <row r="10">
      <c r="B10" s="16" t="inlineStr">
        <is>
          <t>ISCOM</t>
        </is>
      </c>
      <c r="C10" s="17" t="n"/>
      <c r="D10" s="18" t="n">
        <v>236568</v>
      </c>
      <c r="E10" s="18" t="n">
        <v>258989</v>
      </c>
      <c r="F10" s="18" t="n">
        <v>283546</v>
      </c>
      <c r="G10" s="17" t="n"/>
      <c r="H10" s="19" t="n">
        <v>300</v>
      </c>
      <c r="I10" s="19" t="n">
        <v>318</v>
      </c>
      <c r="J10" s="19" t="n">
        <v>338</v>
      </c>
      <c r="K10" s="17" t="n"/>
      <c r="L10" s="20" t="n">
        <v>0.09479741523556728</v>
      </c>
      <c r="M10" s="20" t="n">
        <v>0.06144555520604378</v>
      </c>
      <c r="N10" s="21" t="n">
        <v>0.6584105484887798</v>
      </c>
    </row>
    <row r="11">
      <c r="B11" s="22" t="inlineStr">
        <is>
          <t>Lille</t>
        </is>
      </c>
      <c r="C11" s="23" t="n"/>
      <c r="D11" s="24" t="n">
        <v>69338</v>
      </c>
      <c r="E11" s="24" t="n">
        <v>75695</v>
      </c>
      <c r="F11" s="24" t="n">
        <v>82638</v>
      </c>
      <c r="G11" s="23" t="n"/>
      <c r="H11" s="25" t="n">
        <v>88</v>
      </c>
      <c r="I11" s="25" t="n">
        <v>94</v>
      </c>
      <c r="J11" s="25" t="n">
        <v>100</v>
      </c>
      <c r="K11" s="23" t="n"/>
      <c r="L11" s="26" t="n">
        <v>0.09170234611746997</v>
      </c>
      <c r="M11" s="26" t="n">
        <v>0.06600358177805221</v>
      </c>
      <c r="N11" s="27" t="n">
        <v>0.7284910025186127</v>
      </c>
    </row>
    <row r="12">
      <c r="B12" s="22" t="inlineStr">
        <is>
          <t>Paris</t>
        </is>
      </c>
      <c r="C12" s="23" t="n"/>
      <c r="D12" s="24" t="n">
        <v>102342</v>
      </c>
      <c r="E12" s="24" t="n">
        <v>112508</v>
      </c>
      <c r="F12" s="24" t="n">
        <v>123686</v>
      </c>
      <c r="G12" s="23" t="n"/>
      <c r="H12" s="25" t="n">
        <v>128</v>
      </c>
      <c r="I12" s="25" t="n">
        <v>136</v>
      </c>
      <c r="J12" s="25" t="n">
        <v>144</v>
      </c>
      <c r="K12" s="23" t="n"/>
      <c r="L12" s="26" t="n">
        <v>0.09934327087162576</v>
      </c>
      <c r="M12" s="26" t="n">
        <v>0.06066017177982119</v>
      </c>
      <c r="N12" s="27" t="n">
        <v>0.62178876780044</v>
      </c>
    </row>
    <row r="13">
      <c r="B13" s="22" t="inlineStr">
        <is>
          <t>Toulouse</t>
        </is>
      </c>
      <c r="C13" s="23" t="n"/>
      <c r="D13" s="24" t="n">
        <v>64888</v>
      </c>
      <c r="E13" s="24" t="n">
        <v>70786</v>
      </c>
      <c r="F13" s="24" t="n">
        <v>77222</v>
      </c>
      <c r="G13" s="23" t="n"/>
      <c r="H13" s="25" t="n">
        <v>84</v>
      </c>
      <c r="I13" s="25" t="n">
        <v>88</v>
      </c>
      <c r="J13" s="25" t="n">
        <v>94</v>
      </c>
      <c r="K13" s="23" t="n"/>
      <c r="L13" s="26" t="n">
        <v>0.09090850715249466</v>
      </c>
      <c r="M13" s="26" t="n">
        <v>0.0578504710249077</v>
      </c>
      <c r="N13" s="27" t="n">
        <v>0.6463499073302056</v>
      </c>
    </row>
    <row r="14">
      <c r="B14" s="16" t="inlineStr">
        <is>
          <t>MBway</t>
        </is>
      </c>
      <c r="C14" s="17" t="n"/>
      <c r="D14" s="18" t="n">
        <v>306286</v>
      </c>
      <c r="E14" s="18" t="n">
        <v>358283</v>
      </c>
      <c r="F14" s="18" t="n">
        <v>420352</v>
      </c>
      <c r="G14" s="17" t="n"/>
      <c r="H14" s="19" t="n">
        <v>452</v>
      </c>
      <c r="I14" s="19" t="n">
        <v>482</v>
      </c>
      <c r="J14" s="19" t="n">
        <v>510</v>
      </c>
      <c r="K14" s="17" t="n"/>
      <c r="L14" s="20" t="n">
        <v>0.1715018694856476</v>
      </c>
      <c r="M14" s="20" t="n">
        <v>0.06222341532786624</v>
      </c>
      <c r="N14" s="21" t="n">
        <v>0.3812726241540124</v>
      </c>
    </row>
    <row r="15">
      <c r="B15" s="22" t="inlineStr">
        <is>
          <t>Bordeaux</t>
        </is>
      </c>
      <c r="C15" s="23" t="n"/>
      <c r="D15" s="24" t="n">
        <v>59474</v>
      </c>
      <c r="E15" s="24" t="n">
        <v>69903</v>
      </c>
      <c r="F15" s="24" t="n">
        <v>82341</v>
      </c>
      <c r="G15" s="23" t="n"/>
      <c r="H15" s="25" t="n">
        <v>90</v>
      </c>
      <c r="I15" s="25" t="n">
        <v>96</v>
      </c>
      <c r="J15" s="25" t="n">
        <v>102</v>
      </c>
      <c r="K15" s="23" t="n"/>
      <c r="L15" s="26" t="n">
        <v>0.176642400649101</v>
      </c>
      <c r="M15" s="26" t="n">
        <v>0.06458129484475417</v>
      </c>
      <c r="N15" s="27" t="n">
        <v>0.3846939851588312</v>
      </c>
    </row>
    <row r="16">
      <c r="B16" s="22" t="inlineStr">
        <is>
          <t>Lyon</t>
        </is>
      </c>
      <c r="C16" s="23" t="n"/>
      <c r="D16" s="24" t="n">
        <v>77782</v>
      </c>
      <c r="E16" s="24" t="n">
        <v>91110</v>
      </c>
      <c r="F16" s="24" t="n">
        <v>107038</v>
      </c>
      <c r="G16" s="23" t="n"/>
      <c r="H16" s="25" t="n">
        <v>118</v>
      </c>
      <c r="I16" s="25" t="n">
        <v>124</v>
      </c>
      <c r="J16" s="25" t="n">
        <v>132</v>
      </c>
      <c r="K16" s="23" t="n"/>
      <c r="L16" s="26" t="n">
        <v>0.1730848873986572</v>
      </c>
      <c r="M16" s="26" t="n">
        <v>0.05765971266594527</v>
      </c>
      <c r="N16" s="27" t="n">
        <v>0.3512783848958786</v>
      </c>
    </row>
    <row r="17">
      <c r="B17" s="22" t="inlineStr">
        <is>
          <t>Nantes</t>
        </is>
      </c>
      <c r="C17" s="23" t="n"/>
      <c r="D17" s="24" t="n">
        <v>70831</v>
      </c>
      <c r="E17" s="24" t="n">
        <v>83168</v>
      </c>
      <c r="F17" s="24" t="n">
        <v>97882</v>
      </c>
      <c r="G17" s="23" t="n"/>
      <c r="H17" s="25" t="n">
        <v>106</v>
      </c>
      <c r="I17" s="25" t="n">
        <v>114</v>
      </c>
      <c r="J17" s="25" t="n">
        <v>120</v>
      </c>
      <c r="K17" s="23" t="n"/>
      <c r="L17" s="26" t="n">
        <v>0.1755462777456633</v>
      </c>
      <c r="M17" s="26" t="n">
        <v>0.06399035319786295</v>
      </c>
      <c r="N17" s="27" t="n">
        <v>0.3833444533763089</v>
      </c>
    </row>
    <row r="18">
      <c r="B18" s="22" t="inlineStr">
        <is>
          <t>Paris</t>
        </is>
      </c>
      <c r="C18" s="23" t="n"/>
      <c r="D18" s="24" t="n">
        <v>98199</v>
      </c>
      <c r="E18" s="24" t="n">
        <v>114102</v>
      </c>
      <c r="F18" s="24" t="n">
        <v>133091</v>
      </c>
      <c r="G18" s="23" t="n"/>
      <c r="H18" s="25" t="n">
        <v>138</v>
      </c>
      <c r="I18" s="25" t="n">
        <v>148</v>
      </c>
      <c r="J18" s="25" t="n">
        <v>156</v>
      </c>
      <c r="K18" s="23" t="n"/>
      <c r="L18" s="26" t="n">
        <v>0.1641818159565436</v>
      </c>
      <c r="M18" s="26" t="n">
        <v>0.06321906614238992</v>
      </c>
      <c r="N18" s="27" t="n">
        <v>0.4029864862912579</v>
      </c>
    </row>
    <row r="19">
      <c r="B19" s="16" t="inlineStr">
        <is>
          <t>Pigier</t>
        </is>
      </c>
      <c r="C19" s="17" t="n"/>
      <c r="D19" s="18" t="n">
        <v>149612</v>
      </c>
      <c r="E19" s="18" t="n">
        <v>166481</v>
      </c>
      <c r="F19" s="18" t="n">
        <v>185264</v>
      </c>
      <c r="G19" s="17" t="n"/>
      <c r="H19" s="19" t="n">
        <v>146</v>
      </c>
      <c r="I19" s="19" t="n">
        <v>154</v>
      </c>
      <c r="J19" s="19" t="n">
        <v>164</v>
      </c>
      <c r="K19" s="17" t="n"/>
      <c r="L19" s="20" t="n">
        <v>0.1127876676785347</v>
      </c>
      <c r="M19" s="20" t="n">
        <v>0.05985266487039453</v>
      </c>
      <c r="N19" s="21" t="n">
        <v>0.5439442331431826</v>
      </c>
    </row>
    <row r="20">
      <c r="B20" s="22" t="inlineStr">
        <is>
          <t>Bordeaux</t>
        </is>
      </c>
      <c r="C20" s="23" t="n"/>
      <c r="D20" s="24" t="n">
        <v>65915</v>
      </c>
      <c r="E20" s="24" t="n">
        <v>73244</v>
      </c>
      <c r="F20" s="24" t="n">
        <v>81391</v>
      </c>
      <c r="G20" s="23" t="n"/>
      <c r="H20" s="25" t="n">
        <v>64</v>
      </c>
      <c r="I20" s="25" t="n">
        <v>68</v>
      </c>
      <c r="J20" s="25" t="n">
        <v>72</v>
      </c>
      <c r="K20" s="23" t="n"/>
      <c r="L20" s="26" t="n">
        <v>0.1112098028603077</v>
      </c>
      <c r="M20" s="26" t="n">
        <v>0.06066017177982119</v>
      </c>
      <c r="N20" s="27" t="n">
        <v>0.5584806514710636</v>
      </c>
    </row>
    <row r="21">
      <c r="B21" s="22" t="inlineStr">
        <is>
          <t>Lyon</t>
        </is>
      </c>
      <c r="C21" s="23" t="n"/>
      <c r="D21" s="24" t="n">
        <v>83697</v>
      </c>
      <c r="E21" s="24" t="n">
        <v>93237</v>
      </c>
      <c r="F21" s="24" t="n">
        <v>103873</v>
      </c>
      <c r="G21" s="23" t="n"/>
      <c r="H21" s="25" t="n">
        <v>82</v>
      </c>
      <c r="I21" s="25" t="n">
        <v>86</v>
      </c>
      <c r="J21" s="25" t="n">
        <v>92</v>
      </c>
      <c r="K21" s="23" t="n"/>
      <c r="L21" s="26" t="n">
        <v>0.1140287312715387</v>
      </c>
      <c r="M21" s="26" t="n">
        <v>0.05922198783455923</v>
      </c>
      <c r="N21" s="27" t="n">
        <v>0.5328242878121278</v>
      </c>
    </row>
    <row r="22">
      <c r="B22" s="16" t="inlineStr">
        <is>
          <t>Tunon</t>
        </is>
      </c>
      <c r="C22" s="17" t="n"/>
      <c r="D22" s="18" t="n">
        <v>79872</v>
      </c>
      <c r="E22" s="18" t="n">
        <v>86606</v>
      </c>
      <c r="F22" s="18" t="n">
        <v>93930</v>
      </c>
      <c r="G22" s="17" t="n"/>
      <c r="H22" s="19" t="n">
        <v>78</v>
      </c>
      <c r="I22" s="19" t="n">
        <v>82</v>
      </c>
      <c r="J22" s="19" t="n">
        <v>87</v>
      </c>
      <c r="K22" s="17" t="n"/>
      <c r="L22" s="20" t="n">
        <v>0.08443838486883304</v>
      </c>
      <c r="M22" s="20" t="n">
        <v>0.05611770905738322</v>
      </c>
      <c r="N22" s="21" t="n">
        <v>0.6735792929202667</v>
      </c>
    </row>
    <row r="23">
      <c r="B23" s="22" t="inlineStr">
        <is>
          <t>Lyon</t>
        </is>
      </c>
      <c r="C23" s="23" t="n"/>
      <c r="D23" s="24" t="n">
        <v>35799</v>
      </c>
      <c r="E23" s="24" t="n">
        <v>38686</v>
      </c>
      <c r="F23" s="24" t="n">
        <v>41817</v>
      </c>
      <c r="G23" s="23" t="n"/>
      <c r="H23" s="25" t="n">
        <v>36</v>
      </c>
      <c r="I23" s="25" t="n">
        <v>38</v>
      </c>
      <c r="J23" s="25" t="n">
        <v>40</v>
      </c>
      <c r="K23" s="23" t="n"/>
      <c r="L23" s="26" t="n">
        <v>0.08078918126372514</v>
      </c>
      <c r="M23" s="26" t="n">
        <v>0.05409255338945984</v>
      </c>
      <c r="N23" s="27" t="n">
        <v>0.6780588856991738</v>
      </c>
    </row>
    <row r="24">
      <c r="B24" s="22" t="inlineStr">
        <is>
          <t>Paris</t>
        </is>
      </c>
      <c r="C24" s="23" t="n"/>
      <c r="D24" s="24" t="n">
        <v>44073</v>
      </c>
      <c r="E24" s="24" t="n">
        <v>47920</v>
      </c>
      <c r="F24" s="24" t="n">
        <v>52113</v>
      </c>
      <c r="G24" s="23" t="n"/>
      <c r="H24" s="25" t="n">
        <v>42</v>
      </c>
      <c r="I24" s="25" t="n">
        <v>44</v>
      </c>
      <c r="J24" s="25" t="n">
        <v>47</v>
      </c>
      <c r="K24" s="23" t="n"/>
      <c r="L24" s="26" t="n">
        <v>0.08739349534061192</v>
      </c>
      <c r="M24" s="26" t="n">
        <v>0.0578504710249077</v>
      </c>
      <c r="N24" s="27" t="n">
        <v>0.6712863952870448</v>
      </c>
    </row>
    <row r="25">
      <c r="B25" s="28" t="inlineStr">
        <is>
          <t>GROUPE</t>
        </is>
      </c>
      <c r="C25" s="29" t="n"/>
      <c r="D25" s="30" t="n">
        <v>858745</v>
      </c>
      <c r="E25" s="30" t="n">
        <v>974869</v>
      </c>
      <c r="F25" s="30" t="n">
        <v>1110518</v>
      </c>
      <c r="G25" s="29" t="n"/>
      <c r="H25" s="31" t="n">
        <v>1092</v>
      </c>
      <c r="I25" s="31" t="n">
        <v>1159</v>
      </c>
      <c r="J25" s="31" t="n">
        <v>1229</v>
      </c>
      <c r="K25" s="29" t="n"/>
      <c r="L25" s="32" t="n">
        <v>0.1371838686056406</v>
      </c>
      <c r="M25" s="32" t="n">
        <v>0.06087599438288516</v>
      </c>
      <c r="N25" s="33" t="n">
        <v>0.4596433807013639</v>
      </c>
    </row>
    <row r="27">
      <c r="B27" s="7" t="inlineStr">
        <is>
          <t>Comment la lire</t>
        </is>
      </c>
      <c r="C27" s="8" t="n"/>
      <c r="D27" s="8" t="n"/>
      <c r="E27" s="8" t="n"/>
      <c r="F27" s="8" t="n"/>
      <c r="G27" s="8" t="n"/>
      <c r="H27" s="8" t="n"/>
      <c r="I27" s="8" t="n"/>
      <c r="J27" s="8" t="n"/>
      <c r="K27" s="8" t="n"/>
      <c r="L27" s="8" t="n"/>
      <c r="M27" s="8" t="n"/>
      <c r="N27" s="8" t="n"/>
    </row>
    <row r="28">
      <c r="B28" s="3" t="inlineStr">
        <is>
          <t>Une élasticité de 0.46 veut dire : +1 % de budget marketing donne +0.46 % d'inscrits.</t>
        </is>
      </c>
    </row>
    <row r="29">
      <c r="B29" s="3" t="inlineStr">
        <is>
          <t>Elle est INFÉRIEURE À 1 partout : le volume monte toujours, mais moins vite que la dépense. C'est le rendement décroissant, et il se mesure.</t>
        </is>
      </c>
    </row>
    <row r="30">
      <c r="B30" s="3" t="inlineStr">
        <is>
          <t>Elle varie de 0.27 à 0.73 selon le campus. Les marchés les plus disputés sont ceux où le prochain euro travaille le moins.</t>
        </is>
      </c>
    </row>
    <row r="31">
      <c r="B31" s="3" t="inlineStr">
        <is>
          <t>La valeur groupe de 0.46 n'est qu'un repère : un budget se décide campus par campus.</t>
        </is>
      </c>
    </row>
    <row r="32">
      <c r="B32" s="3" t="inlineStr">
        <is>
          <t>Une élasticité ne se moyenne pas. Celle d'une marque n'est pas la moyenne de ses campus : elle est recalculée sur le budget et les inscrits de la marque entière, exactement comme un indice base 100.</t>
        </is>
      </c>
    </row>
  </sheetData>
  <pageMargins left="0.75" right="0.75" top="1" bottom="1" header="0.5" footer="0.5"/>
</worksheet>
</file>

<file path=xl/worksheets/sheet3.xml><?xml version="1.0" encoding="utf-8"?>
<worksheet xmlns="http://schemas.openxmlformats.org/spreadsheetml/2006/main">
  <sheetPr>
    <tabColor rgb="00007AC3"/>
    <outlinePr summaryBelow="1" summaryRight="1"/>
    <pageSetUpPr/>
  </sheetPr>
  <dimension ref="A1:K19"/>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24" customWidth="1" min="2" max="2"/>
    <col width="15" customWidth="1" min="3" max="3"/>
    <col width="15" customWidth="1" min="4" max="4"/>
    <col width="13" customWidth="1" min="5" max="5"/>
    <col width="3" customWidth="1" min="6" max="6"/>
    <col width="24" customWidth="1" min="7" max="7"/>
    <col width="15" customWidth="1" min="8" max="8"/>
    <col width="15" customWidth="1" min="9" max="9"/>
    <col width="13" customWidth="1" min="10" max="10"/>
    <col width="2" customWidth="1" min="11" max="11"/>
  </cols>
  <sheetData>
    <row r="1" ht="26" customHeight="1">
      <c r="A1" s="1" t="n"/>
      <c r="B1" s="2" t="inlineStr">
        <is>
          <t>COMBIEN DE BUDGET POUR COMBIEN D'INSCRITS</t>
        </is>
      </c>
      <c r="C1" s="1" t="n"/>
      <c r="D1" s="1" t="n"/>
      <c r="E1" s="1" t="n"/>
      <c r="F1" s="1" t="n"/>
      <c r="G1" s="1" t="n"/>
      <c r="H1" s="1" t="n"/>
      <c r="I1" s="1" t="n"/>
      <c r="J1" s="1" t="n"/>
      <c r="K1" s="1" t="n"/>
    </row>
    <row r="2">
      <c r="B2" s="3" t="inlineStr">
        <is>
          <t>La même relation, lue dans les deux sens — c'est la question qui se pose en séance</t>
        </is>
      </c>
    </row>
    <row r="4">
      <c r="B4" s="7" t="inlineStr">
        <is>
          <t>JE VEUX TANT D'INSCRITS — IL ME FAUT COMBIEN ?</t>
        </is>
      </c>
      <c r="C4" s="8" t="n"/>
      <c r="D4" s="8" t="n"/>
      <c r="E4" s="8" t="n"/>
      <c r="G4" s="7" t="inlineStr">
        <is>
          <t>JE METS TANT DE BUDGET — J'OBTIENS QUOI ?</t>
        </is>
      </c>
      <c r="H4" s="8" t="n"/>
      <c r="I4" s="8" t="n"/>
      <c r="J4" s="8" t="n"/>
    </row>
    <row r="5" ht="26" customHeight="1">
      <c r="B5" s="13" t="inlineStr">
        <is>
          <t>Objectif</t>
        </is>
      </c>
      <c r="C5" s="15" t="inlineStr">
        <is>
          <t>Inscrits visés</t>
        </is>
      </c>
      <c r="D5" s="15" t="inlineStr">
        <is>
          <t>Budget marketing requis</t>
        </is>
      </c>
      <c r="E5" s="15" t="inlineStr">
        <is>
          <t>Soit</t>
        </is>
      </c>
      <c r="G5" s="13" t="inlineStr">
        <is>
          <t>Budget en plus</t>
        </is>
      </c>
      <c r="H5" s="15" t="inlineStr">
        <is>
          <t>Soit</t>
        </is>
      </c>
      <c r="I5" s="15" t="inlineStr">
        <is>
          <t>Inscrits gagnés</t>
        </is>
      </c>
      <c r="J5" s="15" t="inlineStr">
        <is>
          <t>Coût du
dernier inscrit</t>
        </is>
      </c>
    </row>
    <row r="6">
      <c r="B6" s="34" t="inlineStr">
        <is>
          <t>+3 % d'inscrits</t>
        </is>
      </c>
      <c r="C6" s="35" t="n">
        <v>1265.87</v>
      </c>
      <c r="D6" s="36" t="n">
        <v>1184279.643958725</v>
      </c>
      <c r="E6" s="37" t="n">
        <v>0.06642093505798674</v>
      </c>
      <c r="G6" s="38" t="inlineStr">
        <is>
          <t>+5 % de budget</t>
        </is>
      </c>
      <c r="H6" s="24" t="n">
        <v>55525.9</v>
      </c>
      <c r="I6" s="39" t="n">
        <v>27.87302047739223</v>
      </c>
      <c r="J6" s="24" t="n">
        <v>1992.102005774257</v>
      </c>
    </row>
    <row r="7">
      <c r="B7" s="34" t="inlineStr">
        <is>
          <t>+5 % d'inscrits</t>
        </is>
      </c>
      <c r="C7" s="35" t="n">
        <v>1290.45</v>
      </c>
      <c r="D7" s="36" t="n">
        <v>1234880.790540189</v>
      </c>
      <c r="E7" s="37" t="n">
        <v>0.1119862897676476</v>
      </c>
      <c r="G7" s="38" t="inlineStr">
        <is>
          <t>+10 % de budget</t>
        </is>
      </c>
      <c r="H7" s="24" t="n">
        <v>111051.8</v>
      </c>
      <c r="I7" s="39" t="n">
        <v>55.03764560426482</v>
      </c>
      <c r="J7" s="24" t="n">
        <v>2017.742561127918</v>
      </c>
    </row>
    <row r="8">
      <c r="B8" s="40" t="inlineStr">
        <is>
          <t>+10 % d'inscrits</t>
        </is>
      </c>
      <c r="C8" s="41" t="n">
        <v>1351.9</v>
      </c>
      <c r="D8" s="42" t="n">
        <v>1366405.229813417</v>
      </c>
      <c r="E8" s="43" t="n">
        <v>0.2304215058318888</v>
      </c>
      <c r="G8" s="38" t="inlineStr">
        <is>
          <t>+20 % de budget</t>
        </is>
      </c>
      <c r="H8" s="24" t="n">
        <v>222103.6</v>
      </c>
      <c r="I8" s="39" t="n">
        <v>107.4324693322131</v>
      </c>
      <c r="J8" s="24" t="n">
        <v>2067.378711301793</v>
      </c>
    </row>
    <row r="9">
      <c r="B9" s="34" t="inlineStr">
        <is>
          <t>+15 % d'inscrits</t>
        </is>
      </c>
      <c r="C9" s="35" t="n">
        <v>1413.35</v>
      </c>
      <c r="D9" s="36" t="n">
        <v>1505150.077782079</v>
      </c>
      <c r="E9" s="37" t="n">
        <v>0.3553585604034146</v>
      </c>
      <c r="G9" s="38" t="inlineStr">
        <is>
          <t>+30 % de budget</t>
        </is>
      </c>
      <c r="H9" s="24" t="n">
        <v>333155.4</v>
      </c>
      <c r="I9" s="39" t="n">
        <v>157.5169736441975</v>
      </c>
      <c r="J9" s="24" t="n">
        <v>2115.044444369139</v>
      </c>
    </row>
    <row r="10">
      <c r="B10" s="34" t="inlineStr">
        <is>
          <t>+20 % d'inscrits</t>
        </is>
      </c>
      <c r="C10" s="35" t="n">
        <v>1474.8</v>
      </c>
      <c r="D10" s="36" t="n">
        <v>1651171.93088671</v>
      </c>
      <c r="E10" s="37" t="n">
        <v>0.4868484174832912</v>
      </c>
    </row>
    <row r="11">
      <c r="B11" s="44" t="inlineStr">
        <is>
          <t>budget 2026 de référence</t>
        </is>
      </c>
      <c r="C11" s="45" t="n">
        <v>1229</v>
      </c>
      <c r="D11" s="46" t="n">
        <v>1110518</v>
      </c>
      <c r="E11" s="47" t="n"/>
    </row>
    <row r="14">
      <c r="B14" s="7" t="inlineStr">
        <is>
          <t>CE QUE ÇA DIT DU PROCHAIN INSCRIT</t>
        </is>
      </c>
      <c r="C14" s="8" t="n"/>
      <c r="D14" s="8" t="n"/>
      <c r="E14" s="8" t="n"/>
      <c r="F14" s="8" t="n"/>
      <c r="G14" s="8" t="n"/>
      <c r="H14" s="8" t="n"/>
      <c r="I14" s="8" t="n"/>
      <c r="J14" s="8" t="n"/>
    </row>
    <row r="15">
      <c r="B15" s="48" t="inlineStr">
        <is>
          <t>Coût du prochain inscrit</t>
        </is>
      </c>
      <c r="C15" s="23" t="n"/>
      <c r="D15" s="49" t="n">
        <v>1965.860557233427</v>
      </c>
      <c r="E15" s="23" t="n"/>
    </row>
    <row r="16">
      <c r="B16" s="34" t="inlineStr">
        <is>
          <t>Coût moyen d'un inscrit de 2026</t>
        </is>
      </c>
      <c r="C16" s="23" t="n"/>
      <c r="D16" s="36" t="n">
        <v>903.5947925142392</v>
      </c>
      <c r="E16" s="23" t="n"/>
    </row>
    <row r="17">
      <c r="B17" s="34" t="inlineStr">
        <is>
          <t>Rapport</t>
        </is>
      </c>
      <c r="C17" s="23" t="n"/>
      <c r="D17" s="50" t="n">
        <v>2.175599697474405</v>
      </c>
      <c r="E17" s="23" t="n"/>
    </row>
    <row r="19">
      <c r="B19" s="3" t="inlineStr">
        <is>
          <t>Le coût moyen regarde en arrière : il divise la dépense de 2026 par tous les inscrits de 2026, y compris ceux venus sans qu'on les achète. Le coût du prochain regarde en avant, et c'est le seul qui engage un budget.</t>
        </is>
      </c>
    </row>
  </sheetData>
  <pageMargins left="0.75" right="0.75" top="1" bottom="1" header="0.5" footer="0.5"/>
</worksheet>
</file>

<file path=xl/worksheets/sheet4.xml><?xml version="1.0" encoding="utf-8"?>
<worksheet xmlns="http://schemas.openxmlformats.org/spreadsheetml/2006/main">
  <sheetPr>
    <tabColor rgb="00007AC3"/>
    <outlinePr summaryBelow="1" summaryRight="1"/>
    <pageSetUpPr/>
  </sheetPr>
  <dimension ref="A1:K31"/>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22" customWidth="1" min="2" max="2"/>
    <col width="13" customWidth="1" min="3" max="3"/>
    <col width="13" customWidth="1" min="4" max="4"/>
    <col width="13" customWidth="1" min="5" max="5"/>
    <col width="3" customWidth="1" min="6" max="6"/>
    <col width="13" customWidth="1" min="7" max="7"/>
    <col width="13" customWidth="1" min="8" max="8"/>
    <col width="12" customWidth="1" min="9" max="9"/>
    <col width="13" customWidth="1" min="10" max="10"/>
    <col width="2" customWidth="1" min="11" max="11"/>
  </cols>
  <sheetData>
    <row r="1" ht="26" customHeight="1">
      <c r="A1" s="1" t="n"/>
      <c r="B1" s="2" t="inlineStr">
        <is>
          <t>PLAYBACK — LA MÉTHODE MISE À L'ÉPREUVE</t>
        </is>
      </c>
      <c r="C1" s="1" t="n"/>
      <c r="D1" s="1" t="n"/>
      <c r="E1" s="1" t="n"/>
      <c r="F1" s="1" t="n"/>
      <c r="G1" s="1" t="n"/>
      <c r="H1" s="1" t="n"/>
      <c r="I1" s="1" t="n"/>
      <c r="J1" s="1" t="n"/>
      <c r="K1" s="1" t="n"/>
    </row>
    <row r="2">
      <c r="B2" s="3" t="inlineStr">
        <is>
          <t>On la cale sur 2024-2025 seulement, on lui donne le budget 2026 qu'elle n'a jamais vu</t>
        </is>
      </c>
    </row>
    <row r="3">
      <c r="B3" s="12" t="inlineStr">
        <is>
          <t>Une méthode calée sur trois points et jugée sur ces trois points ne prouve rien. Ici elle n'en voit que deux, et on la juge sur le troisième.</t>
        </is>
      </c>
    </row>
    <row r="5" ht="28" customHeight="1">
      <c r="B5" s="13" t="inlineStr">
        <is>
          <t>Marque · Campus</t>
        </is>
      </c>
      <c r="C5" s="15" t="inlineStr">
        <is>
          <t>Élasticité
calée 24-25</t>
        </is>
      </c>
      <c r="D5" s="15" t="inlineStr">
        <is>
          <t>Budget 2026</t>
        </is>
      </c>
      <c r="E5" s="15" t="inlineStr">
        <is>
          <t>Inscrits
prédits</t>
        </is>
      </c>
      <c r="F5" s="1" t="n"/>
      <c r="G5" s="15" t="inlineStr">
        <is>
          <t>Inscrits
constatés</t>
        </is>
      </c>
      <c r="H5" s="15" t="inlineStr">
        <is>
          <t>Écart</t>
        </is>
      </c>
      <c r="I5" s="15" t="inlineStr">
        <is>
          <t>en %</t>
        </is>
      </c>
      <c r="J5" s="15" t="inlineStr">
        <is>
          <t>Élasticité
sur 3 ans</t>
        </is>
      </c>
    </row>
    <row r="6">
      <c r="B6" s="16" t="inlineStr">
        <is>
          <t>Ipac Bachelor Factory</t>
        </is>
      </c>
      <c r="C6" s="17" t="n"/>
      <c r="D6" s="18" t="n">
        <v>127426</v>
      </c>
      <c r="E6" s="51" t="n">
        <v>130.7521633110886</v>
      </c>
      <c r="F6" s="17" t="n"/>
      <c r="G6" s="19" t="n">
        <v>130</v>
      </c>
      <c r="H6" s="52" t="n">
        <v>0.7521633110886228</v>
      </c>
      <c r="I6" s="53" t="n">
        <v>0.005785871623758654</v>
      </c>
      <c r="J6" s="54" t="n">
        <v>0.2932181850805484</v>
      </c>
    </row>
    <row r="7">
      <c r="B7" s="22" t="inlineStr">
        <is>
          <t>Montpellier</t>
        </is>
      </c>
      <c r="C7" s="55" t="n">
        <v>0.2809383323463766</v>
      </c>
      <c r="D7" s="24" t="n">
        <v>38692</v>
      </c>
      <c r="E7" s="56" t="n">
        <v>40.19993807008715</v>
      </c>
      <c r="F7" s="23" t="n"/>
      <c r="G7" s="25" t="n">
        <v>40</v>
      </c>
      <c r="H7" s="57" t="n">
        <v>0.1999380700871498</v>
      </c>
      <c r="I7" s="58" t="n">
        <v>0.004998451752178834</v>
      </c>
      <c r="J7" s="55" t="n">
        <v>0.2681610365289153</v>
      </c>
    </row>
    <row r="8">
      <c r="B8" s="22" t="inlineStr">
        <is>
          <t>Nantes</t>
        </is>
      </c>
      <c r="C8" s="55" t="n">
        <v>0.3541468766435056</v>
      </c>
      <c r="D8" s="24" t="n">
        <v>49649</v>
      </c>
      <c r="E8" s="56" t="n">
        <v>50.35561776415453</v>
      </c>
      <c r="F8" s="23" t="n"/>
      <c r="G8" s="25" t="n">
        <v>50</v>
      </c>
      <c r="H8" s="57" t="n">
        <v>0.3556177641545304</v>
      </c>
      <c r="I8" s="58" t="n">
        <v>0.00711235528309051</v>
      </c>
      <c r="J8" s="55" t="n">
        <v>0.335409058262757</v>
      </c>
    </row>
    <row r="9">
      <c r="B9" s="22" t="inlineStr">
        <is>
          <t>Rennes</t>
        </is>
      </c>
      <c r="C9" s="55" t="n">
        <v>0.2800153197398466</v>
      </c>
      <c r="D9" s="24" t="n">
        <v>39085</v>
      </c>
      <c r="E9" s="56" t="n">
        <v>40.19660747684694</v>
      </c>
      <c r="F9" s="23" t="n"/>
      <c r="G9" s="25" t="n">
        <v>40</v>
      </c>
      <c r="H9" s="57" t="n">
        <v>0.1966074768469426</v>
      </c>
      <c r="I9" s="58" t="n">
        <v>0.004915186921173653</v>
      </c>
      <c r="J9" s="55" t="n">
        <v>0.2674851548021007</v>
      </c>
    </row>
    <row r="10">
      <c r="B10" s="16" t="inlineStr">
        <is>
          <t>ISCOM</t>
        </is>
      </c>
      <c r="C10" s="17" t="n"/>
      <c r="D10" s="18" t="n">
        <v>283546</v>
      </c>
      <c r="E10" s="51" t="n">
        <v>337.105313909342</v>
      </c>
      <c r="F10" s="17" t="n"/>
      <c r="G10" s="19" t="n">
        <v>338</v>
      </c>
      <c r="H10" s="52" t="n">
        <v>-0.8946860906580127</v>
      </c>
      <c r="I10" s="53" t="n">
        <v>-0.002647000268218958</v>
      </c>
      <c r="J10" s="54" t="n">
        <v>0.6584105484887798</v>
      </c>
    </row>
    <row r="11">
      <c r="B11" s="22" t="inlineStr">
        <is>
          <t>Lille</t>
        </is>
      </c>
      <c r="C11" s="55" t="n">
        <v>0.7519232899022905</v>
      </c>
      <c r="D11" s="24" t="n">
        <v>82638</v>
      </c>
      <c r="E11" s="56" t="n">
        <v>100.4119979625799</v>
      </c>
      <c r="F11" s="23" t="n"/>
      <c r="G11" s="25" t="n">
        <v>100</v>
      </c>
      <c r="H11" s="57" t="n">
        <v>0.4119979625798607</v>
      </c>
      <c r="I11" s="58" t="n">
        <v>0.004119979625798686</v>
      </c>
      <c r="J11" s="55" t="n">
        <v>0.7284910025186127</v>
      </c>
    </row>
    <row r="12">
      <c r="B12" s="22" t="inlineStr">
        <is>
          <t>Paris</t>
        </is>
      </c>
      <c r="C12" s="55" t="n">
        <v>0.6401472357171951</v>
      </c>
      <c r="D12" s="24" t="n">
        <v>123686</v>
      </c>
      <c r="E12" s="56" t="n">
        <v>144.501626309633</v>
      </c>
      <c r="F12" s="23" t="n"/>
      <c r="G12" s="25" t="n">
        <v>144</v>
      </c>
      <c r="H12" s="57" t="n">
        <v>0.5016263096329965</v>
      </c>
      <c r="I12" s="58" t="n">
        <v>0.003483516039118006</v>
      </c>
      <c r="J12" s="55" t="n">
        <v>0.62178876780044</v>
      </c>
    </row>
    <row r="13">
      <c r="B13" s="22" t="inlineStr">
        <is>
          <t>Toulouse</t>
        </is>
      </c>
      <c r="C13" s="55" t="n">
        <v>0.5347218321280449</v>
      </c>
      <c r="D13" s="24" t="n">
        <v>77222</v>
      </c>
      <c r="E13" s="56" t="n">
        <v>92.19168963712913</v>
      </c>
      <c r="F13" s="23" t="n"/>
      <c r="G13" s="25" t="n">
        <v>94</v>
      </c>
      <c r="H13" s="57" t="n">
        <v>-1.80831036287087</v>
      </c>
      <c r="I13" s="58" t="n">
        <v>-0.01923734428586032</v>
      </c>
      <c r="J13" s="55" t="n">
        <v>0.6463499073302056</v>
      </c>
    </row>
    <row r="14">
      <c r="B14" s="16" t="inlineStr">
        <is>
          <t>MBway</t>
        </is>
      </c>
      <c r="C14" s="17" t="n"/>
      <c r="D14" s="18" t="n">
        <v>420352</v>
      </c>
      <c r="E14" s="51" t="n">
        <v>514.65847378534</v>
      </c>
      <c r="F14" s="17" t="n"/>
      <c r="G14" s="19" t="n">
        <v>510</v>
      </c>
      <c r="H14" s="52" t="n">
        <v>4.658473785339993</v>
      </c>
      <c r="I14" s="53" t="n">
        <v>0.009134262324196118</v>
      </c>
      <c r="J14" s="54" t="n">
        <v>0.3812726241540124</v>
      </c>
    </row>
    <row r="15">
      <c r="B15" s="22" t="inlineStr">
        <is>
          <t>Bordeaux</t>
        </is>
      </c>
      <c r="C15" s="55" t="n">
        <v>0.3994478613558369</v>
      </c>
      <c r="D15" s="24" t="n">
        <v>82341</v>
      </c>
      <c r="E15" s="56" t="n">
        <v>102.4896697547777</v>
      </c>
      <c r="F15" s="23" t="n"/>
      <c r="G15" s="25" t="n">
        <v>102</v>
      </c>
      <c r="H15" s="57" t="n">
        <v>0.4896697547776796</v>
      </c>
      <c r="I15" s="58" t="n">
        <v>0.00480068387036936</v>
      </c>
      <c r="J15" s="55" t="n">
        <v>0.3846939851588312</v>
      </c>
    </row>
    <row r="16">
      <c r="B16" s="22" t="inlineStr">
        <is>
          <t>Lyon</t>
        </is>
      </c>
      <c r="C16" s="55" t="n">
        <v>0.3135920399328936</v>
      </c>
      <c r="D16" s="24" t="n">
        <v>107038</v>
      </c>
      <c r="E16" s="56" t="n">
        <v>130.4260459656228</v>
      </c>
      <c r="F16" s="23" t="n"/>
      <c r="G16" s="25" t="n">
        <v>132</v>
      </c>
      <c r="H16" s="57" t="n">
        <v>-1.573954034377238</v>
      </c>
      <c r="I16" s="58" t="n">
        <v>-0.01192389419982753</v>
      </c>
      <c r="J16" s="55" t="n">
        <v>0.3512783848958786</v>
      </c>
    </row>
    <row r="17">
      <c r="B17" s="22" t="inlineStr">
        <is>
          <t>Nantes</t>
        </is>
      </c>
      <c r="C17" s="55" t="n">
        <v>0.4531432518618305</v>
      </c>
      <c r="D17" s="24" t="n">
        <v>97882</v>
      </c>
      <c r="E17" s="56" t="n">
        <v>122.7335186514325</v>
      </c>
      <c r="F17" s="23" t="n"/>
      <c r="G17" s="25" t="n">
        <v>120</v>
      </c>
      <c r="H17" s="57" t="n">
        <v>2.73351865143249</v>
      </c>
      <c r="I17" s="58" t="n">
        <v>0.02277932209527078</v>
      </c>
      <c r="J17" s="55" t="n">
        <v>0.3833444533763089</v>
      </c>
    </row>
    <row r="18">
      <c r="B18" s="22" t="inlineStr">
        <is>
          <t>Paris</t>
        </is>
      </c>
      <c r="C18" s="55" t="n">
        <v>0.4660899527840725</v>
      </c>
      <c r="D18" s="24" t="n">
        <v>133091</v>
      </c>
      <c r="E18" s="56" t="n">
        <v>159.0092394135071</v>
      </c>
      <c r="F18" s="23" t="n"/>
      <c r="G18" s="25" t="n">
        <v>156</v>
      </c>
      <c r="H18" s="57" t="n">
        <v>3.009239413507117</v>
      </c>
      <c r="I18" s="58" t="n">
        <v>0.01928999624043026</v>
      </c>
      <c r="J18" s="55" t="n">
        <v>0.4029864862912579</v>
      </c>
    </row>
    <row r="19">
      <c r="B19" s="16" t="inlineStr">
        <is>
          <t>Pigier</t>
        </is>
      </c>
      <c r="C19" s="17" t="n"/>
      <c r="D19" s="18" t="n">
        <v>185264</v>
      </c>
      <c r="E19" s="51" t="n">
        <v>162.4500010815092</v>
      </c>
      <c r="F19" s="17" t="n"/>
      <c r="G19" s="19" t="n">
        <v>164</v>
      </c>
      <c r="H19" s="52" t="n">
        <v>-1.549998918490815</v>
      </c>
      <c r="I19" s="53" t="n">
        <v>-0.009451212917626961</v>
      </c>
      <c r="J19" s="54" t="n">
        <v>0.5439442331431826</v>
      </c>
    </row>
    <row r="20">
      <c r="B20" s="22" t="inlineStr">
        <is>
          <t>Bordeaux</t>
        </is>
      </c>
      <c r="C20" s="55" t="n">
        <v>0.5750208600037281</v>
      </c>
      <c r="D20" s="24" t="n">
        <v>81391</v>
      </c>
      <c r="E20" s="56" t="n">
        <v>72.25158158027925</v>
      </c>
      <c r="F20" s="23" t="n"/>
      <c r="G20" s="25" t="n">
        <v>72</v>
      </c>
      <c r="H20" s="57" t="n">
        <v>0.2515815802792503</v>
      </c>
      <c r="I20" s="58" t="n">
        <v>0.003494188614989513</v>
      </c>
      <c r="J20" s="55" t="n">
        <v>0.5584806514710636</v>
      </c>
    </row>
    <row r="21">
      <c r="B21" s="22" t="inlineStr">
        <is>
          <t>Lyon</t>
        </is>
      </c>
      <c r="C21" s="55" t="n">
        <v>0.4412394417202615</v>
      </c>
      <c r="D21" s="24" t="n">
        <v>103873</v>
      </c>
      <c r="E21" s="56" t="n">
        <v>90.19841950122994</v>
      </c>
      <c r="F21" s="23" t="n"/>
      <c r="G21" s="25" t="n">
        <v>92</v>
      </c>
      <c r="H21" s="57" t="n">
        <v>-1.801580498770065</v>
      </c>
      <c r="I21" s="58" t="n">
        <v>-0.01958239672576156</v>
      </c>
      <c r="J21" s="55" t="n">
        <v>0.5328242878121278</v>
      </c>
    </row>
    <row r="22">
      <c r="B22" s="16" t="inlineStr">
        <is>
          <t>Tunon</t>
        </is>
      </c>
      <c r="C22" s="17" t="n"/>
      <c r="D22" s="18" t="n">
        <v>93930</v>
      </c>
      <c r="E22" s="51" t="n">
        <v>86.21884541051404</v>
      </c>
      <c r="F22" s="17" t="n"/>
      <c r="G22" s="19" t="n">
        <v>87</v>
      </c>
      <c r="H22" s="52" t="n">
        <v>-0.7811545894859648</v>
      </c>
      <c r="I22" s="53" t="n">
        <v>-0.008978788384896186</v>
      </c>
      <c r="J22" s="54" t="n">
        <v>0.6735792929202667</v>
      </c>
    </row>
    <row r="23">
      <c r="B23" s="22" t="inlineStr">
        <is>
          <t>Lyon</t>
        </is>
      </c>
      <c r="C23" s="55" t="n">
        <v>0.6971214903393114</v>
      </c>
      <c r="D23" s="24" t="n">
        <v>41817</v>
      </c>
      <c r="E23" s="56" t="n">
        <v>40.11858782738466</v>
      </c>
      <c r="F23" s="23" t="n"/>
      <c r="G23" s="25" t="n">
        <v>40</v>
      </c>
      <c r="H23" s="57" t="n">
        <v>0.1185878273846583</v>
      </c>
      <c r="I23" s="58" t="n">
        <v>0.002964695684616547</v>
      </c>
      <c r="J23" s="55" t="n">
        <v>0.6780588856991738</v>
      </c>
    </row>
    <row r="24">
      <c r="B24" s="22" t="inlineStr">
        <is>
          <t>Paris</t>
        </is>
      </c>
      <c r="C24" s="55" t="n">
        <v>0.5558903031090469</v>
      </c>
      <c r="D24" s="24" t="n">
        <v>52113</v>
      </c>
      <c r="E24" s="56" t="n">
        <v>46.10025758312938</v>
      </c>
      <c r="F24" s="23" t="n"/>
      <c r="G24" s="25" t="n">
        <v>47</v>
      </c>
      <c r="H24" s="57" t="n">
        <v>-0.8997424168706232</v>
      </c>
      <c r="I24" s="58" t="n">
        <v>-0.01914345567809839</v>
      </c>
      <c r="J24" s="55" t="n">
        <v>0.6712863952870448</v>
      </c>
    </row>
    <row r="25">
      <c r="B25" s="28" t="inlineStr">
        <is>
          <t>GROUPE</t>
        </is>
      </c>
      <c r="C25" s="59" t="n">
        <v>0.4694960111200531</v>
      </c>
      <c r="D25" s="30" t="n">
        <v>1110518</v>
      </c>
      <c r="E25" s="60" t="n">
        <v>1232.103556776447</v>
      </c>
      <c r="F25" s="29" t="n"/>
      <c r="G25" s="31" t="n">
        <v>1229</v>
      </c>
      <c r="H25" s="61" t="n">
        <v>3.103556776447476</v>
      </c>
      <c r="I25" s="62" t="n">
        <v>0.002525269956425991</v>
      </c>
      <c r="J25" s="59" t="n">
        <v>0.4596433807013639</v>
      </c>
    </row>
    <row r="27">
      <c r="B27" s="7" t="inlineStr">
        <is>
          <t>CE QUE LE TEST ÉTABLIT</t>
        </is>
      </c>
      <c r="C27" s="8" t="n"/>
      <c r="D27" s="8" t="n"/>
      <c r="E27" s="8" t="n"/>
      <c r="F27" s="8" t="n"/>
      <c r="G27" s="8" t="n"/>
      <c r="H27" s="8" t="n"/>
      <c r="I27" s="8" t="n"/>
      <c r="J27" s="8" t="n"/>
    </row>
    <row r="28">
      <c r="B28" s="3" t="inlineStr">
        <is>
          <t>Au niveau du groupe, la méthode rend 1232 inscrits pour 1229 constatés : +0.25 %.</t>
        </is>
      </c>
    </row>
    <row r="29">
      <c r="B29" s="3" t="inlineStr">
        <is>
          <t>Sur les quatorze campus, écart moyen 1.06 %, maximum 2.28 %.</t>
        </is>
      </c>
    </row>
    <row r="30">
      <c r="B30" s="3" t="inlineStr">
        <is>
          <t>L'élasticité calée sur deux points (0.469) et celle calée sur trois (0.460) ne diffèrent que de 2.1 % : la pente est stable, elle ne dépend pas de l'année qu'on lui donne.</t>
        </is>
      </c>
    </row>
    <row r="31">
      <c r="B31" s="3" t="inlineStr">
        <is>
          <t>Ce n'est pas un ajustement rétrospectif : le budget 2026 n'entre nulle part dans le calage.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2026-09-09T23:40:14Z</dcterms:created>
  <dcterms:modified xsi:type="dcterms:W3CDTF">2026-09-09T23:40:14Z</dcterms:modified>
</cp:coreProperties>
</file>