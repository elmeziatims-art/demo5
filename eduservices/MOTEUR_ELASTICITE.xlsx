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 méthode" sheetId="1" state="visible" r:id="rId1"/>
    <sheet name="Le moteur" sheetId="2" state="visible" r:id="rId2"/>
    <sheet name="Historique" sheetId="3" state="visible" r:id="rId3"/>
    <sheet name="Playback" sheetId="4" state="visible" r:id="rId4"/>
    <sheet name="Donn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"/>
    <numFmt numFmtId="166" formatCode="0.000"/>
    <numFmt numFmtId="167" formatCode="+0.00%;-0.00%"/>
    <numFmt numFmtId="168" formatCode="#,##0&quot; €&quot;"/>
    <numFmt numFmtId="169" formatCode="+0.0%;[Red]-0.0%;&quot;—&quot;"/>
    <numFmt numFmtId="170" formatCode="+#,##0.0;[Red]-#,##0.0;&quot;—&quot;"/>
    <numFmt numFmtId="171" formatCode="+#,##0&quot; €&quot;;[Red]-#,##0&quot; €&quot;;&quot;—&quot;"/>
  </numFmts>
  <fonts count="27">
    <font>
      <name val="Calibri"/>
      <family val="2"/>
      <color theme="1"/>
      <sz val="11"/>
      <scheme val="minor"/>
    </font>
    <font>
      <name val="Arial"/>
      <b val="1"/>
      <color rgb="00007AC3"/>
      <sz val="10"/>
    </font>
    <font>
      <name val="Arial"/>
      <i val="1"/>
      <color rgb="006B7075"/>
      <sz val="8"/>
    </font>
    <font>
      <name val="Arial"/>
      <b val="1"/>
      <color rgb="00FFFFFF"/>
      <sz val="7.5"/>
    </font>
    <font>
      <name val="Arial"/>
      <color rgb="00262626"/>
      <sz val="7.5"/>
    </font>
    <font>
      <name val="Arial"/>
      <b val="1"/>
      <color rgb="00262626"/>
      <sz val="7.5"/>
    </font>
    <font>
      <name val="Arial"/>
      <b val="1"/>
      <color rgb="00262626"/>
      <sz val="9"/>
    </font>
    <font>
      <name val="Arial"/>
      <b val="1"/>
      <color rgb="00FFFFFF"/>
      <sz val="13"/>
    </font>
    <font>
      <name val="Arial"/>
      <color rgb="006B7075"/>
      <sz val="8.5"/>
    </font>
    <font>
      <name val="Arial"/>
      <b val="1"/>
      <color rgb="00007AC3"/>
      <sz val="9"/>
    </font>
    <font>
      <name val="Arial"/>
      <b val="1"/>
      <color rgb="00262626"/>
      <sz val="12"/>
    </font>
    <font>
      <name val="Arial"/>
      <b val="1"/>
      <color rgb="00007AC3"/>
      <sz val="8"/>
    </font>
    <font>
      <name val="Arial"/>
      <b val="1"/>
      <color rgb="00FFFFFF"/>
      <sz val="8"/>
    </font>
    <font>
      <name val="Arial"/>
      <color rgb="006B7075"/>
      <sz val="7"/>
    </font>
    <font>
      <name val="Arial"/>
      <b val="1"/>
      <color rgb="00007AC3"/>
      <sz val="9.5"/>
    </font>
    <font>
      <name val="Arial"/>
      <color rgb="00262626"/>
      <sz val="8.5"/>
    </font>
    <font>
      <name val="Arial"/>
      <b val="1"/>
      <color rgb="00262626"/>
      <sz val="10"/>
    </font>
    <font>
      <name val="Arial"/>
      <color rgb="00262626"/>
      <sz val="9"/>
    </font>
    <font>
      <name val="Arial"/>
      <b val="1"/>
      <color rgb="00262626"/>
      <sz val="11"/>
    </font>
    <font>
      <name val="Arial"/>
      <color rgb="006B7075"/>
      <sz val="8"/>
    </font>
    <font>
      <name val="Arial"/>
      <i val="1"/>
      <color rgb="006B7075"/>
      <sz val="8.5"/>
    </font>
    <font>
      <name val="Arial"/>
      <color rgb="00262626"/>
      <sz val="7"/>
    </font>
    <font>
      <name val="Arial"/>
      <b val="1"/>
      <color rgb="00007AC3"/>
      <sz val="12"/>
    </font>
    <font>
      <name val="Arial"/>
      <b val="1"/>
      <color rgb="005F8A17"/>
      <sz val="12"/>
    </font>
    <font>
      <name val="Arial"/>
      <b val="1"/>
      <color rgb="00007AC3"/>
      <sz val="14"/>
    </font>
    <font>
      <name val="Arial"/>
      <b val="1"/>
      <color rgb="00007AC3"/>
      <sz val="11"/>
    </font>
    <font>
      <name val="Arial"/>
      <color rgb="00262626"/>
      <sz val="10"/>
    </font>
  </fonts>
  <fills count="6">
    <fill>
      <patternFill/>
    </fill>
    <fill>
      <patternFill patternType="gray125"/>
    </fill>
    <fill>
      <patternFill patternType="solid">
        <fgColor rgb="00007AC3"/>
      </patternFill>
    </fill>
    <fill>
      <patternFill patternType="solid">
        <fgColor rgb="006B7075"/>
      </patternFill>
    </fill>
    <fill>
      <patternFill patternType="solid">
        <fgColor rgb="00FFF2CC"/>
      </patternFill>
    </fill>
    <fill>
      <patternFill patternType="solid">
        <fgColor rgb="00E8F1F9"/>
      </patternFill>
    </fill>
  </fills>
  <borders count="8">
    <border>
      <left/>
      <right/>
      <top/>
      <bottom/>
      <diagonal/>
    </border>
    <border>
      <bottom style="thin">
        <color rgb="00262626"/>
      </bottom>
    </border>
    <border>
      <bottom style="thin">
        <color rgb="00E7E6E6"/>
      </bottom>
    </border>
    <border>
      <left style="thin">
        <color rgb="00007AC3"/>
      </left>
      <right style="thin">
        <color rgb="00007AC3"/>
      </right>
      <top style="thin">
        <color rgb="00007AC3"/>
      </top>
      <bottom style="thin">
        <color rgb="00007AC3"/>
      </bottom>
    </border>
    <border>
      <bottom style="thin">
        <color rgb="00007AC3"/>
      </bottom>
    </border>
    <border>
      <top style="thin">
        <color rgb="00D5D7DA"/>
      </top>
      <bottom style="thin">
        <color rgb="00D5D7DA"/>
      </bottom>
    </border>
    <border>
      <top style="thin">
        <color rgb="00262626"/>
      </top>
      <bottom style="double">
        <color rgb="00262626"/>
      </bottom>
    </border>
    <border>
      <bottom style="double">
        <color rgb="0026262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4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8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169" fontId="10" fillId="4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center" vertical="center" wrapText="1"/>
    </xf>
    <xf numFmtId="0" fontId="14" fillId="5" borderId="5" applyAlignment="1" pivotButton="0" quotePrefix="0" xfId="0">
      <alignment horizontal="left" vertical="center"/>
    </xf>
    <xf numFmtId="168" fontId="6" fillId="5" borderId="5" applyAlignment="1" pivotButton="0" quotePrefix="0" xfId="0">
      <alignment horizontal="right" vertical="center"/>
    </xf>
    <xf numFmtId="166" fontId="6" fillId="5" borderId="5" applyAlignment="1" pivotButton="0" quotePrefix="0" xfId="0">
      <alignment horizontal="center" vertical="center"/>
    </xf>
    <xf numFmtId="0" fontId="0" fillId="5" borderId="5" pivotButton="0" quotePrefix="0" xfId="0"/>
    <xf numFmtId="3" fontId="6" fillId="5" borderId="5" applyAlignment="1" pivotButton="0" quotePrefix="0" xfId="0">
      <alignment horizontal="right" vertical="center"/>
    </xf>
    <xf numFmtId="164" fontId="6" fillId="5" borderId="5" applyAlignment="1" pivotButton="0" quotePrefix="0" xfId="0">
      <alignment horizontal="right" vertical="center"/>
    </xf>
    <xf numFmtId="170" fontId="6" fillId="5" borderId="5" applyAlignment="1" pivotButton="0" quotePrefix="0" xfId="0">
      <alignment horizontal="right" vertical="center"/>
    </xf>
    <xf numFmtId="171" fontId="6" fillId="5" borderId="5" applyAlignment="1" pivotButton="0" quotePrefix="0" xfId="0">
      <alignment horizontal="right" vertical="center"/>
    </xf>
    <xf numFmtId="0" fontId="13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 indent="3"/>
    </xf>
    <xf numFmtId="168" fontId="15" fillId="0" borderId="2" applyAlignment="1" pivotButton="0" quotePrefix="0" xfId="0">
      <alignment horizontal="right" vertical="center"/>
    </xf>
    <xf numFmtId="166" fontId="15" fillId="0" borderId="2" applyAlignment="1" pivotButton="0" quotePrefix="0" xfId="0">
      <alignment horizontal="center" vertical="center"/>
    </xf>
    <xf numFmtId="0" fontId="0" fillId="0" borderId="2" pivotButton="0" quotePrefix="0" xfId="0"/>
    <xf numFmtId="3" fontId="15" fillId="0" borderId="2" applyAlignment="1" pivotButton="0" quotePrefix="0" xfId="0">
      <alignment horizontal="right" vertical="center"/>
    </xf>
    <xf numFmtId="164" fontId="15" fillId="0" borderId="2" applyAlignment="1" pivotButton="0" quotePrefix="0" xfId="0">
      <alignment horizontal="right" vertical="center"/>
    </xf>
    <xf numFmtId="170" fontId="15" fillId="0" borderId="2" applyAlignment="1" pivotButton="0" quotePrefix="0" xfId="0">
      <alignment horizontal="right" vertical="center"/>
    </xf>
    <xf numFmtId="171" fontId="15" fillId="0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6" applyAlignment="1" pivotButton="0" quotePrefix="0" xfId="0">
      <alignment horizontal="left" vertical="center" indent="1"/>
    </xf>
    <xf numFmtId="168" fontId="16" fillId="0" borderId="6" applyAlignment="1" pivotButton="0" quotePrefix="0" xfId="0">
      <alignment horizontal="right" vertical="center"/>
    </xf>
    <xf numFmtId="166" fontId="16" fillId="0" borderId="6" applyAlignment="1" pivotButton="0" quotePrefix="0" xfId="0">
      <alignment horizontal="center" vertical="center"/>
    </xf>
    <xf numFmtId="0" fontId="0" fillId="0" borderId="6" pivotButton="0" quotePrefix="0" xfId="0"/>
    <xf numFmtId="3" fontId="16" fillId="0" borderId="6" applyAlignment="1" pivotButton="0" quotePrefix="0" xfId="0">
      <alignment horizontal="right" vertical="center"/>
    </xf>
    <xf numFmtId="164" fontId="16" fillId="0" borderId="6" applyAlignment="1" pivotButton="0" quotePrefix="0" xfId="0">
      <alignment horizontal="right" vertical="center"/>
    </xf>
    <xf numFmtId="170" fontId="16" fillId="0" borderId="6" applyAlignment="1" pivotButton="0" quotePrefix="0" xfId="0">
      <alignment horizontal="right" vertical="center"/>
    </xf>
    <xf numFmtId="171" fontId="16" fillId="0" borderId="6" applyAlignment="1" pivotButton="0" quotePrefix="0" xfId="0">
      <alignment horizontal="right" vertical="center"/>
    </xf>
    <xf numFmtId="0" fontId="17" fillId="0" borderId="2" applyAlignment="1" pivotButton="0" quotePrefix="0" xfId="0">
      <alignment horizontal="left" vertical="center" indent="1"/>
    </xf>
    <xf numFmtId="171" fontId="17" fillId="0" borderId="2" applyAlignment="1" pivotButton="0" quotePrefix="0" xfId="0">
      <alignment horizontal="right" vertical="center"/>
    </xf>
    <xf numFmtId="168" fontId="17" fillId="0" borderId="2" applyAlignment="1" pivotButton="0" quotePrefix="0" xfId="0">
      <alignment horizontal="right" vertical="center"/>
    </xf>
    <xf numFmtId="0" fontId="16" fillId="0" borderId="7" applyAlignment="1" pivotButton="0" quotePrefix="0" xfId="0">
      <alignment horizontal="left" vertical="center" indent="1"/>
    </xf>
    <xf numFmtId="0" fontId="0" fillId="0" borderId="7" pivotButton="0" quotePrefix="0" xfId="0"/>
    <xf numFmtId="168" fontId="18" fillId="0" borderId="7" applyAlignment="1" pivotButton="0" quotePrefix="0" xfId="0">
      <alignment horizontal="right" vertical="center"/>
    </xf>
    <xf numFmtId="171" fontId="18" fillId="0" borderId="6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9" fontId="6" fillId="5" borderId="5" applyAlignment="1" pivotButton="0" quotePrefix="0" xfId="0">
      <alignment horizontal="right" vertical="center"/>
    </xf>
    <xf numFmtId="165" fontId="21" fillId="0" borderId="0" pivotButton="0" quotePrefix="0" xfId="0"/>
    <xf numFmtId="166" fontId="21" fillId="0" borderId="0" pivotButton="0" quotePrefix="0" xfId="0"/>
    <xf numFmtId="169" fontId="15" fillId="0" borderId="2" applyAlignment="1" pivotButton="0" quotePrefix="0" xfId="0">
      <alignment horizontal="right" vertical="center"/>
    </xf>
    <xf numFmtId="169" fontId="16" fillId="0" borderId="6" applyAlignment="1" pivotButton="0" quotePrefix="0" xfId="0">
      <alignment horizontal="right" vertical="center"/>
    </xf>
    <xf numFmtId="166" fontId="22" fillId="0" borderId="6" applyAlignment="1" pivotButton="0" quotePrefix="0" xfId="0">
      <alignment horizontal="center" vertical="center"/>
    </xf>
    <xf numFmtId="167" fontId="6" fillId="5" borderId="5" applyAlignment="1" pivotButton="0" quotePrefix="0" xfId="0">
      <alignment horizontal="right" vertical="center"/>
    </xf>
    <xf numFmtId="167" fontId="15" fillId="0" borderId="2" applyAlignment="1" pivotButton="0" quotePrefix="0" xfId="0">
      <alignment horizontal="right" vertical="center"/>
    </xf>
    <xf numFmtId="167" fontId="23" fillId="0" borderId="6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indent="1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8" fontId="6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C3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.6" customWidth="1" min="1" max="1"/>
    <col width="4" customWidth="1" min="2" max="2"/>
    <col width="26" customWidth="1" min="3" max="3"/>
    <col width="94" customWidth="1" min="4" max="4"/>
    <col width="2" customWidth="1" min="5" max="5"/>
  </cols>
  <sheetData>
    <row r="1" ht="26" customHeight="1">
      <c r="A1" s="1" t="n"/>
      <c r="B1" s="2" t="inlineStr">
        <is>
          <t>COMMENT LA PROJECTION EST CONSTRUITE</t>
        </is>
      </c>
      <c r="C1" s="1" t="n"/>
      <c r="D1" s="1" t="n"/>
      <c r="E1" s="1" t="n"/>
    </row>
    <row r="2">
      <c r="B2" s="3" t="inlineStr">
        <is>
          <t>Une seule relation, mesurée sur trois exercices — et ce qu'elle permet de dire</t>
        </is>
      </c>
    </row>
    <row r="4" ht="52" customHeight="1">
      <c r="B4" s="4" t="inlineStr">
        <is>
          <t>1</t>
        </is>
      </c>
      <c r="C4" s="5" t="inlineStr">
        <is>
          <t>On ne prévoit pas,
on construit</t>
        </is>
      </c>
      <c r="D4" s="6" t="inlineStr">
        <is>
          <t>Personne ne devine le nombre d'inscrits de 2027. On part de 2026 et on applique ce que l'historique a mesuré. Deux entrées seulement : le budget marketing, décidé au siège, et les effectifs déjà inscrits, qui poursuivent leur cursus.</t>
        </is>
      </c>
    </row>
    <row r="5" ht="76" customHeight="1">
      <c r="B5" s="4" t="inlineStr">
        <is>
          <t>2</t>
        </is>
      </c>
      <c r="C5" s="5" t="inlineStr">
        <is>
          <t>Ce que dit l'historique :
une élasticité</t>
        </is>
      </c>
      <c r="D5" s="6" t="inlineStr">
        <is>
          <t>Sur 2024-2026, le budget marketing a crû de +13,7 % par an, les inscrits de +6,1 %. Le rapport de ces deux croissances, mesuré en logarithmes, vaut 0,46 sur les totaux du groupe. Autrement dit : +1 % de budget donne +0,46 % d'inscrits. Ce n'est pas une hypothèse posée, c'est une pente relevée sur les comptes — et elle est relevée séparément pour chacun des 14 campus, parce que c'est au campus que le budget se dépense.</t>
        </is>
      </c>
    </row>
    <row r="6" ht="64" customHeight="1">
      <c r="B6" s="4" t="inlineStr">
        <is>
          <t>3</t>
        </is>
      </c>
      <c r="C6" s="5" t="inlineStr">
        <is>
          <t>Pourquoi ce rendement
décroît</t>
        </is>
      </c>
      <c r="D6" s="6" t="inlineStr">
        <is>
          <t>Parce qu'on n'achète pas des inscrits : on achète de l'audience, sur un marché fini, par enchères. Les contacts les moins chers sont pris en premier ; l'euro suivant va chercher des audiences plus larges et plus disputées. Le volume continue de monter, moins vite que la dépense.</t>
        </is>
      </c>
    </row>
    <row r="7" ht="64" customHeight="1">
      <c r="B7" s="4" t="inlineStr">
        <is>
          <t>4</t>
        </is>
      </c>
      <c r="C7" s="5" t="inlineStr">
        <is>
          <t>Ce qu'on n'a PAS eu
à supposer</t>
        </is>
      </c>
      <c r="D7" s="6" t="inlineStr">
        <is>
          <t>Le taux de transformation d'un contact en inscrit est passé de 7,135 % à 7,147 % en trois ans. Sur les 137 inscrits gagnés, 98,5 % viennent du volume de contacts et 1,5 % de la transformation. Le tenir constant ne relève d'aucune hypothèse. Et c'est pour cela qu'il ne faut surtout pas le remultiplier : il est déjà contenu dans l'élasticité.</t>
        </is>
      </c>
    </row>
    <row r="8" ht="64" customHeight="1">
      <c r="B8" s="4" t="inlineStr">
        <is>
          <t>5</t>
        </is>
      </c>
      <c r="C8" s="5" t="inlineStr">
        <is>
          <t>Le marketing n'agit que
sur les entrants</t>
        </is>
      </c>
      <c r="D8" s="6" t="inlineStr">
        <is>
          <t>Les inscrits entrent en première année. Les autres années viennent des cohortes déjà là, qui ne doivent rien au budget de l'exercice. Les entrants pèsent 39,5 % de l'effectif : un moteur qui ferait bouger tout l'effectif avec le budget se tromperait d'un facteur deux et demi.</t>
        </is>
      </c>
    </row>
    <row r="9" ht="52" customHeight="1">
      <c r="B9" s="4" t="inlineStr">
        <is>
          <t>6</t>
        </is>
      </c>
      <c r="C9" s="5" t="inlineStr">
        <is>
          <t>Puis le compte
d'exploitation</t>
        </is>
      </c>
      <c r="D9" s="6" t="inlineStr">
        <is>
          <t>L'effectif rencontre le tarif et donne le chiffre d'affaires. Les charges variables — vacataires, achats d'études, fournitures — le suivent, à 11,74 %. Le reste est tenu constant. Et le budget marketing se retranche : c'est un levier, mais c'est aussi une charge.</t>
        </is>
      </c>
    </row>
    <row r="10" ht="52" customHeight="1">
      <c r="B10" s="4" t="inlineStr">
        <is>
          <t>7</t>
        </is>
      </c>
      <c r="C10" s="5" t="inlineStr">
        <is>
          <t>Et la preuve</t>
        </is>
      </c>
      <c r="D10" s="6" t="inlineStr">
        <is>
          <t>On cale l'élasticité sur 2024 et 2025 uniquement. On lui donne le budget 2026, qu'elle n'a jamais vu. Elle rend 1 232 inscrits ; il y en a eu 1 229. Écart : +0,25 %. Par campus, écart moyen 1,06 %, maximum 2,28 %.</t>
        </is>
      </c>
    </row>
    <row r="12">
      <c r="B12" s="7" t="inlineStr">
        <is>
          <t>LA RELATION, ÉCRITE EN ENTIER</t>
        </is>
      </c>
      <c r="C12" s="8" t="n"/>
      <c r="D12" s="8" t="n"/>
    </row>
    <row r="13" ht="22" customHeight="1">
      <c r="C13" s="9" t="inlineStr">
        <is>
          <t>inscrits 2027</t>
        </is>
      </c>
      <c r="D13" s="10">
        <f>"  =  inscrits 2026  ×  ( budget marketing 2027 ÷ budget marketing 2026 ) ^ "&amp;TEXT(Historique!$M$25,"0.00")</f>
        <v/>
      </c>
    </row>
    <row r="14">
      <c r="D14" s="11">
        <f>"et rien d'autre : le taux de transformation est déjà dans l'exposant. L'élasticité est propre à chaque campus, de "&amp;TEXT(MIN(Historique!$AB$6:$AB$24),"0.00")&amp;" à "&amp;TEXT(MAX(Historique!$AB$6:$AB$24),"0.00")&amp;" ; elle vaut "&amp;TEXT(Historique!$M$25,"0.00")&amp;" sur les totaux du groupe."</f>
        <v/>
      </c>
    </row>
    <row r="16">
      <c r="B16" s="7" t="inlineStr">
        <is>
          <t>PUIS, JUSQU'À L'EBITDA</t>
        </is>
      </c>
      <c r="C16" s="8" t="n"/>
      <c r="D16" s="8" t="n"/>
    </row>
    <row r="17">
      <c r="D17" s="12" t="inlineStr">
        <is>
          <t>chiffre d'affaires  =  effectif  ×  tarif</t>
        </is>
      </c>
    </row>
    <row r="18">
      <c r="D18" s="12" t="inlineStr">
        <is>
          <t>charges variables   =  chiffre d'affaires  ×  11,74 %</t>
        </is>
      </c>
    </row>
    <row r="19">
      <c r="D19" s="13" t="inlineStr">
        <is>
          <t>EBITDA              =  chiffre d'affaires  −  variables  −  budget marketing  − 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AC3"/>
    <outlinePr summaryBelow="1" summaryRight="1"/>
    <pageSetUpPr/>
  </sheetPr>
  <dimension ref="A1:V4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6" customWidth="1" min="1" max="1"/>
    <col width="24" customWidth="1" min="2" max="2"/>
    <col width="13" customWidth="1" min="3" max="3"/>
    <col width="13" customWidth="1" min="4" max="4"/>
    <col width="9" customWidth="1" min="5" max="5"/>
    <col width="3" customWidth="1" min="6" max="6"/>
    <col width="11" customWidth="1" min="7" max="7"/>
    <col width="11" customWidth="1" min="8" max="8"/>
    <col width="10" customWidth="1" min="9" max="9"/>
    <col width="3" customWidth="1" min="10" max="10"/>
    <col width="11" customWidth="1" min="11" max="11"/>
    <col width="11" customWidth="1" min="12" max="12"/>
    <col width="13" customWidth="1" min="13" max="13"/>
    <col width="13" customWidth="1" min="14" max="14"/>
    <col width="3" customWidth="1" min="15" max="15"/>
    <col width="13" customWidth="1" min="16" max="16"/>
    <col width="13" customWidth="1" min="17" max="17"/>
    <col width="13" customWidth="1" min="18" max="18"/>
    <col width="1.6" customWidth="1" min="19" max="19"/>
    <col hidden="1" width="12" customWidth="1" min="20" max="20"/>
    <col hidden="1" width="12" customWidth="1" min="21" max="21"/>
    <col hidden="1" width="12" customWidth="1" min="22" max="22"/>
  </cols>
  <sheetData>
    <row r="1" ht="26" customHeight="1">
      <c r="A1" s="1" t="n"/>
      <c r="B1" s="2" t="inlineStr">
        <is>
          <t>LE MOTEUR — DU BUDGET MARKETING À L'EBITDA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Deux gestes, une élasticité mesurée, et la chaîne complète</t>
        </is>
      </c>
    </row>
    <row r="4">
      <c r="B4" s="7" t="inlineStr">
        <is>
          <t>LE GESTE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</row>
    <row r="5">
      <c r="B5" s="14" t="inlineStr">
        <is>
          <t>Δ budget marketing 2027</t>
        </is>
      </c>
      <c r="D5" s="15" t="n">
        <v>0.137</v>
      </c>
      <c r="E5" s="16" t="inlineStr">
        <is>
          <t>← la tendance des trois derniers exercices</t>
        </is>
      </c>
    </row>
    <row r="6">
      <c r="B6" s="14" t="inlineStr">
        <is>
          <t>Δ tarif 2027</t>
        </is>
      </c>
      <c r="D6" s="15" t="n">
        <v>0.0029</v>
      </c>
      <c r="E6" s="16" t="inlineStr">
        <is>
          <t>← le levier prix du cadrage V01</t>
        </is>
      </c>
    </row>
    <row r="7">
      <c r="B7" s="16" t="inlineStr">
        <is>
          <t>Sur chaque ligne campus :  inscrits 2027  =  inscrits 2026  ×  ( 1 + Δ budget marketing ) ^ élasticité du campus.  Les lignes marque et la ligne groupe sont les sommes de leurs campus.</t>
        </is>
      </c>
    </row>
    <row r="8">
      <c r="C8" s="17" t="inlineStr">
        <is>
          <t>CE QUE VOUS DÉCIDEZ</t>
        </is>
      </c>
      <c r="D8" s="8" t="n"/>
      <c r="E8" s="8" t="n"/>
      <c r="F8" s="8" t="n"/>
      <c r="G8" s="17" t="inlineStr">
        <is>
          <t>CE QUE ÇA DONNE</t>
        </is>
      </c>
      <c r="H8" s="8" t="n"/>
      <c r="I8" s="8" t="n"/>
      <c r="J8" s="8" t="n"/>
      <c r="K8" s="8" t="n"/>
      <c r="L8" s="8" t="n"/>
      <c r="M8" s="17" t="inlineStr">
        <is>
          <t>LE CHIFFRE D'AFFAIRES</t>
        </is>
      </c>
      <c r="N8" s="8" t="n"/>
      <c r="O8" s="8" t="n"/>
      <c r="P8" s="17" t="inlineStr">
        <is>
          <t>L'EBITDA</t>
        </is>
      </c>
      <c r="Q8" s="8" t="n"/>
      <c r="R8" s="8" t="n"/>
    </row>
    <row r="9" ht="30" customHeight="1">
      <c r="B9" s="18" t="inlineStr">
        <is>
          <t>Marque · Campus</t>
        </is>
      </c>
      <c r="C9" s="19" t="inlineStr">
        <is>
          <t>Budget
marketing 2026</t>
        </is>
      </c>
      <c r="D9" s="19" t="inlineStr">
        <is>
          <t>Budget
marketing 2027</t>
        </is>
      </c>
      <c r="E9" s="19" t="inlineStr">
        <is>
          <t>Élasti-
cité</t>
        </is>
      </c>
      <c r="F9" s="1" t="n"/>
      <c r="G9" s="19" t="inlineStr">
        <is>
          <t>Inscrits
2026</t>
        </is>
      </c>
      <c r="H9" s="19" t="inlineStr">
        <is>
          <t>Inscrits
2027</t>
        </is>
      </c>
      <c r="I9" s="19" t="inlineStr">
        <is>
          <t>Δ</t>
        </is>
      </c>
      <c r="J9" s="1" t="n"/>
      <c r="K9" s="19" t="inlineStr">
        <is>
          <t>Effectif
2026</t>
        </is>
      </c>
      <c r="L9" s="19" t="inlineStr">
        <is>
          <t>Effectif
2027</t>
        </is>
      </c>
      <c r="M9" s="19" t="inlineStr">
        <is>
          <t>CA 2026</t>
        </is>
      </c>
      <c r="N9" s="19" t="inlineStr">
        <is>
          <t>CA 2027</t>
        </is>
      </c>
      <c r="O9" s="1" t="n"/>
      <c r="P9" s="19" t="inlineStr">
        <is>
          <t>EBITDA 2026</t>
        </is>
      </c>
      <c r="Q9" s="19" t="inlineStr">
        <is>
          <t>EBITDA 2027</t>
        </is>
      </c>
      <c r="R9" s="19" t="inlineStr">
        <is>
          <t>Δ EBITDA</t>
        </is>
      </c>
    </row>
    <row r="10">
      <c r="B10" s="20" t="inlineStr">
        <is>
          <t>Ipac Bachelor Factory</t>
        </is>
      </c>
      <c r="C10" s="21">
        <f>$C11+$C12+$C13</f>
        <v/>
      </c>
      <c r="D10" s="21">
        <f>$D11+$D12+$D13</f>
        <v/>
      </c>
      <c r="E10" s="22">
        <f>SUMPRODUCT($E$11:$E$13,$G$11:$G$13)/SUM($G$11:$G$13)</f>
        <v/>
      </c>
      <c r="F10" s="23" t="n"/>
      <c r="G10" s="24">
        <f>$G11+$G12+$G13</f>
        <v/>
      </c>
      <c r="H10" s="25">
        <f>$H11+$H12+$H13</f>
        <v/>
      </c>
      <c r="I10" s="26">
        <f>$I11+$I12+$I13</f>
        <v/>
      </c>
      <c r="J10" s="23" t="n"/>
      <c r="K10" s="24">
        <f>$K11+$K12+$K13</f>
        <v/>
      </c>
      <c r="L10" s="25">
        <f>$L11+$L12+$L13</f>
        <v/>
      </c>
      <c r="M10" s="21">
        <f>$M11+$M12+$M13</f>
        <v/>
      </c>
      <c r="N10" s="21">
        <f>$N11+$N12+$N13</f>
        <v/>
      </c>
      <c r="O10" s="23" t="n"/>
      <c r="P10" s="21">
        <f>$P11+$P12+$P13</f>
        <v/>
      </c>
      <c r="Q10" s="21">
        <f>$Q11+$Q12+$Q13</f>
        <v/>
      </c>
      <c r="R10" s="27">
        <f>$R11+$R12+$R13</f>
        <v/>
      </c>
      <c r="T10" s="28" t="inlineStr">
        <is>
          <t>MQ:Ipac Bachelor Factory</t>
        </is>
      </c>
      <c r="U10" s="29">
        <f>$U11+$U12+$U13</f>
        <v/>
      </c>
      <c r="V10" s="29">
        <f>$V11+$V12+$V13</f>
        <v/>
      </c>
    </row>
    <row r="11">
      <c r="B11" s="30" t="inlineStr">
        <is>
          <t>Montpellier</t>
        </is>
      </c>
      <c r="C11" s="31">
        <f>IF(LEFT($T11,3)="MQ:",SUMPRODUCT((Donnees!$B$4:$B$17=MID($T11,4,99))*1,Donnees!$F$4:$F$17),INDEX(Donnees!$F$4:$F$17,MATCH($T11,Donnees!$A$4:$A$17,0)))</f>
        <v/>
      </c>
      <c r="D11" s="31">
        <f>$C11*(1+$D$5)</f>
        <v/>
      </c>
      <c r="E11" s="32">
        <f>INDEX(Historique!$U$1:$U$200,MATCH($T11,Historique!$T$1:$T$200,0))</f>
        <v/>
      </c>
      <c r="F11" s="33" t="n"/>
      <c r="G11" s="34">
        <f>IF(LEFT($T11,3)="MQ:",SUMPRODUCT((Donnees!$B$4:$B$17=MID($T11,4,99))*1,Donnees!$I$4:$I$17),INDEX(Donnees!$I$4:$I$17,MATCH($T11,Donnees!$A$4:$A$17,0)))</f>
        <v/>
      </c>
      <c r="H11" s="35">
        <f>$G11*POWER(1+$D$5,$E11)</f>
        <v/>
      </c>
      <c r="I11" s="36">
        <f>$H11-$G11</f>
        <v/>
      </c>
      <c r="J11" s="33" t="n"/>
      <c r="K11" s="34">
        <f>IF(LEFT($T11,3)="MQ:",SUMPRODUCT((Donnees!$B$4:$B$17=MID($T11,4,99))*1,Donnees!$J$4:$J$17),INDEX(Donnees!$J$4:$J$17,MATCH($T11,Donnees!$A$4:$A$17,0)))</f>
        <v/>
      </c>
      <c r="L11" s="35">
        <f>$K11+$I11</f>
        <v/>
      </c>
      <c r="M11" s="31">
        <f>IF(LEFT($T11,3)="MQ:",SUMPRODUCT((Donnees!$B$4:$B$17=MID($T11,4,99))*1,Donnees!$L$4:$L$17),INDEX(Donnees!$L$4:$L$17,MATCH($T11,Donnees!$A$4:$A$17,0)))</f>
        <v/>
      </c>
      <c r="N11" s="31">
        <f>$L11*($M11/$K11)*(1+$D$6)</f>
        <v/>
      </c>
      <c r="O11" s="33" t="n"/>
      <c r="P11" s="31">
        <f>$M11-$U11-$C11-IF(LEFT($T11,3)="MQ:",SUMPRODUCT((Donnees!$B$4:$B$17=MID($T11,4,99))*1,Donnees!$N$4:$N$17),INDEX(Donnees!$N$4:$N$17,MATCH($T11,Donnees!$A$4:$A$17,0)))</f>
        <v/>
      </c>
      <c r="Q11" s="31">
        <f>$N11-$V11-$D11-IF(LEFT($T11,3)="MQ:",SUMPRODUCT((Donnees!$B$4:$B$17=MID($T11,4,99))*1,Donnees!$N$4:$N$17),INDEX(Donnees!$N$4:$N$17,MATCH($T11,Donnees!$A$4:$A$17,0)))</f>
        <v/>
      </c>
      <c r="R11" s="37">
        <f>$Q11-$P11</f>
        <v/>
      </c>
      <c r="T11" s="28" t="inlineStr">
        <is>
          <t>IPAC_MTP</t>
        </is>
      </c>
      <c r="U11" s="38">
        <f>IF(LEFT($T11,3)="MQ:",SUMPRODUCT((Donnees!$B$4:$B$17=MID($T11,4,99))*1,Donnees!$M$4:$M$17),INDEX(Donnees!$M$4:$M$17,MATCH($T11,Donnees!$A$4:$A$17,0)))</f>
        <v/>
      </c>
      <c r="V11" s="38">
        <f>$U11*($N11/$M11)</f>
        <v/>
      </c>
    </row>
    <row r="12">
      <c r="B12" s="30" t="inlineStr">
        <is>
          <t>Nantes</t>
        </is>
      </c>
      <c r="C12" s="31">
        <f>IF(LEFT($T12,3)="MQ:",SUMPRODUCT((Donnees!$B$4:$B$17=MID($T12,4,99))*1,Donnees!$F$4:$F$17),INDEX(Donnees!$F$4:$F$17,MATCH($T12,Donnees!$A$4:$A$17,0)))</f>
        <v/>
      </c>
      <c r="D12" s="31">
        <f>$C12*(1+$D$5)</f>
        <v/>
      </c>
      <c r="E12" s="32">
        <f>INDEX(Historique!$U$1:$U$200,MATCH($T12,Historique!$T$1:$T$200,0))</f>
        <v/>
      </c>
      <c r="F12" s="33" t="n"/>
      <c r="G12" s="34">
        <f>IF(LEFT($T12,3)="MQ:",SUMPRODUCT((Donnees!$B$4:$B$17=MID($T12,4,99))*1,Donnees!$I$4:$I$17),INDEX(Donnees!$I$4:$I$17,MATCH($T12,Donnees!$A$4:$A$17,0)))</f>
        <v/>
      </c>
      <c r="H12" s="35">
        <f>$G12*POWER(1+$D$5,$E12)</f>
        <v/>
      </c>
      <c r="I12" s="36">
        <f>$H12-$G12</f>
        <v/>
      </c>
      <c r="J12" s="33" t="n"/>
      <c r="K12" s="34">
        <f>IF(LEFT($T12,3)="MQ:",SUMPRODUCT((Donnees!$B$4:$B$17=MID($T12,4,99))*1,Donnees!$J$4:$J$17),INDEX(Donnees!$J$4:$J$17,MATCH($T12,Donnees!$A$4:$A$17,0)))</f>
        <v/>
      </c>
      <c r="L12" s="35">
        <f>$K12+$I12</f>
        <v/>
      </c>
      <c r="M12" s="31">
        <f>IF(LEFT($T12,3)="MQ:",SUMPRODUCT((Donnees!$B$4:$B$17=MID($T12,4,99))*1,Donnees!$L$4:$L$17),INDEX(Donnees!$L$4:$L$17,MATCH($T12,Donnees!$A$4:$A$17,0)))</f>
        <v/>
      </c>
      <c r="N12" s="31">
        <f>$L12*($M12/$K12)*(1+$D$6)</f>
        <v/>
      </c>
      <c r="O12" s="33" t="n"/>
      <c r="P12" s="31">
        <f>$M12-$U12-$C12-IF(LEFT($T12,3)="MQ:",SUMPRODUCT((Donnees!$B$4:$B$17=MID($T12,4,99))*1,Donnees!$N$4:$N$17),INDEX(Donnees!$N$4:$N$17,MATCH($T12,Donnees!$A$4:$A$17,0)))</f>
        <v/>
      </c>
      <c r="Q12" s="31">
        <f>$N12-$V12-$D12-IF(LEFT($T12,3)="MQ:",SUMPRODUCT((Donnees!$B$4:$B$17=MID($T12,4,99))*1,Donnees!$N$4:$N$17),INDEX(Donnees!$N$4:$N$17,MATCH($T12,Donnees!$A$4:$A$17,0)))</f>
        <v/>
      </c>
      <c r="R12" s="37">
        <f>$Q12-$P12</f>
        <v/>
      </c>
      <c r="T12" s="28" t="inlineStr">
        <is>
          <t>IPAC_NAN</t>
        </is>
      </c>
      <c r="U12" s="38">
        <f>IF(LEFT($T12,3)="MQ:",SUMPRODUCT((Donnees!$B$4:$B$17=MID($T12,4,99))*1,Donnees!$M$4:$M$17),INDEX(Donnees!$M$4:$M$17,MATCH($T12,Donnees!$A$4:$A$17,0)))</f>
        <v/>
      </c>
      <c r="V12" s="38">
        <f>$U12*($N12/$M12)</f>
        <v/>
      </c>
    </row>
    <row r="13">
      <c r="B13" s="30" t="inlineStr">
        <is>
          <t>Rennes</t>
        </is>
      </c>
      <c r="C13" s="31">
        <f>IF(LEFT($T13,3)="MQ:",SUMPRODUCT((Donnees!$B$4:$B$17=MID($T13,4,99))*1,Donnees!$F$4:$F$17),INDEX(Donnees!$F$4:$F$17,MATCH($T13,Donnees!$A$4:$A$17,0)))</f>
        <v/>
      </c>
      <c r="D13" s="31">
        <f>$C13*(1+$D$5)</f>
        <v/>
      </c>
      <c r="E13" s="32">
        <f>INDEX(Historique!$U$1:$U$200,MATCH($T13,Historique!$T$1:$T$200,0))</f>
        <v/>
      </c>
      <c r="F13" s="33" t="n"/>
      <c r="G13" s="34">
        <f>IF(LEFT($T13,3)="MQ:",SUMPRODUCT((Donnees!$B$4:$B$17=MID($T13,4,99))*1,Donnees!$I$4:$I$17),INDEX(Donnees!$I$4:$I$17,MATCH($T13,Donnees!$A$4:$A$17,0)))</f>
        <v/>
      </c>
      <c r="H13" s="35">
        <f>$G13*POWER(1+$D$5,$E13)</f>
        <v/>
      </c>
      <c r="I13" s="36">
        <f>$H13-$G13</f>
        <v/>
      </c>
      <c r="J13" s="33" t="n"/>
      <c r="K13" s="34">
        <f>IF(LEFT($T13,3)="MQ:",SUMPRODUCT((Donnees!$B$4:$B$17=MID($T13,4,99))*1,Donnees!$J$4:$J$17),INDEX(Donnees!$J$4:$J$17,MATCH($T13,Donnees!$A$4:$A$17,0)))</f>
        <v/>
      </c>
      <c r="L13" s="35">
        <f>$K13+$I13</f>
        <v/>
      </c>
      <c r="M13" s="31">
        <f>IF(LEFT($T13,3)="MQ:",SUMPRODUCT((Donnees!$B$4:$B$17=MID($T13,4,99))*1,Donnees!$L$4:$L$17),INDEX(Donnees!$L$4:$L$17,MATCH($T13,Donnees!$A$4:$A$17,0)))</f>
        <v/>
      </c>
      <c r="N13" s="31">
        <f>$L13*($M13/$K13)*(1+$D$6)</f>
        <v/>
      </c>
      <c r="O13" s="33" t="n"/>
      <c r="P13" s="31">
        <f>$M13-$U13-$C13-IF(LEFT($T13,3)="MQ:",SUMPRODUCT((Donnees!$B$4:$B$17=MID($T13,4,99))*1,Donnees!$N$4:$N$17),INDEX(Donnees!$N$4:$N$17,MATCH($T13,Donnees!$A$4:$A$17,0)))</f>
        <v/>
      </c>
      <c r="Q13" s="31">
        <f>$N13-$V13-$D13-IF(LEFT($T13,3)="MQ:",SUMPRODUCT((Donnees!$B$4:$B$17=MID($T13,4,99))*1,Donnees!$N$4:$N$17),INDEX(Donnees!$N$4:$N$17,MATCH($T13,Donnees!$A$4:$A$17,0)))</f>
        <v/>
      </c>
      <c r="R13" s="37">
        <f>$Q13-$P13</f>
        <v/>
      </c>
      <c r="T13" s="28" t="inlineStr">
        <is>
          <t>IPAC_REN</t>
        </is>
      </c>
      <c r="U13" s="38">
        <f>IF(LEFT($T13,3)="MQ:",SUMPRODUCT((Donnees!$B$4:$B$17=MID($T13,4,99))*1,Donnees!$M$4:$M$17),INDEX(Donnees!$M$4:$M$17,MATCH($T13,Donnees!$A$4:$A$17,0)))</f>
        <v/>
      </c>
      <c r="V13" s="38">
        <f>$U13*($N13/$M13)</f>
        <v/>
      </c>
    </row>
    <row r="14">
      <c r="B14" s="20" t="inlineStr">
        <is>
          <t>ISCOM</t>
        </is>
      </c>
      <c r="C14" s="21">
        <f>$C15+$C16+$C17</f>
        <v/>
      </c>
      <c r="D14" s="21">
        <f>$D15+$D16+$D17</f>
        <v/>
      </c>
      <c r="E14" s="22">
        <f>SUMPRODUCT($E$15:$E$17,$G$15:$G$17)/SUM($G$15:$G$17)</f>
        <v/>
      </c>
      <c r="F14" s="23" t="n"/>
      <c r="G14" s="24">
        <f>$G15+$G16+$G17</f>
        <v/>
      </c>
      <c r="H14" s="25">
        <f>$H15+$H16+$H17</f>
        <v/>
      </c>
      <c r="I14" s="26">
        <f>$I15+$I16+$I17</f>
        <v/>
      </c>
      <c r="J14" s="23" t="n"/>
      <c r="K14" s="24">
        <f>$K15+$K16+$K17</f>
        <v/>
      </c>
      <c r="L14" s="25">
        <f>$L15+$L16+$L17</f>
        <v/>
      </c>
      <c r="M14" s="21">
        <f>$M15+$M16+$M17</f>
        <v/>
      </c>
      <c r="N14" s="21">
        <f>$N15+$N16+$N17</f>
        <v/>
      </c>
      <c r="O14" s="23" t="n"/>
      <c r="P14" s="21">
        <f>$P15+$P16+$P17</f>
        <v/>
      </c>
      <c r="Q14" s="21">
        <f>$Q15+$Q16+$Q17</f>
        <v/>
      </c>
      <c r="R14" s="27">
        <f>$R15+$R16+$R17</f>
        <v/>
      </c>
      <c r="T14" s="28" t="inlineStr">
        <is>
          <t>MQ:ISCOM</t>
        </is>
      </c>
      <c r="U14" s="29">
        <f>$U15+$U16+$U17</f>
        <v/>
      </c>
      <c r="V14" s="29">
        <f>$V15+$V16+$V17</f>
        <v/>
      </c>
    </row>
    <row r="15">
      <c r="B15" s="30" t="inlineStr">
        <is>
          <t>Lille</t>
        </is>
      </c>
      <c r="C15" s="31">
        <f>IF(LEFT($T15,3)="MQ:",SUMPRODUCT((Donnees!$B$4:$B$17=MID($T15,4,99))*1,Donnees!$F$4:$F$17),INDEX(Donnees!$F$4:$F$17,MATCH($T15,Donnees!$A$4:$A$17,0)))</f>
        <v/>
      </c>
      <c r="D15" s="31">
        <f>$C15*(1+$D$5)</f>
        <v/>
      </c>
      <c r="E15" s="32">
        <f>INDEX(Historique!$U$1:$U$200,MATCH($T15,Historique!$T$1:$T$200,0))</f>
        <v/>
      </c>
      <c r="F15" s="33" t="n"/>
      <c r="G15" s="34">
        <f>IF(LEFT($T15,3)="MQ:",SUMPRODUCT((Donnees!$B$4:$B$17=MID($T15,4,99))*1,Donnees!$I$4:$I$17),INDEX(Donnees!$I$4:$I$17,MATCH($T15,Donnees!$A$4:$A$17,0)))</f>
        <v/>
      </c>
      <c r="H15" s="35">
        <f>$G15*POWER(1+$D$5,$E15)</f>
        <v/>
      </c>
      <c r="I15" s="36">
        <f>$H15-$G15</f>
        <v/>
      </c>
      <c r="J15" s="33" t="n"/>
      <c r="K15" s="34">
        <f>IF(LEFT($T15,3)="MQ:",SUMPRODUCT((Donnees!$B$4:$B$17=MID($T15,4,99))*1,Donnees!$J$4:$J$17),INDEX(Donnees!$J$4:$J$17,MATCH($T15,Donnees!$A$4:$A$17,0)))</f>
        <v/>
      </c>
      <c r="L15" s="35">
        <f>$K15+$I15</f>
        <v/>
      </c>
      <c r="M15" s="31">
        <f>IF(LEFT($T15,3)="MQ:",SUMPRODUCT((Donnees!$B$4:$B$17=MID($T15,4,99))*1,Donnees!$L$4:$L$17),INDEX(Donnees!$L$4:$L$17,MATCH($T15,Donnees!$A$4:$A$17,0)))</f>
        <v/>
      </c>
      <c r="N15" s="31">
        <f>$L15*($M15/$K15)*(1+$D$6)</f>
        <v/>
      </c>
      <c r="O15" s="33" t="n"/>
      <c r="P15" s="31">
        <f>$M15-$U15-$C15-IF(LEFT($T15,3)="MQ:",SUMPRODUCT((Donnees!$B$4:$B$17=MID($T15,4,99))*1,Donnees!$N$4:$N$17),INDEX(Donnees!$N$4:$N$17,MATCH($T15,Donnees!$A$4:$A$17,0)))</f>
        <v/>
      </c>
      <c r="Q15" s="31">
        <f>$N15-$V15-$D15-IF(LEFT($T15,3)="MQ:",SUMPRODUCT((Donnees!$B$4:$B$17=MID($T15,4,99))*1,Donnees!$N$4:$N$17),INDEX(Donnees!$N$4:$N$17,MATCH($T15,Donnees!$A$4:$A$17,0)))</f>
        <v/>
      </c>
      <c r="R15" s="37">
        <f>$Q15-$P15</f>
        <v/>
      </c>
      <c r="T15" s="28" t="inlineStr">
        <is>
          <t>ISCOM_LIL</t>
        </is>
      </c>
      <c r="U15" s="38">
        <f>IF(LEFT($T15,3)="MQ:",SUMPRODUCT((Donnees!$B$4:$B$17=MID($T15,4,99))*1,Donnees!$M$4:$M$17),INDEX(Donnees!$M$4:$M$17,MATCH($T15,Donnees!$A$4:$A$17,0)))</f>
        <v/>
      </c>
      <c r="V15" s="38">
        <f>$U15*($N15/$M15)</f>
        <v/>
      </c>
    </row>
    <row r="16">
      <c r="B16" s="30" t="inlineStr">
        <is>
          <t>Paris</t>
        </is>
      </c>
      <c r="C16" s="31">
        <f>IF(LEFT($T16,3)="MQ:",SUMPRODUCT((Donnees!$B$4:$B$17=MID($T16,4,99))*1,Donnees!$F$4:$F$17),INDEX(Donnees!$F$4:$F$17,MATCH($T16,Donnees!$A$4:$A$17,0)))</f>
        <v/>
      </c>
      <c r="D16" s="31">
        <f>$C16*(1+$D$5)</f>
        <v/>
      </c>
      <c r="E16" s="32">
        <f>INDEX(Historique!$U$1:$U$200,MATCH($T16,Historique!$T$1:$T$200,0))</f>
        <v/>
      </c>
      <c r="F16" s="33" t="n"/>
      <c r="G16" s="34">
        <f>IF(LEFT($T16,3)="MQ:",SUMPRODUCT((Donnees!$B$4:$B$17=MID($T16,4,99))*1,Donnees!$I$4:$I$17),INDEX(Donnees!$I$4:$I$17,MATCH($T16,Donnees!$A$4:$A$17,0)))</f>
        <v/>
      </c>
      <c r="H16" s="35">
        <f>$G16*POWER(1+$D$5,$E16)</f>
        <v/>
      </c>
      <c r="I16" s="36">
        <f>$H16-$G16</f>
        <v/>
      </c>
      <c r="J16" s="33" t="n"/>
      <c r="K16" s="34">
        <f>IF(LEFT($T16,3)="MQ:",SUMPRODUCT((Donnees!$B$4:$B$17=MID($T16,4,99))*1,Donnees!$J$4:$J$17),INDEX(Donnees!$J$4:$J$17,MATCH($T16,Donnees!$A$4:$A$17,0)))</f>
        <v/>
      </c>
      <c r="L16" s="35">
        <f>$K16+$I16</f>
        <v/>
      </c>
      <c r="M16" s="31">
        <f>IF(LEFT($T16,3)="MQ:",SUMPRODUCT((Donnees!$B$4:$B$17=MID($T16,4,99))*1,Donnees!$L$4:$L$17),INDEX(Donnees!$L$4:$L$17,MATCH($T16,Donnees!$A$4:$A$17,0)))</f>
        <v/>
      </c>
      <c r="N16" s="31">
        <f>$L16*($M16/$K16)*(1+$D$6)</f>
        <v/>
      </c>
      <c r="O16" s="33" t="n"/>
      <c r="P16" s="31">
        <f>$M16-$U16-$C16-IF(LEFT($T16,3)="MQ:",SUMPRODUCT((Donnees!$B$4:$B$17=MID($T16,4,99))*1,Donnees!$N$4:$N$17),INDEX(Donnees!$N$4:$N$17,MATCH($T16,Donnees!$A$4:$A$17,0)))</f>
        <v/>
      </c>
      <c r="Q16" s="31">
        <f>$N16-$V16-$D16-IF(LEFT($T16,3)="MQ:",SUMPRODUCT((Donnees!$B$4:$B$17=MID($T16,4,99))*1,Donnees!$N$4:$N$17),INDEX(Donnees!$N$4:$N$17,MATCH($T16,Donnees!$A$4:$A$17,0)))</f>
        <v/>
      </c>
      <c r="R16" s="37">
        <f>$Q16-$P16</f>
        <v/>
      </c>
      <c r="T16" s="28" t="inlineStr">
        <is>
          <t>ISCOM_PAR</t>
        </is>
      </c>
      <c r="U16" s="38">
        <f>IF(LEFT($T16,3)="MQ:",SUMPRODUCT((Donnees!$B$4:$B$17=MID($T16,4,99))*1,Donnees!$M$4:$M$17),INDEX(Donnees!$M$4:$M$17,MATCH($T16,Donnees!$A$4:$A$17,0)))</f>
        <v/>
      </c>
      <c r="V16" s="38">
        <f>$U16*($N16/$M16)</f>
        <v/>
      </c>
    </row>
    <row r="17">
      <c r="B17" s="30" t="inlineStr">
        <is>
          <t>Toulouse</t>
        </is>
      </c>
      <c r="C17" s="31">
        <f>IF(LEFT($T17,3)="MQ:",SUMPRODUCT((Donnees!$B$4:$B$17=MID($T17,4,99))*1,Donnees!$F$4:$F$17),INDEX(Donnees!$F$4:$F$17,MATCH($T17,Donnees!$A$4:$A$17,0)))</f>
        <v/>
      </c>
      <c r="D17" s="31">
        <f>$C17*(1+$D$5)</f>
        <v/>
      </c>
      <c r="E17" s="32">
        <f>INDEX(Historique!$U$1:$U$200,MATCH($T17,Historique!$T$1:$T$200,0))</f>
        <v/>
      </c>
      <c r="F17" s="33" t="n"/>
      <c r="G17" s="34">
        <f>IF(LEFT($T17,3)="MQ:",SUMPRODUCT((Donnees!$B$4:$B$17=MID($T17,4,99))*1,Donnees!$I$4:$I$17),INDEX(Donnees!$I$4:$I$17,MATCH($T17,Donnees!$A$4:$A$17,0)))</f>
        <v/>
      </c>
      <c r="H17" s="35">
        <f>$G17*POWER(1+$D$5,$E17)</f>
        <v/>
      </c>
      <c r="I17" s="36">
        <f>$H17-$G17</f>
        <v/>
      </c>
      <c r="J17" s="33" t="n"/>
      <c r="K17" s="34">
        <f>IF(LEFT($T17,3)="MQ:",SUMPRODUCT((Donnees!$B$4:$B$17=MID($T17,4,99))*1,Donnees!$J$4:$J$17),INDEX(Donnees!$J$4:$J$17,MATCH($T17,Donnees!$A$4:$A$17,0)))</f>
        <v/>
      </c>
      <c r="L17" s="35">
        <f>$K17+$I17</f>
        <v/>
      </c>
      <c r="M17" s="31">
        <f>IF(LEFT($T17,3)="MQ:",SUMPRODUCT((Donnees!$B$4:$B$17=MID($T17,4,99))*1,Donnees!$L$4:$L$17),INDEX(Donnees!$L$4:$L$17,MATCH($T17,Donnees!$A$4:$A$17,0)))</f>
        <v/>
      </c>
      <c r="N17" s="31">
        <f>$L17*($M17/$K17)*(1+$D$6)</f>
        <v/>
      </c>
      <c r="O17" s="33" t="n"/>
      <c r="P17" s="31">
        <f>$M17-$U17-$C17-IF(LEFT($T17,3)="MQ:",SUMPRODUCT((Donnees!$B$4:$B$17=MID($T17,4,99))*1,Donnees!$N$4:$N$17),INDEX(Donnees!$N$4:$N$17,MATCH($T17,Donnees!$A$4:$A$17,0)))</f>
        <v/>
      </c>
      <c r="Q17" s="31">
        <f>$N17-$V17-$D17-IF(LEFT($T17,3)="MQ:",SUMPRODUCT((Donnees!$B$4:$B$17=MID($T17,4,99))*1,Donnees!$N$4:$N$17),INDEX(Donnees!$N$4:$N$17,MATCH($T17,Donnees!$A$4:$A$17,0)))</f>
        <v/>
      </c>
      <c r="R17" s="37">
        <f>$Q17-$P17</f>
        <v/>
      </c>
      <c r="T17" s="28" t="inlineStr">
        <is>
          <t>ISCOM_TLS</t>
        </is>
      </c>
      <c r="U17" s="38">
        <f>IF(LEFT($T17,3)="MQ:",SUMPRODUCT((Donnees!$B$4:$B$17=MID($T17,4,99))*1,Donnees!$M$4:$M$17),INDEX(Donnees!$M$4:$M$17,MATCH($T17,Donnees!$A$4:$A$17,0)))</f>
        <v/>
      </c>
      <c r="V17" s="38">
        <f>$U17*($N17/$M17)</f>
        <v/>
      </c>
    </row>
    <row r="18">
      <c r="B18" s="20" t="inlineStr">
        <is>
          <t>MBway</t>
        </is>
      </c>
      <c r="C18" s="21">
        <f>$C19+$C20+$C21+$C22</f>
        <v/>
      </c>
      <c r="D18" s="21">
        <f>$D19+$D20+$D21+$D22</f>
        <v/>
      </c>
      <c r="E18" s="22">
        <f>SUMPRODUCT($E$19:$E$22,$G$19:$G$22)/SUM($G$19:$G$22)</f>
        <v/>
      </c>
      <c r="F18" s="23" t="n"/>
      <c r="G18" s="24">
        <f>$G19+$G20+$G21+$G22</f>
        <v/>
      </c>
      <c r="H18" s="25">
        <f>$H19+$H20+$H21+$H22</f>
        <v/>
      </c>
      <c r="I18" s="26">
        <f>$I19+$I20+$I21+$I22</f>
        <v/>
      </c>
      <c r="J18" s="23" t="n"/>
      <c r="K18" s="24">
        <f>$K19+$K20+$K21+$K22</f>
        <v/>
      </c>
      <c r="L18" s="25">
        <f>$L19+$L20+$L21+$L22</f>
        <v/>
      </c>
      <c r="M18" s="21">
        <f>$M19+$M20+$M21+$M22</f>
        <v/>
      </c>
      <c r="N18" s="21">
        <f>$N19+$N20+$N21+$N22</f>
        <v/>
      </c>
      <c r="O18" s="23" t="n"/>
      <c r="P18" s="21">
        <f>$P19+$P20+$P21+$P22</f>
        <v/>
      </c>
      <c r="Q18" s="21">
        <f>$Q19+$Q20+$Q21+$Q22</f>
        <v/>
      </c>
      <c r="R18" s="27">
        <f>$R19+$R20+$R21+$R22</f>
        <v/>
      </c>
      <c r="T18" s="28" t="inlineStr">
        <is>
          <t>MQ:MBway</t>
        </is>
      </c>
      <c r="U18" s="29">
        <f>$U19+$U20+$U21+$U22</f>
        <v/>
      </c>
      <c r="V18" s="29">
        <f>$V19+$V20+$V21+$V22</f>
        <v/>
      </c>
    </row>
    <row r="19">
      <c r="B19" s="30" t="inlineStr">
        <is>
          <t>Bordeaux</t>
        </is>
      </c>
      <c r="C19" s="31">
        <f>IF(LEFT($T19,3)="MQ:",SUMPRODUCT((Donnees!$B$4:$B$17=MID($T19,4,99))*1,Donnees!$F$4:$F$17),INDEX(Donnees!$F$4:$F$17,MATCH($T19,Donnees!$A$4:$A$17,0)))</f>
        <v/>
      </c>
      <c r="D19" s="31">
        <f>$C19*(1+$D$5)</f>
        <v/>
      </c>
      <c r="E19" s="32">
        <f>INDEX(Historique!$U$1:$U$200,MATCH($T19,Historique!$T$1:$T$200,0))</f>
        <v/>
      </c>
      <c r="F19" s="33" t="n"/>
      <c r="G19" s="34">
        <f>IF(LEFT($T19,3)="MQ:",SUMPRODUCT((Donnees!$B$4:$B$17=MID($T19,4,99))*1,Donnees!$I$4:$I$17),INDEX(Donnees!$I$4:$I$17,MATCH($T19,Donnees!$A$4:$A$17,0)))</f>
        <v/>
      </c>
      <c r="H19" s="35">
        <f>$G19*POWER(1+$D$5,$E19)</f>
        <v/>
      </c>
      <c r="I19" s="36">
        <f>$H19-$G19</f>
        <v/>
      </c>
      <c r="J19" s="33" t="n"/>
      <c r="K19" s="34">
        <f>IF(LEFT($T19,3)="MQ:",SUMPRODUCT((Donnees!$B$4:$B$17=MID($T19,4,99))*1,Donnees!$J$4:$J$17),INDEX(Donnees!$J$4:$J$17,MATCH($T19,Donnees!$A$4:$A$17,0)))</f>
        <v/>
      </c>
      <c r="L19" s="35">
        <f>$K19+$I19</f>
        <v/>
      </c>
      <c r="M19" s="31">
        <f>IF(LEFT($T19,3)="MQ:",SUMPRODUCT((Donnees!$B$4:$B$17=MID($T19,4,99))*1,Donnees!$L$4:$L$17),INDEX(Donnees!$L$4:$L$17,MATCH($T19,Donnees!$A$4:$A$17,0)))</f>
        <v/>
      </c>
      <c r="N19" s="31">
        <f>$L19*($M19/$K19)*(1+$D$6)</f>
        <v/>
      </c>
      <c r="O19" s="33" t="n"/>
      <c r="P19" s="31">
        <f>$M19-$U19-$C19-IF(LEFT($T19,3)="MQ:",SUMPRODUCT((Donnees!$B$4:$B$17=MID($T19,4,99))*1,Donnees!$N$4:$N$17),INDEX(Donnees!$N$4:$N$17,MATCH($T19,Donnees!$A$4:$A$17,0)))</f>
        <v/>
      </c>
      <c r="Q19" s="31">
        <f>$N19-$V19-$D19-IF(LEFT($T19,3)="MQ:",SUMPRODUCT((Donnees!$B$4:$B$17=MID($T19,4,99))*1,Donnees!$N$4:$N$17),INDEX(Donnees!$N$4:$N$17,MATCH($T19,Donnees!$A$4:$A$17,0)))</f>
        <v/>
      </c>
      <c r="R19" s="37">
        <f>$Q19-$P19</f>
        <v/>
      </c>
      <c r="T19" s="28" t="inlineStr">
        <is>
          <t>MBWAY_BOR</t>
        </is>
      </c>
      <c r="U19" s="38">
        <f>IF(LEFT($T19,3)="MQ:",SUMPRODUCT((Donnees!$B$4:$B$17=MID($T19,4,99))*1,Donnees!$M$4:$M$17),INDEX(Donnees!$M$4:$M$17,MATCH($T19,Donnees!$A$4:$A$17,0)))</f>
        <v/>
      </c>
      <c r="V19" s="38">
        <f>$U19*($N19/$M19)</f>
        <v/>
      </c>
    </row>
    <row r="20">
      <c r="B20" s="30" t="inlineStr">
        <is>
          <t>Lyon</t>
        </is>
      </c>
      <c r="C20" s="31">
        <f>IF(LEFT($T20,3)="MQ:",SUMPRODUCT((Donnees!$B$4:$B$17=MID($T20,4,99))*1,Donnees!$F$4:$F$17),INDEX(Donnees!$F$4:$F$17,MATCH($T20,Donnees!$A$4:$A$17,0)))</f>
        <v/>
      </c>
      <c r="D20" s="31">
        <f>$C20*(1+$D$5)</f>
        <v/>
      </c>
      <c r="E20" s="32">
        <f>INDEX(Historique!$U$1:$U$200,MATCH($T20,Historique!$T$1:$T$200,0))</f>
        <v/>
      </c>
      <c r="F20" s="33" t="n"/>
      <c r="G20" s="34">
        <f>IF(LEFT($T20,3)="MQ:",SUMPRODUCT((Donnees!$B$4:$B$17=MID($T20,4,99))*1,Donnees!$I$4:$I$17),INDEX(Donnees!$I$4:$I$17,MATCH($T20,Donnees!$A$4:$A$17,0)))</f>
        <v/>
      </c>
      <c r="H20" s="35">
        <f>$G20*POWER(1+$D$5,$E20)</f>
        <v/>
      </c>
      <c r="I20" s="36">
        <f>$H20-$G20</f>
        <v/>
      </c>
      <c r="J20" s="33" t="n"/>
      <c r="K20" s="34">
        <f>IF(LEFT($T20,3)="MQ:",SUMPRODUCT((Donnees!$B$4:$B$17=MID($T20,4,99))*1,Donnees!$J$4:$J$17),INDEX(Donnees!$J$4:$J$17,MATCH($T20,Donnees!$A$4:$A$17,0)))</f>
        <v/>
      </c>
      <c r="L20" s="35">
        <f>$K20+$I20</f>
        <v/>
      </c>
      <c r="M20" s="31">
        <f>IF(LEFT($T20,3)="MQ:",SUMPRODUCT((Donnees!$B$4:$B$17=MID($T20,4,99))*1,Donnees!$L$4:$L$17),INDEX(Donnees!$L$4:$L$17,MATCH($T20,Donnees!$A$4:$A$17,0)))</f>
        <v/>
      </c>
      <c r="N20" s="31">
        <f>$L20*($M20/$K20)*(1+$D$6)</f>
        <v/>
      </c>
      <c r="O20" s="33" t="n"/>
      <c r="P20" s="31">
        <f>$M20-$U20-$C20-IF(LEFT($T20,3)="MQ:",SUMPRODUCT((Donnees!$B$4:$B$17=MID($T20,4,99))*1,Donnees!$N$4:$N$17),INDEX(Donnees!$N$4:$N$17,MATCH($T20,Donnees!$A$4:$A$17,0)))</f>
        <v/>
      </c>
      <c r="Q20" s="31">
        <f>$N20-$V20-$D20-IF(LEFT($T20,3)="MQ:",SUMPRODUCT((Donnees!$B$4:$B$17=MID($T20,4,99))*1,Donnees!$N$4:$N$17),INDEX(Donnees!$N$4:$N$17,MATCH($T20,Donnees!$A$4:$A$17,0)))</f>
        <v/>
      </c>
      <c r="R20" s="37">
        <f>$Q20-$P20</f>
        <v/>
      </c>
      <c r="T20" s="28" t="inlineStr">
        <is>
          <t>MBWAY_LYO</t>
        </is>
      </c>
      <c r="U20" s="38">
        <f>IF(LEFT($T20,3)="MQ:",SUMPRODUCT((Donnees!$B$4:$B$17=MID($T20,4,99))*1,Donnees!$M$4:$M$17),INDEX(Donnees!$M$4:$M$17,MATCH($T20,Donnees!$A$4:$A$17,0)))</f>
        <v/>
      </c>
      <c r="V20" s="38">
        <f>$U20*($N20/$M20)</f>
        <v/>
      </c>
    </row>
    <row r="21">
      <c r="B21" s="30" t="inlineStr">
        <is>
          <t>Nantes</t>
        </is>
      </c>
      <c r="C21" s="31">
        <f>IF(LEFT($T21,3)="MQ:",SUMPRODUCT((Donnees!$B$4:$B$17=MID($T21,4,99))*1,Donnees!$F$4:$F$17),INDEX(Donnees!$F$4:$F$17,MATCH($T21,Donnees!$A$4:$A$17,0)))</f>
        <v/>
      </c>
      <c r="D21" s="31">
        <f>$C21*(1+$D$5)</f>
        <v/>
      </c>
      <c r="E21" s="32">
        <f>INDEX(Historique!$U$1:$U$200,MATCH($T21,Historique!$T$1:$T$200,0))</f>
        <v/>
      </c>
      <c r="F21" s="33" t="n"/>
      <c r="G21" s="34">
        <f>IF(LEFT($T21,3)="MQ:",SUMPRODUCT((Donnees!$B$4:$B$17=MID($T21,4,99))*1,Donnees!$I$4:$I$17),INDEX(Donnees!$I$4:$I$17,MATCH($T21,Donnees!$A$4:$A$17,0)))</f>
        <v/>
      </c>
      <c r="H21" s="35">
        <f>$G21*POWER(1+$D$5,$E21)</f>
        <v/>
      </c>
      <c r="I21" s="36">
        <f>$H21-$G21</f>
        <v/>
      </c>
      <c r="J21" s="33" t="n"/>
      <c r="K21" s="34">
        <f>IF(LEFT($T21,3)="MQ:",SUMPRODUCT((Donnees!$B$4:$B$17=MID($T21,4,99))*1,Donnees!$J$4:$J$17),INDEX(Donnees!$J$4:$J$17,MATCH($T21,Donnees!$A$4:$A$17,0)))</f>
        <v/>
      </c>
      <c r="L21" s="35">
        <f>$K21+$I21</f>
        <v/>
      </c>
      <c r="M21" s="31">
        <f>IF(LEFT($T21,3)="MQ:",SUMPRODUCT((Donnees!$B$4:$B$17=MID($T21,4,99))*1,Donnees!$L$4:$L$17),INDEX(Donnees!$L$4:$L$17,MATCH($T21,Donnees!$A$4:$A$17,0)))</f>
        <v/>
      </c>
      <c r="N21" s="31">
        <f>$L21*($M21/$K21)*(1+$D$6)</f>
        <v/>
      </c>
      <c r="O21" s="33" t="n"/>
      <c r="P21" s="31">
        <f>$M21-$U21-$C21-IF(LEFT($T21,3)="MQ:",SUMPRODUCT((Donnees!$B$4:$B$17=MID($T21,4,99))*1,Donnees!$N$4:$N$17),INDEX(Donnees!$N$4:$N$17,MATCH($T21,Donnees!$A$4:$A$17,0)))</f>
        <v/>
      </c>
      <c r="Q21" s="31">
        <f>$N21-$V21-$D21-IF(LEFT($T21,3)="MQ:",SUMPRODUCT((Donnees!$B$4:$B$17=MID($T21,4,99))*1,Donnees!$N$4:$N$17),INDEX(Donnees!$N$4:$N$17,MATCH($T21,Donnees!$A$4:$A$17,0)))</f>
        <v/>
      </c>
      <c r="R21" s="37">
        <f>$Q21-$P21</f>
        <v/>
      </c>
      <c r="T21" s="28" t="inlineStr">
        <is>
          <t>MBWAY_NAN</t>
        </is>
      </c>
      <c r="U21" s="38">
        <f>IF(LEFT($T21,3)="MQ:",SUMPRODUCT((Donnees!$B$4:$B$17=MID($T21,4,99))*1,Donnees!$M$4:$M$17),INDEX(Donnees!$M$4:$M$17,MATCH($T21,Donnees!$A$4:$A$17,0)))</f>
        <v/>
      </c>
      <c r="V21" s="38">
        <f>$U21*($N21/$M21)</f>
        <v/>
      </c>
    </row>
    <row r="22">
      <c r="B22" s="30" t="inlineStr">
        <is>
          <t>Paris</t>
        </is>
      </c>
      <c r="C22" s="31">
        <f>IF(LEFT($T22,3)="MQ:",SUMPRODUCT((Donnees!$B$4:$B$17=MID($T22,4,99))*1,Donnees!$F$4:$F$17),INDEX(Donnees!$F$4:$F$17,MATCH($T22,Donnees!$A$4:$A$17,0)))</f>
        <v/>
      </c>
      <c r="D22" s="31">
        <f>$C22*(1+$D$5)</f>
        <v/>
      </c>
      <c r="E22" s="32">
        <f>INDEX(Historique!$U$1:$U$200,MATCH($T22,Historique!$T$1:$T$200,0))</f>
        <v/>
      </c>
      <c r="F22" s="33" t="n"/>
      <c r="G22" s="34">
        <f>IF(LEFT($T22,3)="MQ:",SUMPRODUCT((Donnees!$B$4:$B$17=MID($T22,4,99))*1,Donnees!$I$4:$I$17),INDEX(Donnees!$I$4:$I$17,MATCH($T22,Donnees!$A$4:$A$17,0)))</f>
        <v/>
      </c>
      <c r="H22" s="35">
        <f>$G22*POWER(1+$D$5,$E22)</f>
        <v/>
      </c>
      <c r="I22" s="36">
        <f>$H22-$G22</f>
        <v/>
      </c>
      <c r="J22" s="33" t="n"/>
      <c r="K22" s="34">
        <f>IF(LEFT($T22,3)="MQ:",SUMPRODUCT((Donnees!$B$4:$B$17=MID($T22,4,99))*1,Donnees!$J$4:$J$17),INDEX(Donnees!$J$4:$J$17,MATCH($T22,Donnees!$A$4:$A$17,0)))</f>
        <v/>
      </c>
      <c r="L22" s="35">
        <f>$K22+$I22</f>
        <v/>
      </c>
      <c r="M22" s="31">
        <f>IF(LEFT($T22,3)="MQ:",SUMPRODUCT((Donnees!$B$4:$B$17=MID($T22,4,99))*1,Donnees!$L$4:$L$17),INDEX(Donnees!$L$4:$L$17,MATCH($T22,Donnees!$A$4:$A$17,0)))</f>
        <v/>
      </c>
      <c r="N22" s="31">
        <f>$L22*($M22/$K22)*(1+$D$6)</f>
        <v/>
      </c>
      <c r="O22" s="33" t="n"/>
      <c r="P22" s="31">
        <f>$M22-$U22-$C22-IF(LEFT($T22,3)="MQ:",SUMPRODUCT((Donnees!$B$4:$B$17=MID($T22,4,99))*1,Donnees!$N$4:$N$17),INDEX(Donnees!$N$4:$N$17,MATCH($T22,Donnees!$A$4:$A$17,0)))</f>
        <v/>
      </c>
      <c r="Q22" s="31">
        <f>$N22-$V22-$D22-IF(LEFT($T22,3)="MQ:",SUMPRODUCT((Donnees!$B$4:$B$17=MID($T22,4,99))*1,Donnees!$N$4:$N$17),INDEX(Donnees!$N$4:$N$17,MATCH($T22,Donnees!$A$4:$A$17,0)))</f>
        <v/>
      </c>
      <c r="R22" s="37">
        <f>$Q22-$P22</f>
        <v/>
      </c>
      <c r="T22" s="28" t="inlineStr">
        <is>
          <t>MBWAY_PAR</t>
        </is>
      </c>
      <c r="U22" s="38">
        <f>IF(LEFT($T22,3)="MQ:",SUMPRODUCT((Donnees!$B$4:$B$17=MID($T22,4,99))*1,Donnees!$M$4:$M$17),INDEX(Donnees!$M$4:$M$17,MATCH($T22,Donnees!$A$4:$A$17,0)))</f>
        <v/>
      </c>
      <c r="V22" s="38">
        <f>$U22*($N22/$M22)</f>
        <v/>
      </c>
    </row>
    <row r="23">
      <c r="B23" s="20" t="inlineStr">
        <is>
          <t>Pigier</t>
        </is>
      </c>
      <c r="C23" s="21">
        <f>$C24+$C25</f>
        <v/>
      </c>
      <c r="D23" s="21">
        <f>$D24+$D25</f>
        <v/>
      </c>
      <c r="E23" s="22">
        <f>SUMPRODUCT($E$24:$E$25,$G$24:$G$25)/SUM($G$24:$G$25)</f>
        <v/>
      </c>
      <c r="F23" s="23" t="n"/>
      <c r="G23" s="24">
        <f>$G24+$G25</f>
        <v/>
      </c>
      <c r="H23" s="25">
        <f>$H24+$H25</f>
        <v/>
      </c>
      <c r="I23" s="26">
        <f>$I24+$I25</f>
        <v/>
      </c>
      <c r="J23" s="23" t="n"/>
      <c r="K23" s="24">
        <f>$K24+$K25</f>
        <v/>
      </c>
      <c r="L23" s="25">
        <f>$L24+$L25</f>
        <v/>
      </c>
      <c r="M23" s="21">
        <f>$M24+$M25</f>
        <v/>
      </c>
      <c r="N23" s="21">
        <f>$N24+$N25</f>
        <v/>
      </c>
      <c r="O23" s="23" t="n"/>
      <c r="P23" s="21">
        <f>$P24+$P25</f>
        <v/>
      </c>
      <c r="Q23" s="21">
        <f>$Q24+$Q25</f>
        <v/>
      </c>
      <c r="R23" s="27">
        <f>$R24+$R25</f>
        <v/>
      </c>
      <c r="T23" s="28" t="inlineStr">
        <is>
          <t>MQ:Pigier</t>
        </is>
      </c>
      <c r="U23" s="29">
        <f>$U24+$U25</f>
        <v/>
      </c>
      <c r="V23" s="29">
        <f>$V24+$V25</f>
        <v/>
      </c>
    </row>
    <row r="24">
      <c r="B24" s="30" t="inlineStr">
        <is>
          <t>Bordeaux</t>
        </is>
      </c>
      <c r="C24" s="31">
        <f>IF(LEFT($T24,3)="MQ:",SUMPRODUCT((Donnees!$B$4:$B$17=MID($T24,4,99))*1,Donnees!$F$4:$F$17),INDEX(Donnees!$F$4:$F$17,MATCH($T24,Donnees!$A$4:$A$17,0)))</f>
        <v/>
      </c>
      <c r="D24" s="31">
        <f>$C24*(1+$D$5)</f>
        <v/>
      </c>
      <c r="E24" s="32">
        <f>INDEX(Historique!$U$1:$U$200,MATCH($T24,Historique!$T$1:$T$200,0))</f>
        <v/>
      </c>
      <c r="F24" s="33" t="n"/>
      <c r="G24" s="34">
        <f>IF(LEFT($T24,3)="MQ:",SUMPRODUCT((Donnees!$B$4:$B$17=MID($T24,4,99))*1,Donnees!$I$4:$I$17),INDEX(Donnees!$I$4:$I$17,MATCH($T24,Donnees!$A$4:$A$17,0)))</f>
        <v/>
      </c>
      <c r="H24" s="35">
        <f>$G24*POWER(1+$D$5,$E24)</f>
        <v/>
      </c>
      <c r="I24" s="36">
        <f>$H24-$G24</f>
        <v/>
      </c>
      <c r="J24" s="33" t="n"/>
      <c r="K24" s="34">
        <f>IF(LEFT($T24,3)="MQ:",SUMPRODUCT((Donnees!$B$4:$B$17=MID($T24,4,99))*1,Donnees!$J$4:$J$17),INDEX(Donnees!$J$4:$J$17,MATCH($T24,Donnees!$A$4:$A$17,0)))</f>
        <v/>
      </c>
      <c r="L24" s="35">
        <f>$K24+$I24</f>
        <v/>
      </c>
      <c r="M24" s="31">
        <f>IF(LEFT($T24,3)="MQ:",SUMPRODUCT((Donnees!$B$4:$B$17=MID($T24,4,99))*1,Donnees!$L$4:$L$17),INDEX(Donnees!$L$4:$L$17,MATCH($T24,Donnees!$A$4:$A$17,0)))</f>
        <v/>
      </c>
      <c r="N24" s="31">
        <f>$L24*($M24/$K24)*(1+$D$6)</f>
        <v/>
      </c>
      <c r="O24" s="33" t="n"/>
      <c r="P24" s="31">
        <f>$M24-$U24-$C24-IF(LEFT($T24,3)="MQ:",SUMPRODUCT((Donnees!$B$4:$B$17=MID($T24,4,99))*1,Donnees!$N$4:$N$17),INDEX(Donnees!$N$4:$N$17,MATCH($T24,Donnees!$A$4:$A$17,0)))</f>
        <v/>
      </c>
      <c r="Q24" s="31">
        <f>$N24-$V24-$D24-IF(LEFT($T24,3)="MQ:",SUMPRODUCT((Donnees!$B$4:$B$17=MID($T24,4,99))*1,Donnees!$N$4:$N$17),INDEX(Donnees!$N$4:$N$17,MATCH($T24,Donnees!$A$4:$A$17,0)))</f>
        <v/>
      </c>
      <c r="R24" s="37">
        <f>$Q24-$P24</f>
        <v/>
      </c>
      <c r="T24" s="28" t="inlineStr">
        <is>
          <t>PIGIER_BOR</t>
        </is>
      </c>
      <c r="U24" s="38">
        <f>IF(LEFT($T24,3)="MQ:",SUMPRODUCT((Donnees!$B$4:$B$17=MID($T24,4,99))*1,Donnees!$M$4:$M$17),INDEX(Donnees!$M$4:$M$17,MATCH($T24,Donnees!$A$4:$A$17,0)))</f>
        <v/>
      </c>
      <c r="V24" s="38">
        <f>$U24*($N24/$M24)</f>
        <v/>
      </c>
    </row>
    <row r="25">
      <c r="B25" s="30" t="inlineStr">
        <is>
          <t>Lyon</t>
        </is>
      </c>
      <c r="C25" s="31">
        <f>IF(LEFT($T25,3)="MQ:",SUMPRODUCT((Donnees!$B$4:$B$17=MID($T25,4,99))*1,Donnees!$F$4:$F$17),INDEX(Donnees!$F$4:$F$17,MATCH($T25,Donnees!$A$4:$A$17,0)))</f>
        <v/>
      </c>
      <c r="D25" s="31">
        <f>$C25*(1+$D$5)</f>
        <v/>
      </c>
      <c r="E25" s="32">
        <f>INDEX(Historique!$U$1:$U$200,MATCH($T25,Historique!$T$1:$T$200,0))</f>
        <v/>
      </c>
      <c r="F25" s="33" t="n"/>
      <c r="G25" s="34">
        <f>IF(LEFT($T25,3)="MQ:",SUMPRODUCT((Donnees!$B$4:$B$17=MID($T25,4,99))*1,Donnees!$I$4:$I$17),INDEX(Donnees!$I$4:$I$17,MATCH($T25,Donnees!$A$4:$A$17,0)))</f>
        <v/>
      </c>
      <c r="H25" s="35">
        <f>$G25*POWER(1+$D$5,$E25)</f>
        <v/>
      </c>
      <c r="I25" s="36">
        <f>$H25-$G25</f>
        <v/>
      </c>
      <c r="J25" s="33" t="n"/>
      <c r="K25" s="34">
        <f>IF(LEFT($T25,3)="MQ:",SUMPRODUCT((Donnees!$B$4:$B$17=MID($T25,4,99))*1,Donnees!$J$4:$J$17),INDEX(Donnees!$J$4:$J$17,MATCH($T25,Donnees!$A$4:$A$17,0)))</f>
        <v/>
      </c>
      <c r="L25" s="35">
        <f>$K25+$I25</f>
        <v/>
      </c>
      <c r="M25" s="31">
        <f>IF(LEFT($T25,3)="MQ:",SUMPRODUCT((Donnees!$B$4:$B$17=MID($T25,4,99))*1,Donnees!$L$4:$L$17),INDEX(Donnees!$L$4:$L$17,MATCH($T25,Donnees!$A$4:$A$17,0)))</f>
        <v/>
      </c>
      <c r="N25" s="31">
        <f>$L25*($M25/$K25)*(1+$D$6)</f>
        <v/>
      </c>
      <c r="O25" s="33" t="n"/>
      <c r="P25" s="31">
        <f>$M25-$U25-$C25-IF(LEFT($T25,3)="MQ:",SUMPRODUCT((Donnees!$B$4:$B$17=MID($T25,4,99))*1,Donnees!$N$4:$N$17),INDEX(Donnees!$N$4:$N$17,MATCH($T25,Donnees!$A$4:$A$17,0)))</f>
        <v/>
      </c>
      <c r="Q25" s="31">
        <f>$N25-$V25-$D25-IF(LEFT($T25,3)="MQ:",SUMPRODUCT((Donnees!$B$4:$B$17=MID($T25,4,99))*1,Donnees!$N$4:$N$17),INDEX(Donnees!$N$4:$N$17,MATCH($T25,Donnees!$A$4:$A$17,0)))</f>
        <v/>
      </c>
      <c r="R25" s="37">
        <f>$Q25-$P25</f>
        <v/>
      </c>
      <c r="T25" s="28" t="inlineStr">
        <is>
          <t>PIGIER_LYO</t>
        </is>
      </c>
      <c r="U25" s="38">
        <f>IF(LEFT($T25,3)="MQ:",SUMPRODUCT((Donnees!$B$4:$B$17=MID($T25,4,99))*1,Donnees!$M$4:$M$17),INDEX(Donnees!$M$4:$M$17,MATCH($T25,Donnees!$A$4:$A$17,0)))</f>
        <v/>
      </c>
      <c r="V25" s="38">
        <f>$U25*($N25/$M25)</f>
        <v/>
      </c>
    </row>
    <row r="26">
      <c r="B26" s="20" t="inlineStr">
        <is>
          <t>Tunon</t>
        </is>
      </c>
      <c r="C26" s="21">
        <f>$C27+$C28</f>
        <v/>
      </c>
      <c r="D26" s="21">
        <f>$D27+$D28</f>
        <v/>
      </c>
      <c r="E26" s="22">
        <f>SUMPRODUCT($E$27:$E$28,$G$27:$G$28)/SUM($G$27:$G$28)</f>
        <v/>
      </c>
      <c r="F26" s="23" t="n"/>
      <c r="G26" s="24">
        <f>$G27+$G28</f>
        <v/>
      </c>
      <c r="H26" s="25">
        <f>$H27+$H28</f>
        <v/>
      </c>
      <c r="I26" s="26">
        <f>$I27+$I28</f>
        <v/>
      </c>
      <c r="J26" s="23" t="n"/>
      <c r="K26" s="24">
        <f>$K27+$K28</f>
        <v/>
      </c>
      <c r="L26" s="25">
        <f>$L27+$L28</f>
        <v/>
      </c>
      <c r="M26" s="21">
        <f>$M27+$M28</f>
        <v/>
      </c>
      <c r="N26" s="21">
        <f>$N27+$N28</f>
        <v/>
      </c>
      <c r="O26" s="23" t="n"/>
      <c r="P26" s="21">
        <f>$P27+$P28</f>
        <v/>
      </c>
      <c r="Q26" s="21">
        <f>$Q27+$Q28</f>
        <v/>
      </c>
      <c r="R26" s="27">
        <f>$R27+$R28</f>
        <v/>
      </c>
      <c r="T26" s="28" t="inlineStr">
        <is>
          <t>MQ:Tunon</t>
        </is>
      </c>
      <c r="U26" s="29">
        <f>$U27+$U28</f>
        <v/>
      </c>
      <c r="V26" s="29">
        <f>$V27+$V28</f>
        <v/>
      </c>
    </row>
    <row r="27">
      <c r="B27" s="30" t="inlineStr">
        <is>
          <t>Lyon</t>
        </is>
      </c>
      <c r="C27" s="31">
        <f>IF(LEFT($T27,3)="MQ:",SUMPRODUCT((Donnees!$B$4:$B$17=MID($T27,4,99))*1,Donnees!$F$4:$F$17),INDEX(Donnees!$F$4:$F$17,MATCH($T27,Donnees!$A$4:$A$17,0)))</f>
        <v/>
      </c>
      <c r="D27" s="31">
        <f>$C27*(1+$D$5)</f>
        <v/>
      </c>
      <c r="E27" s="32">
        <f>INDEX(Historique!$U$1:$U$200,MATCH($T27,Historique!$T$1:$T$200,0))</f>
        <v/>
      </c>
      <c r="F27" s="33" t="n"/>
      <c r="G27" s="34">
        <f>IF(LEFT($T27,3)="MQ:",SUMPRODUCT((Donnees!$B$4:$B$17=MID($T27,4,99))*1,Donnees!$I$4:$I$17),INDEX(Donnees!$I$4:$I$17,MATCH($T27,Donnees!$A$4:$A$17,0)))</f>
        <v/>
      </c>
      <c r="H27" s="35">
        <f>$G27*POWER(1+$D$5,$E27)</f>
        <v/>
      </c>
      <c r="I27" s="36">
        <f>$H27-$G27</f>
        <v/>
      </c>
      <c r="J27" s="33" t="n"/>
      <c r="K27" s="34">
        <f>IF(LEFT($T27,3)="MQ:",SUMPRODUCT((Donnees!$B$4:$B$17=MID($T27,4,99))*1,Donnees!$J$4:$J$17),INDEX(Donnees!$J$4:$J$17,MATCH($T27,Donnees!$A$4:$A$17,0)))</f>
        <v/>
      </c>
      <c r="L27" s="35">
        <f>$K27+$I27</f>
        <v/>
      </c>
      <c r="M27" s="31">
        <f>IF(LEFT($T27,3)="MQ:",SUMPRODUCT((Donnees!$B$4:$B$17=MID($T27,4,99))*1,Donnees!$L$4:$L$17),INDEX(Donnees!$L$4:$L$17,MATCH($T27,Donnees!$A$4:$A$17,0)))</f>
        <v/>
      </c>
      <c r="N27" s="31">
        <f>$L27*($M27/$K27)*(1+$D$6)</f>
        <v/>
      </c>
      <c r="O27" s="33" t="n"/>
      <c r="P27" s="31">
        <f>$M27-$U27-$C27-IF(LEFT($T27,3)="MQ:",SUMPRODUCT((Donnees!$B$4:$B$17=MID($T27,4,99))*1,Donnees!$N$4:$N$17),INDEX(Donnees!$N$4:$N$17,MATCH($T27,Donnees!$A$4:$A$17,0)))</f>
        <v/>
      </c>
      <c r="Q27" s="31">
        <f>$N27-$V27-$D27-IF(LEFT($T27,3)="MQ:",SUMPRODUCT((Donnees!$B$4:$B$17=MID($T27,4,99))*1,Donnees!$N$4:$N$17),INDEX(Donnees!$N$4:$N$17,MATCH($T27,Donnees!$A$4:$A$17,0)))</f>
        <v/>
      </c>
      <c r="R27" s="37">
        <f>$Q27-$P27</f>
        <v/>
      </c>
      <c r="T27" s="28" t="inlineStr">
        <is>
          <t>TUNON_LYO</t>
        </is>
      </c>
      <c r="U27" s="38">
        <f>IF(LEFT($T27,3)="MQ:",SUMPRODUCT((Donnees!$B$4:$B$17=MID($T27,4,99))*1,Donnees!$M$4:$M$17),INDEX(Donnees!$M$4:$M$17,MATCH($T27,Donnees!$A$4:$A$17,0)))</f>
        <v/>
      </c>
      <c r="V27" s="38">
        <f>$U27*($N27/$M27)</f>
        <v/>
      </c>
    </row>
    <row r="28">
      <c r="B28" s="30" t="inlineStr">
        <is>
          <t>Paris</t>
        </is>
      </c>
      <c r="C28" s="31">
        <f>IF(LEFT($T28,3)="MQ:",SUMPRODUCT((Donnees!$B$4:$B$17=MID($T28,4,99))*1,Donnees!$F$4:$F$17),INDEX(Donnees!$F$4:$F$17,MATCH($T28,Donnees!$A$4:$A$17,0)))</f>
        <v/>
      </c>
      <c r="D28" s="31">
        <f>$C28*(1+$D$5)</f>
        <v/>
      </c>
      <c r="E28" s="32">
        <f>INDEX(Historique!$U$1:$U$200,MATCH($T28,Historique!$T$1:$T$200,0))</f>
        <v/>
      </c>
      <c r="F28" s="33" t="n"/>
      <c r="G28" s="34">
        <f>IF(LEFT($T28,3)="MQ:",SUMPRODUCT((Donnees!$B$4:$B$17=MID($T28,4,99))*1,Donnees!$I$4:$I$17),INDEX(Donnees!$I$4:$I$17,MATCH($T28,Donnees!$A$4:$A$17,0)))</f>
        <v/>
      </c>
      <c r="H28" s="35">
        <f>$G28*POWER(1+$D$5,$E28)</f>
        <v/>
      </c>
      <c r="I28" s="36">
        <f>$H28-$G28</f>
        <v/>
      </c>
      <c r="J28" s="33" t="n"/>
      <c r="K28" s="34">
        <f>IF(LEFT($T28,3)="MQ:",SUMPRODUCT((Donnees!$B$4:$B$17=MID($T28,4,99))*1,Donnees!$J$4:$J$17),INDEX(Donnees!$J$4:$J$17,MATCH($T28,Donnees!$A$4:$A$17,0)))</f>
        <v/>
      </c>
      <c r="L28" s="35">
        <f>$K28+$I28</f>
        <v/>
      </c>
      <c r="M28" s="31">
        <f>IF(LEFT($T28,3)="MQ:",SUMPRODUCT((Donnees!$B$4:$B$17=MID($T28,4,99))*1,Donnees!$L$4:$L$17),INDEX(Donnees!$L$4:$L$17,MATCH($T28,Donnees!$A$4:$A$17,0)))</f>
        <v/>
      </c>
      <c r="N28" s="31">
        <f>$L28*($M28/$K28)*(1+$D$6)</f>
        <v/>
      </c>
      <c r="O28" s="33" t="n"/>
      <c r="P28" s="31">
        <f>$M28-$U28-$C28-IF(LEFT($T28,3)="MQ:",SUMPRODUCT((Donnees!$B$4:$B$17=MID($T28,4,99))*1,Donnees!$N$4:$N$17),INDEX(Donnees!$N$4:$N$17,MATCH($T28,Donnees!$A$4:$A$17,0)))</f>
        <v/>
      </c>
      <c r="Q28" s="31">
        <f>$N28-$V28-$D28-IF(LEFT($T28,3)="MQ:",SUMPRODUCT((Donnees!$B$4:$B$17=MID($T28,4,99))*1,Donnees!$N$4:$N$17),INDEX(Donnees!$N$4:$N$17,MATCH($T28,Donnees!$A$4:$A$17,0)))</f>
        <v/>
      </c>
      <c r="R28" s="37">
        <f>$Q28-$P28</f>
        <v/>
      </c>
      <c r="T28" s="28" t="inlineStr">
        <is>
          <t>TUNON_PAR</t>
        </is>
      </c>
      <c r="U28" s="38">
        <f>IF(LEFT($T28,3)="MQ:",SUMPRODUCT((Donnees!$B$4:$B$17=MID($T28,4,99))*1,Donnees!$M$4:$M$17),INDEX(Donnees!$M$4:$M$17,MATCH($T28,Donnees!$A$4:$A$17,0)))</f>
        <v/>
      </c>
      <c r="V28" s="38">
        <f>$U28*($N28/$M28)</f>
        <v/>
      </c>
    </row>
    <row r="29">
      <c r="B29" s="39" t="inlineStr">
        <is>
          <t>GROUPE  ·  avant siège</t>
        </is>
      </c>
      <c r="C29" s="40">
        <f>$C10+$C14+$C18+$C23+$C26</f>
        <v/>
      </c>
      <c r="D29" s="40">
        <f>$D10+$D14+$D18+$D23+$D26</f>
        <v/>
      </c>
      <c r="E29" s="41">
        <f>($E10*$G10+$E14*$G14+$E18*$G18+$E23*$G23+$E26*$G26)/($G10+$G14+$G18+$G23+$G26)</f>
        <v/>
      </c>
      <c r="F29" s="42" t="n"/>
      <c r="G29" s="43">
        <f>$G10+$G14+$G18+$G23+$G26</f>
        <v/>
      </c>
      <c r="H29" s="44">
        <f>$H10+$H14+$H18+$H23+$H26</f>
        <v/>
      </c>
      <c r="I29" s="45">
        <f>$I10+$I14+$I18+$I23+$I26</f>
        <v/>
      </c>
      <c r="J29" s="42" t="n"/>
      <c r="K29" s="43">
        <f>$K10+$K14+$K18+$K23+$K26</f>
        <v/>
      </c>
      <c r="L29" s="44">
        <f>$L10+$L14+$L18+$L23+$L26</f>
        <v/>
      </c>
      <c r="M29" s="40">
        <f>$M10+$M14+$M18+$M23+$M26</f>
        <v/>
      </c>
      <c r="N29" s="40">
        <f>$N10+$N14+$N18+$N23+$N26</f>
        <v/>
      </c>
      <c r="O29" s="42" t="n"/>
      <c r="P29" s="40">
        <f>$P10+$P14+$P18+$P23+$P26</f>
        <v/>
      </c>
      <c r="Q29" s="40">
        <f>$Q10+$Q14+$Q18+$Q23+$Q26</f>
        <v/>
      </c>
      <c r="R29" s="46">
        <f>$R10+$R14+$R18+$R23+$R26</f>
        <v/>
      </c>
      <c r="U29">
        <f>$U10+$U14+$U18+$U23+$U26</f>
        <v/>
      </c>
      <c r="V29">
        <f>$V10+$V14+$V18+$V23+$V26</f>
        <v/>
      </c>
    </row>
    <row r="31">
      <c r="B31" s="7" t="inlineStr">
        <is>
          <t>D'OÙ VIENT L'EFFET SUR L'EBITDA</t>
        </is>
      </c>
      <c r="C31" s="8" t="n"/>
      <c r="D31" s="8" t="n"/>
      <c r="E31" s="8" t="n"/>
      <c r="F31" s="8" t="n"/>
      <c r="G31" s="8" t="n"/>
      <c r="H31" s="8" t="n"/>
      <c r="I31" s="8" t="n"/>
      <c r="K31" s="7" t="inlineStr">
        <is>
          <t>L'EBITDA DU RÉSEAU</t>
        </is>
      </c>
      <c r="L31" s="8" t="n"/>
      <c r="M31" s="8" t="n"/>
      <c r="N31" s="8" t="n"/>
      <c r="O31" s="8" t="n"/>
      <c r="P31" s="8" t="n"/>
      <c r="Q31" s="8" t="n"/>
      <c r="R31" s="8" t="n"/>
    </row>
    <row r="32">
      <c r="B32" s="47" t="inlineStr">
        <is>
          <t>Chiffre d'affaires supplémentaire</t>
        </is>
      </c>
      <c r="C32" s="33" t="n"/>
      <c r="D32" s="33" t="n"/>
      <c r="E32" s="33" t="n"/>
      <c r="F32" s="33" t="n"/>
      <c r="G32" s="33" t="n"/>
      <c r="H32" s="48">
        <f>$N29-$M29</f>
        <v/>
      </c>
      <c r="I32" s="33" t="n"/>
      <c r="K32" s="47" t="inlineStr">
        <is>
          <t>EBITDA avant siège, 2026</t>
        </is>
      </c>
      <c r="L32" s="33" t="n"/>
      <c r="M32" s="33" t="n"/>
      <c r="N32" s="33" t="n"/>
      <c r="O32" s="33" t="n"/>
      <c r="P32" s="33" t="n"/>
      <c r="Q32" s="33" t="n"/>
      <c r="R32" s="49">
        <f>$P29</f>
        <v/>
      </c>
    </row>
    <row r="33">
      <c r="B33" s="47" t="inlineStr">
        <is>
          <t>dont les charges variables consomment</t>
        </is>
      </c>
      <c r="C33" s="33" t="n"/>
      <c r="D33" s="33" t="n"/>
      <c r="E33" s="33" t="n"/>
      <c r="F33" s="33" t="n"/>
      <c r="G33" s="33" t="n"/>
      <c r="H33" s="48">
        <f>-($V29-$U29)</f>
        <v/>
      </c>
      <c r="I33" s="33" t="n"/>
      <c r="K33" s="47" t="inlineStr">
        <is>
          <t>Siège</t>
        </is>
      </c>
      <c r="L33" s="33" t="n"/>
      <c r="M33" s="33" t="n"/>
      <c r="N33" s="33" t="n"/>
      <c r="O33" s="33" t="n"/>
      <c r="P33" s="33" t="n"/>
      <c r="Q33" s="33" t="n"/>
      <c r="R33" s="48">
        <f>-Donnees!$L$19</f>
        <v/>
      </c>
    </row>
    <row r="34">
      <c r="B34" s="47" t="inlineStr">
        <is>
          <t>Budget marketing supplémentaire</t>
        </is>
      </c>
      <c r="C34" s="33" t="n"/>
      <c r="D34" s="33" t="n"/>
      <c r="E34" s="33" t="n"/>
      <c r="F34" s="33" t="n"/>
      <c r="G34" s="33" t="n"/>
      <c r="H34" s="48">
        <f>-($D29-$C29)</f>
        <v/>
      </c>
      <c r="I34" s="33" t="n"/>
      <c r="K34" s="50" t="inlineStr">
        <is>
          <t xml:space="preserve"> = EBITDA réseau 2026</t>
        </is>
      </c>
      <c r="L34" s="51" t="n"/>
      <c r="M34" s="51" t="n"/>
      <c r="N34" s="51" t="n"/>
      <c r="O34" s="51" t="n"/>
      <c r="P34" s="51" t="n"/>
      <c r="Q34" s="51" t="n"/>
      <c r="R34" s="52">
        <f>$R32-Donnees!$L$19</f>
        <v/>
      </c>
    </row>
    <row r="35">
      <c r="B35" s="39" t="inlineStr">
        <is>
          <t xml:space="preserve"> = EFFET SUR L'EBITDA</t>
        </is>
      </c>
      <c r="C35" s="42" t="n"/>
      <c r="D35" s="42" t="n"/>
      <c r="E35" s="42" t="n"/>
      <c r="F35" s="42" t="n"/>
      <c r="G35" s="42" t="n"/>
      <c r="H35" s="53">
        <f>$R29</f>
        <v/>
      </c>
      <c r="I35" s="42" t="n"/>
      <c r="K35" s="50" t="inlineStr">
        <is>
          <t>EBITDA réseau 2027</t>
        </is>
      </c>
      <c r="L35" s="51" t="n"/>
      <c r="M35" s="51" t="n"/>
      <c r="N35" s="51" t="n"/>
      <c r="O35" s="51" t="n"/>
      <c r="P35" s="51" t="n"/>
      <c r="Q35" s="51" t="n"/>
      <c r="R35" s="52">
        <f>$Q29-Donnees!$L$19</f>
        <v/>
      </c>
    </row>
    <row r="36">
      <c r="K36" s="47" t="inlineStr">
        <is>
          <t>écart</t>
        </is>
      </c>
      <c r="L36" s="33" t="n"/>
      <c r="M36" s="33" t="n"/>
      <c r="N36" s="33" t="n"/>
      <c r="O36" s="33" t="n"/>
      <c r="P36" s="33" t="n"/>
      <c r="Q36" s="33" t="n"/>
      <c r="R36" s="48">
        <f>$R35-$R34</f>
        <v/>
      </c>
    </row>
    <row r="38">
      <c r="B38" s="54" t="inlineStr">
        <is>
          <t>Le marketing de 2027 n'agit que sur les ENTRANTS : les autres années viennent de cohortes déjà inscrites, qui ne doivent rien au budget de l'année. Les entrants pèsent 39,5 % de l'effectif.</t>
        </is>
      </c>
    </row>
    <row r="39">
      <c r="B39" s="54" t="inlineStr">
        <is>
          <t>Les charges variables (621 vacataires, 604 achats d'études, 6063 fournitures) suivent le chiffre d'affaires — 11,74 % de celui-ci. Tout le reste est tenu constant : ce moteur porte sur le marketing et le tarif, pas sur les coûts.</t>
        </is>
      </c>
    </row>
    <row r="40">
      <c r="B40" s="54" t="inlineStr">
        <is>
          <t>Le budget marketing est à la fois le levier et une charge. C'est pour cela que l'effet sur l'EBITDA n'est pas la marge sur le chiffre d'affaires supplémentaire, mais cette marge MOINS le budget engagé.</t>
        </is>
      </c>
    </row>
    <row r="41">
      <c r="B41" s="54" t="inlineStr">
        <is>
          <t>L'élasticité vient de l'onglet « Historique », où elle est calculée par régression sur les trois exercices. Elle n'est recopiée nulle part.</t>
        </is>
      </c>
    </row>
    <row r="42">
      <c r="B42" s="54" t="inlineStr">
        <is>
          <t>Le calcul se fait CAMPUS PAR CAMPUS : c'est là qu'une élasticité se mesure, et là que le budget se dépense. Les lignes marque et la ligne groupe sont des sommes — le masque s'additionne. L'élasticité qu'elles affichent n'est donc pas une pente mesurée : c'est la moyenne de leurs campus, pondérée par les inscrits.</t>
        </is>
      </c>
    </row>
  </sheetData>
  <dataValidations count="2">
    <dataValidation sqref="D5" showDropDown="0" showInputMessage="0" showErrorMessage="0" allowBlank="0" type="decimal" operator="between">
      <formula1>-0.5</formula1>
      <formula2>1.0</formula2>
    </dataValidation>
    <dataValidation sqref="D6" showDropDown="0" showInputMessage="0" showErrorMessage="0" allowBlank="0" type="decimal" operator="between">
      <formula1>-0.2</formula1>
      <formula2>0.3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AC3"/>
    <outlinePr summaryBelow="1" summaryRight="1"/>
    <pageSetUpPr/>
  </sheetPr>
  <dimension ref="A1:AB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6" customWidth="1" min="1" max="1"/>
    <col width="22" customWidth="1" min="2" max="2"/>
    <col width="13" customWidth="1" min="3" max="3"/>
    <col width="13" customWidth="1" min="4" max="4"/>
    <col width="13" customWidth="1" min="5" max="5"/>
    <col width="3" customWidth="1" min="6" max="6"/>
    <col width="11" customWidth="1" min="7" max="7"/>
    <col width="11" customWidth="1" min="8" max="8"/>
    <col width="11" customWidth="1" min="9" max="9"/>
    <col width="3" customWidth="1" min="10" max="10"/>
    <col width="12" customWidth="1" min="11" max="11"/>
    <col width="12" customWidth="1" min="12" max="12"/>
    <col width="13" customWidth="1" min="13" max="13"/>
    <col width="1.6" customWidth="1" min="14" max="14"/>
    <col hidden="1" width="11" customWidth="1" min="20" max="20"/>
    <col hidden="1" width="11" customWidth="1" min="21" max="21"/>
    <col hidden="1" width="11" customWidth="1" min="22" max="22"/>
    <col hidden="1" width="11" customWidth="1" min="23" max="23"/>
    <col hidden="1" width="11" customWidth="1" min="24" max="24"/>
    <col hidden="1" width="11" customWidth="1" min="25" max="25"/>
    <col hidden="1" width="11" customWidth="1" min="26" max="26"/>
    <col hidden="1" width="11" customWidth="1" min="27" max="27"/>
    <col hidden="1" width="11" customWidth="1" min="28" max="28"/>
  </cols>
  <sheetData>
    <row r="1" ht="26" customHeight="1">
      <c r="A1" s="1" t="n"/>
      <c r="B1" s="2" t="inlineStr">
        <is>
          <t>CE QUE DIT L'HISTORIQUE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3" t="inlineStr">
        <is>
          <t>Trois exercices, deux colonnes, une pente — mesurée là où le budget se décide</t>
        </is>
      </c>
    </row>
    <row r="3">
      <c r="B3" s="55" t="inlineStr">
        <is>
          <t>L'élasticité est la pente de ln(inscrits) sur ln(budget marketing), calculée par SLOPE sur les colonnes masquées V à AA. Rien n'est recopié.</t>
        </is>
      </c>
    </row>
    <row r="5" ht="30" customHeight="1">
      <c r="B5" s="18" t="inlineStr">
        <is>
          <t>Marque · Campus</t>
        </is>
      </c>
      <c r="C5" s="19" t="inlineStr">
        <is>
          <t>Budget 2024</t>
        </is>
      </c>
      <c r="D5" s="19" t="inlineStr">
        <is>
          <t>Budget 2025</t>
        </is>
      </c>
      <c r="E5" s="19" t="inlineStr">
        <is>
          <t>Budget 2026</t>
        </is>
      </c>
      <c r="F5" s="1" t="n"/>
      <c r="G5" s="19" t="inlineStr">
        <is>
          <t>Inscrits
2024</t>
        </is>
      </c>
      <c r="H5" s="19" t="inlineStr">
        <is>
          <t>Inscrits
2025</t>
        </is>
      </c>
      <c r="I5" s="19" t="inlineStr">
        <is>
          <t>Inscrits
2026</t>
        </is>
      </c>
      <c r="J5" s="1" t="n"/>
      <c r="K5" s="19" t="inlineStr">
        <is>
          <t>Budget
par an</t>
        </is>
      </c>
      <c r="L5" s="19" t="inlineStr">
        <is>
          <t>Inscrits
par an</t>
        </is>
      </c>
      <c r="M5" s="19" t="inlineStr">
        <is>
          <t>ÉLASTICITÉ</t>
        </is>
      </c>
    </row>
    <row r="6">
      <c r="B6" s="20" t="inlineStr">
        <is>
          <t>Ipac Bachelor Factory</t>
        </is>
      </c>
      <c r="C6" s="21">
        <f>IF(LEFT($T6,3)="MQ:",SUMPRODUCT((Donnees!$B$4:$B$17=MID($T6,4,99))*1,Donnees!$D$4:$D$17),INDEX(Donnees!$D$4:$D$17,MATCH($T6,Donnees!$A$4:$A$17,0)))</f>
        <v/>
      </c>
      <c r="D6" s="21">
        <f>IF(LEFT($T6,3)="MQ:",SUMPRODUCT((Donnees!$B$4:$B$17=MID($T6,4,99))*1,Donnees!$E$4:$E$17),INDEX(Donnees!$E$4:$E$17,MATCH($T6,Donnees!$A$4:$A$17,0)))</f>
        <v/>
      </c>
      <c r="E6" s="21">
        <f>IF(LEFT($T6,3)="MQ:",SUMPRODUCT((Donnees!$B$4:$B$17=MID($T6,4,99))*1,Donnees!$F$4:$F$17),INDEX(Donnees!$F$4:$F$17,MATCH($T6,Donnees!$A$4:$A$17,0)))</f>
        <v/>
      </c>
      <c r="F6" s="23" t="n"/>
      <c r="G6" s="24">
        <f>IF(LEFT($T6,3)="MQ:",SUMPRODUCT((Donnees!$B$4:$B$17=MID($T6,4,99))*1,Donnees!$G$4:$G$17),INDEX(Donnees!$G$4:$G$17,MATCH($T6,Donnees!$A$4:$A$17,0)))</f>
        <v/>
      </c>
      <c r="H6" s="24">
        <f>IF(LEFT($T6,3)="MQ:",SUMPRODUCT((Donnees!$B$4:$B$17=MID($T6,4,99))*1,Donnees!$H$4:$H$17),INDEX(Donnees!$H$4:$H$17,MATCH($T6,Donnees!$A$4:$A$17,0)))</f>
        <v/>
      </c>
      <c r="I6" s="24">
        <f>IF(LEFT($T6,3)="MQ:",SUMPRODUCT((Donnees!$B$4:$B$17=MID($T6,4,99))*1,Donnees!$I$4:$I$17),INDEX(Donnees!$I$4:$I$17,MATCH($T6,Donnees!$A$4:$A$17,0)))</f>
        <v/>
      </c>
      <c r="J6" s="23" t="n"/>
      <c r="K6" s="56">
        <f>POWER($E6/$C6,0.5)-1</f>
        <v/>
      </c>
      <c r="L6" s="56">
        <f>POWER($I6/$G6,0.5)-1</f>
        <v/>
      </c>
      <c r="M6" s="22">
        <f>$U6</f>
        <v/>
      </c>
      <c r="T6" s="28" t="inlineStr">
        <is>
          <t>MQ:Ipac Bachelor Factory</t>
        </is>
      </c>
      <c r="U6" s="57">
        <f>SLOPE($Y6:$AA6,$V6:$X6)</f>
        <v/>
      </c>
      <c r="V6" s="57">
        <f>LN($C6)</f>
        <v/>
      </c>
      <c r="W6" s="57">
        <f>LN($D6)</f>
        <v/>
      </c>
      <c r="X6" s="57">
        <f>LN($E6)</f>
        <v/>
      </c>
      <c r="Y6" s="57">
        <f>LN($G6)</f>
        <v/>
      </c>
      <c r="Z6" s="57">
        <f>LN($H6)</f>
        <v/>
      </c>
      <c r="AA6" s="58">
        <f>LN($I6)</f>
        <v/>
      </c>
      <c r="AB6">
        <f>IF(LEFT($T6,3)="MQ:","",$U6)</f>
        <v/>
      </c>
    </row>
    <row r="7">
      <c r="B7" s="30" t="inlineStr">
        <is>
          <t>Montpellier</t>
        </is>
      </c>
      <c r="C7" s="31">
        <f>IF(LEFT($T7,3)="MQ:",SUMPRODUCT((Donnees!$B$4:$B$17=MID($T7,4,99))*1,Donnees!$D$4:$D$17),INDEX(Donnees!$D$4:$D$17,MATCH($T7,Donnees!$A$4:$A$17,0)))</f>
        <v/>
      </c>
      <c r="D7" s="31">
        <f>IF(LEFT($T7,3)="MQ:",SUMPRODUCT((Donnees!$B$4:$B$17=MID($T7,4,99))*1,Donnees!$E$4:$E$17),INDEX(Donnees!$E$4:$E$17,MATCH($T7,Donnees!$A$4:$A$17,0)))</f>
        <v/>
      </c>
      <c r="E7" s="31">
        <f>IF(LEFT($T7,3)="MQ:",SUMPRODUCT((Donnees!$B$4:$B$17=MID($T7,4,99))*1,Donnees!$F$4:$F$17),INDEX(Donnees!$F$4:$F$17,MATCH($T7,Donnees!$A$4:$A$17,0)))</f>
        <v/>
      </c>
      <c r="F7" s="33" t="n"/>
      <c r="G7" s="34">
        <f>IF(LEFT($T7,3)="MQ:",SUMPRODUCT((Donnees!$B$4:$B$17=MID($T7,4,99))*1,Donnees!$G$4:$G$17),INDEX(Donnees!$G$4:$G$17,MATCH($T7,Donnees!$A$4:$A$17,0)))</f>
        <v/>
      </c>
      <c r="H7" s="34">
        <f>IF(LEFT($T7,3)="MQ:",SUMPRODUCT((Donnees!$B$4:$B$17=MID($T7,4,99))*1,Donnees!$H$4:$H$17),INDEX(Donnees!$H$4:$H$17,MATCH($T7,Donnees!$A$4:$A$17,0)))</f>
        <v/>
      </c>
      <c r="I7" s="34">
        <f>IF(LEFT($T7,3)="MQ:",SUMPRODUCT((Donnees!$B$4:$B$17=MID($T7,4,99))*1,Donnees!$I$4:$I$17),INDEX(Donnees!$I$4:$I$17,MATCH($T7,Donnees!$A$4:$A$17,0)))</f>
        <v/>
      </c>
      <c r="J7" s="33" t="n"/>
      <c r="K7" s="59">
        <f>POWER($E7/$C7,0.5)-1</f>
        <v/>
      </c>
      <c r="L7" s="59">
        <f>POWER($I7/$G7,0.5)-1</f>
        <v/>
      </c>
      <c r="M7" s="32">
        <f>$U7</f>
        <v/>
      </c>
      <c r="T7" s="28" t="inlineStr">
        <is>
          <t>IPAC_MTP</t>
        </is>
      </c>
      <c r="U7" s="57">
        <f>SLOPE($Y7:$AA7,$V7:$X7)</f>
        <v/>
      </c>
      <c r="V7" s="57">
        <f>LN($C7)</f>
        <v/>
      </c>
      <c r="W7" s="57">
        <f>LN($D7)</f>
        <v/>
      </c>
      <c r="X7" s="57">
        <f>LN($E7)</f>
        <v/>
      </c>
      <c r="Y7" s="57">
        <f>LN($G7)</f>
        <v/>
      </c>
      <c r="Z7" s="57">
        <f>LN($H7)</f>
        <v/>
      </c>
      <c r="AA7" s="58">
        <f>LN($I7)</f>
        <v/>
      </c>
      <c r="AB7">
        <f>IF(LEFT($T7,3)="MQ:","",$U7)</f>
        <v/>
      </c>
    </row>
    <row r="8">
      <c r="B8" s="30" t="inlineStr">
        <is>
          <t>Nantes</t>
        </is>
      </c>
      <c r="C8" s="31">
        <f>IF(LEFT($T8,3)="MQ:",SUMPRODUCT((Donnees!$B$4:$B$17=MID($T8,4,99))*1,Donnees!$D$4:$D$17),INDEX(Donnees!$D$4:$D$17,MATCH($T8,Donnees!$A$4:$A$17,0)))</f>
        <v/>
      </c>
      <c r="D8" s="31">
        <f>IF(LEFT($T8,3)="MQ:",SUMPRODUCT((Donnees!$B$4:$B$17=MID($T8,4,99))*1,Donnees!$E$4:$E$17),INDEX(Donnees!$E$4:$E$17,MATCH($T8,Donnees!$A$4:$A$17,0)))</f>
        <v/>
      </c>
      <c r="E8" s="31">
        <f>IF(LEFT($T8,3)="MQ:",SUMPRODUCT((Donnees!$B$4:$B$17=MID($T8,4,99))*1,Donnees!$F$4:$F$17),INDEX(Donnees!$F$4:$F$17,MATCH($T8,Donnees!$A$4:$A$17,0)))</f>
        <v/>
      </c>
      <c r="F8" s="33" t="n"/>
      <c r="G8" s="34">
        <f>IF(LEFT($T8,3)="MQ:",SUMPRODUCT((Donnees!$B$4:$B$17=MID($T8,4,99))*1,Donnees!$G$4:$G$17),INDEX(Donnees!$G$4:$G$17,MATCH($T8,Donnees!$A$4:$A$17,0)))</f>
        <v/>
      </c>
      <c r="H8" s="34">
        <f>IF(LEFT($T8,3)="MQ:",SUMPRODUCT((Donnees!$B$4:$B$17=MID($T8,4,99))*1,Donnees!$H$4:$H$17),INDEX(Donnees!$H$4:$H$17,MATCH($T8,Donnees!$A$4:$A$17,0)))</f>
        <v/>
      </c>
      <c r="I8" s="34">
        <f>IF(LEFT($T8,3)="MQ:",SUMPRODUCT((Donnees!$B$4:$B$17=MID($T8,4,99))*1,Donnees!$I$4:$I$17),INDEX(Donnees!$I$4:$I$17,MATCH($T8,Donnees!$A$4:$A$17,0)))</f>
        <v/>
      </c>
      <c r="J8" s="33" t="n"/>
      <c r="K8" s="59">
        <f>POWER($E8/$C8,0.5)-1</f>
        <v/>
      </c>
      <c r="L8" s="59">
        <f>POWER($I8/$G8,0.5)-1</f>
        <v/>
      </c>
      <c r="M8" s="32">
        <f>$U8</f>
        <v/>
      </c>
      <c r="T8" s="28" t="inlineStr">
        <is>
          <t>IPAC_NAN</t>
        </is>
      </c>
      <c r="U8" s="57">
        <f>SLOPE($Y8:$AA8,$V8:$X8)</f>
        <v/>
      </c>
      <c r="V8" s="57">
        <f>LN($C8)</f>
        <v/>
      </c>
      <c r="W8" s="57">
        <f>LN($D8)</f>
        <v/>
      </c>
      <c r="X8" s="57">
        <f>LN($E8)</f>
        <v/>
      </c>
      <c r="Y8" s="57">
        <f>LN($G8)</f>
        <v/>
      </c>
      <c r="Z8" s="57">
        <f>LN($H8)</f>
        <v/>
      </c>
      <c r="AA8" s="58">
        <f>LN($I8)</f>
        <v/>
      </c>
      <c r="AB8">
        <f>IF(LEFT($T8,3)="MQ:","",$U8)</f>
        <v/>
      </c>
    </row>
    <row r="9">
      <c r="B9" s="30" t="inlineStr">
        <is>
          <t>Rennes</t>
        </is>
      </c>
      <c r="C9" s="31">
        <f>IF(LEFT($T9,3)="MQ:",SUMPRODUCT((Donnees!$B$4:$B$17=MID($T9,4,99))*1,Donnees!$D$4:$D$17),INDEX(Donnees!$D$4:$D$17,MATCH($T9,Donnees!$A$4:$A$17,0)))</f>
        <v/>
      </c>
      <c r="D9" s="31">
        <f>IF(LEFT($T9,3)="MQ:",SUMPRODUCT((Donnees!$B$4:$B$17=MID($T9,4,99))*1,Donnees!$E$4:$E$17),INDEX(Donnees!$E$4:$E$17,MATCH($T9,Donnees!$A$4:$A$17,0)))</f>
        <v/>
      </c>
      <c r="E9" s="31">
        <f>IF(LEFT($T9,3)="MQ:",SUMPRODUCT((Donnees!$B$4:$B$17=MID($T9,4,99))*1,Donnees!$F$4:$F$17),INDEX(Donnees!$F$4:$F$17,MATCH($T9,Donnees!$A$4:$A$17,0)))</f>
        <v/>
      </c>
      <c r="F9" s="33" t="n"/>
      <c r="G9" s="34">
        <f>IF(LEFT($T9,3)="MQ:",SUMPRODUCT((Donnees!$B$4:$B$17=MID($T9,4,99))*1,Donnees!$G$4:$G$17),INDEX(Donnees!$G$4:$G$17,MATCH($T9,Donnees!$A$4:$A$17,0)))</f>
        <v/>
      </c>
      <c r="H9" s="34">
        <f>IF(LEFT($T9,3)="MQ:",SUMPRODUCT((Donnees!$B$4:$B$17=MID($T9,4,99))*1,Donnees!$H$4:$H$17),INDEX(Donnees!$H$4:$H$17,MATCH($T9,Donnees!$A$4:$A$17,0)))</f>
        <v/>
      </c>
      <c r="I9" s="34">
        <f>IF(LEFT($T9,3)="MQ:",SUMPRODUCT((Donnees!$B$4:$B$17=MID($T9,4,99))*1,Donnees!$I$4:$I$17),INDEX(Donnees!$I$4:$I$17,MATCH($T9,Donnees!$A$4:$A$17,0)))</f>
        <v/>
      </c>
      <c r="J9" s="33" t="n"/>
      <c r="K9" s="59">
        <f>POWER($E9/$C9,0.5)-1</f>
        <v/>
      </c>
      <c r="L9" s="59">
        <f>POWER($I9/$G9,0.5)-1</f>
        <v/>
      </c>
      <c r="M9" s="32">
        <f>$U9</f>
        <v/>
      </c>
      <c r="T9" s="28" t="inlineStr">
        <is>
          <t>IPAC_REN</t>
        </is>
      </c>
      <c r="U9" s="57">
        <f>SLOPE($Y9:$AA9,$V9:$X9)</f>
        <v/>
      </c>
      <c r="V9" s="57">
        <f>LN($C9)</f>
        <v/>
      </c>
      <c r="W9" s="57">
        <f>LN($D9)</f>
        <v/>
      </c>
      <c r="X9" s="57">
        <f>LN($E9)</f>
        <v/>
      </c>
      <c r="Y9" s="57">
        <f>LN($G9)</f>
        <v/>
      </c>
      <c r="Z9" s="57">
        <f>LN($H9)</f>
        <v/>
      </c>
      <c r="AA9" s="58">
        <f>LN($I9)</f>
        <v/>
      </c>
      <c r="AB9">
        <f>IF(LEFT($T9,3)="MQ:","",$U9)</f>
        <v/>
      </c>
    </row>
    <row r="10">
      <c r="B10" s="20" t="inlineStr">
        <is>
          <t>ISCOM</t>
        </is>
      </c>
      <c r="C10" s="21">
        <f>IF(LEFT($T10,3)="MQ:",SUMPRODUCT((Donnees!$B$4:$B$17=MID($T10,4,99))*1,Donnees!$D$4:$D$17),INDEX(Donnees!$D$4:$D$17,MATCH($T10,Donnees!$A$4:$A$17,0)))</f>
        <v/>
      </c>
      <c r="D10" s="21">
        <f>IF(LEFT($T10,3)="MQ:",SUMPRODUCT((Donnees!$B$4:$B$17=MID($T10,4,99))*1,Donnees!$E$4:$E$17),INDEX(Donnees!$E$4:$E$17,MATCH($T10,Donnees!$A$4:$A$17,0)))</f>
        <v/>
      </c>
      <c r="E10" s="21">
        <f>IF(LEFT($T10,3)="MQ:",SUMPRODUCT((Donnees!$B$4:$B$17=MID($T10,4,99))*1,Donnees!$F$4:$F$17),INDEX(Donnees!$F$4:$F$17,MATCH($T10,Donnees!$A$4:$A$17,0)))</f>
        <v/>
      </c>
      <c r="F10" s="23" t="n"/>
      <c r="G10" s="24">
        <f>IF(LEFT($T10,3)="MQ:",SUMPRODUCT((Donnees!$B$4:$B$17=MID($T10,4,99))*1,Donnees!$G$4:$G$17),INDEX(Donnees!$G$4:$G$17,MATCH($T10,Donnees!$A$4:$A$17,0)))</f>
        <v/>
      </c>
      <c r="H10" s="24">
        <f>IF(LEFT($T10,3)="MQ:",SUMPRODUCT((Donnees!$B$4:$B$17=MID($T10,4,99))*1,Donnees!$H$4:$H$17),INDEX(Donnees!$H$4:$H$17,MATCH($T10,Donnees!$A$4:$A$17,0)))</f>
        <v/>
      </c>
      <c r="I10" s="24">
        <f>IF(LEFT($T10,3)="MQ:",SUMPRODUCT((Donnees!$B$4:$B$17=MID($T10,4,99))*1,Donnees!$I$4:$I$17),INDEX(Donnees!$I$4:$I$17,MATCH($T10,Donnees!$A$4:$A$17,0)))</f>
        <v/>
      </c>
      <c r="J10" s="23" t="n"/>
      <c r="K10" s="56">
        <f>POWER($E10/$C10,0.5)-1</f>
        <v/>
      </c>
      <c r="L10" s="56">
        <f>POWER($I10/$G10,0.5)-1</f>
        <v/>
      </c>
      <c r="M10" s="22">
        <f>$U10</f>
        <v/>
      </c>
      <c r="T10" s="28" t="inlineStr">
        <is>
          <t>MQ:ISCOM</t>
        </is>
      </c>
      <c r="U10" s="57">
        <f>SLOPE($Y10:$AA10,$V10:$X10)</f>
        <v/>
      </c>
      <c r="V10" s="57">
        <f>LN($C10)</f>
        <v/>
      </c>
      <c r="W10" s="57">
        <f>LN($D10)</f>
        <v/>
      </c>
      <c r="X10" s="57">
        <f>LN($E10)</f>
        <v/>
      </c>
      <c r="Y10" s="57">
        <f>LN($G10)</f>
        <v/>
      </c>
      <c r="Z10" s="57">
        <f>LN($H10)</f>
        <v/>
      </c>
      <c r="AA10" s="58">
        <f>LN($I10)</f>
        <v/>
      </c>
      <c r="AB10">
        <f>IF(LEFT($T10,3)="MQ:","",$U10)</f>
        <v/>
      </c>
    </row>
    <row r="11">
      <c r="B11" s="30" t="inlineStr">
        <is>
          <t>Lille</t>
        </is>
      </c>
      <c r="C11" s="31">
        <f>IF(LEFT($T11,3)="MQ:",SUMPRODUCT((Donnees!$B$4:$B$17=MID($T11,4,99))*1,Donnees!$D$4:$D$17),INDEX(Donnees!$D$4:$D$17,MATCH($T11,Donnees!$A$4:$A$17,0)))</f>
        <v/>
      </c>
      <c r="D11" s="31">
        <f>IF(LEFT($T11,3)="MQ:",SUMPRODUCT((Donnees!$B$4:$B$17=MID($T11,4,99))*1,Donnees!$E$4:$E$17),INDEX(Donnees!$E$4:$E$17,MATCH($T11,Donnees!$A$4:$A$17,0)))</f>
        <v/>
      </c>
      <c r="E11" s="31">
        <f>IF(LEFT($T11,3)="MQ:",SUMPRODUCT((Donnees!$B$4:$B$17=MID($T11,4,99))*1,Donnees!$F$4:$F$17),INDEX(Donnees!$F$4:$F$17,MATCH($T11,Donnees!$A$4:$A$17,0)))</f>
        <v/>
      </c>
      <c r="F11" s="33" t="n"/>
      <c r="G11" s="34">
        <f>IF(LEFT($T11,3)="MQ:",SUMPRODUCT((Donnees!$B$4:$B$17=MID($T11,4,99))*1,Donnees!$G$4:$G$17),INDEX(Donnees!$G$4:$G$17,MATCH($T11,Donnees!$A$4:$A$17,0)))</f>
        <v/>
      </c>
      <c r="H11" s="34">
        <f>IF(LEFT($T11,3)="MQ:",SUMPRODUCT((Donnees!$B$4:$B$17=MID($T11,4,99))*1,Donnees!$H$4:$H$17),INDEX(Donnees!$H$4:$H$17,MATCH($T11,Donnees!$A$4:$A$17,0)))</f>
        <v/>
      </c>
      <c r="I11" s="34">
        <f>IF(LEFT($T11,3)="MQ:",SUMPRODUCT((Donnees!$B$4:$B$17=MID($T11,4,99))*1,Donnees!$I$4:$I$17),INDEX(Donnees!$I$4:$I$17,MATCH($T11,Donnees!$A$4:$A$17,0)))</f>
        <v/>
      </c>
      <c r="J11" s="33" t="n"/>
      <c r="K11" s="59">
        <f>POWER($E11/$C11,0.5)-1</f>
        <v/>
      </c>
      <c r="L11" s="59">
        <f>POWER($I11/$G11,0.5)-1</f>
        <v/>
      </c>
      <c r="M11" s="32">
        <f>$U11</f>
        <v/>
      </c>
      <c r="T11" s="28" t="inlineStr">
        <is>
          <t>ISCOM_LIL</t>
        </is>
      </c>
      <c r="U11" s="57">
        <f>SLOPE($Y11:$AA11,$V11:$X11)</f>
        <v/>
      </c>
      <c r="V11" s="57">
        <f>LN($C11)</f>
        <v/>
      </c>
      <c r="W11" s="57">
        <f>LN($D11)</f>
        <v/>
      </c>
      <c r="X11" s="57">
        <f>LN($E11)</f>
        <v/>
      </c>
      <c r="Y11" s="57">
        <f>LN($G11)</f>
        <v/>
      </c>
      <c r="Z11" s="57">
        <f>LN($H11)</f>
        <v/>
      </c>
      <c r="AA11" s="58">
        <f>LN($I11)</f>
        <v/>
      </c>
      <c r="AB11">
        <f>IF(LEFT($T11,3)="MQ:","",$U11)</f>
        <v/>
      </c>
    </row>
    <row r="12">
      <c r="B12" s="30" t="inlineStr">
        <is>
          <t>Paris</t>
        </is>
      </c>
      <c r="C12" s="31">
        <f>IF(LEFT($T12,3)="MQ:",SUMPRODUCT((Donnees!$B$4:$B$17=MID($T12,4,99))*1,Donnees!$D$4:$D$17),INDEX(Donnees!$D$4:$D$17,MATCH($T12,Donnees!$A$4:$A$17,0)))</f>
        <v/>
      </c>
      <c r="D12" s="31">
        <f>IF(LEFT($T12,3)="MQ:",SUMPRODUCT((Donnees!$B$4:$B$17=MID($T12,4,99))*1,Donnees!$E$4:$E$17),INDEX(Donnees!$E$4:$E$17,MATCH($T12,Donnees!$A$4:$A$17,0)))</f>
        <v/>
      </c>
      <c r="E12" s="31">
        <f>IF(LEFT($T12,3)="MQ:",SUMPRODUCT((Donnees!$B$4:$B$17=MID($T12,4,99))*1,Donnees!$F$4:$F$17),INDEX(Donnees!$F$4:$F$17,MATCH($T12,Donnees!$A$4:$A$17,0)))</f>
        <v/>
      </c>
      <c r="F12" s="33" t="n"/>
      <c r="G12" s="34">
        <f>IF(LEFT($T12,3)="MQ:",SUMPRODUCT((Donnees!$B$4:$B$17=MID($T12,4,99))*1,Donnees!$G$4:$G$17),INDEX(Donnees!$G$4:$G$17,MATCH($T12,Donnees!$A$4:$A$17,0)))</f>
        <v/>
      </c>
      <c r="H12" s="34">
        <f>IF(LEFT($T12,3)="MQ:",SUMPRODUCT((Donnees!$B$4:$B$17=MID($T12,4,99))*1,Donnees!$H$4:$H$17),INDEX(Donnees!$H$4:$H$17,MATCH($T12,Donnees!$A$4:$A$17,0)))</f>
        <v/>
      </c>
      <c r="I12" s="34">
        <f>IF(LEFT($T12,3)="MQ:",SUMPRODUCT((Donnees!$B$4:$B$17=MID($T12,4,99))*1,Donnees!$I$4:$I$17),INDEX(Donnees!$I$4:$I$17,MATCH($T12,Donnees!$A$4:$A$17,0)))</f>
        <v/>
      </c>
      <c r="J12" s="33" t="n"/>
      <c r="K12" s="59">
        <f>POWER($E12/$C12,0.5)-1</f>
        <v/>
      </c>
      <c r="L12" s="59">
        <f>POWER($I12/$G12,0.5)-1</f>
        <v/>
      </c>
      <c r="M12" s="32">
        <f>$U12</f>
        <v/>
      </c>
      <c r="T12" s="28" t="inlineStr">
        <is>
          <t>ISCOM_PAR</t>
        </is>
      </c>
      <c r="U12" s="57">
        <f>SLOPE($Y12:$AA12,$V12:$X12)</f>
        <v/>
      </c>
      <c r="V12" s="57">
        <f>LN($C12)</f>
        <v/>
      </c>
      <c r="W12" s="57">
        <f>LN($D12)</f>
        <v/>
      </c>
      <c r="X12" s="57">
        <f>LN($E12)</f>
        <v/>
      </c>
      <c r="Y12" s="57">
        <f>LN($G12)</f>
        <v/>
      </c>
      <c r="Z12" s="57">
        <f>LN($H12)</f>
        <v/>
      </c>
      <c r="AA12" s="58">
        <f>LN($I12)</f>
        <v/>
      </c>
      <c r="AB12">
        <f>IF(LEFT($T12,3)="MQ:","",$U12)</f>
        <v/>
      </c>
    </row>
    <row r="13">
      <c r="B13" s="30" t="inlineStr">
        <is>
          <t>Toulouse</t>
        </is>
      </c>
      <c r="C13" s="31">
        <f>IF(LEFT($T13,3)="MQ:",SUMPRODUCT((Donnees!$B$4:$B$17=MID($T13,4,99))*1,Donnees!$D$4:$D$17),INDEX(Donnees!$D$4:$D$17,MATCH($T13,Donnees!$A$4:$A$17,0)))</f>
        <v/>
      </c>
      <c r="D13" s="31">
        <f>IF(LEFT($T13,3)="MQ:",SUMPRODUCT((Donnees!$B$4:$B$17=MID($T13,4,99))*1,Donnees!$E$4:$E$17),INDEX(Donnees!$E$4:$E$17,MATCH($T13,Donnees!$A$4:$A$17,0)))</f>
        <v/>
      </c>
      <c r="E13" s="31">
        <f>IF(LEFT($T13,3)="MQ:",SUMPRODUCT((Donnees!$B$4:$B$17=MID($T13,4,99))*1,Donnees!$F$4:$F$17),INDEX(Donnees!$F$4:$F$17,MATCH($T13,Donnees!$A$4:$A$17,0)))</f>
        <v/>
      </c>
      <c r="F13" s="33" t="n"/>
      <c r="G13" s="34">
        <f>IF(LEFT($T13,3)="MQ:",SUMPRODUCT((Donnees!$B$4:$B$17=MID($T13,4,99))*1,Donnees!$G$4:$G$17),INDEX(Donnees!$G$4:$G$17,MATCH($T13,Donnees!$A$4:$A$17,0)))</f>
        <v/>
      </c>
      <c r="H13" s="34">
        <f>IF(LEFT($T13,3)="MQ:",SUMPRODUCT((Donnees!$B$4:$B$17=MID($T13,4,99))*1,Donnees!$H$4:$H$17),INDEX(Donnees!$H$4:$H$17,MATCH($T13,Donnees!$A$4:$A$17,0)))</f>
        <v/>
      </c>
      <c r="I13" s="34">
        <f>IF(LEFT($T13,3)="MQ:",SUMPRODUCT((Donnees!$B$4:$B$17=MID($T13,4,99))*1,Donnees!$I$4:$I$17),INDEX(Donnees!$I$4:$I$17,MATCH($T13,Donnees!$A$4:$A$17,0)))</f>
        <v/>
      </c>
      <c r="J13" s="33" t="n"/>
      <c r="K13" s="59">
        <f>POWER($E13/$C13,0.5)-1</f>
        <v/>
      </c>
      <c r="L13" s="59">
        <f>POWER($I13/$G13,0.5)-1</f>
        <v/>
      </c>
      <c r="M13" s="32">
        <f>$U13</f>
        <v/>
      </c>
      <c r="T13" s="28" t="inlineStr">
        <is>
          <t>ISCOM_TLS</t>
        </is>
      </c>
      <c r="U13" s="57">
        <f>SLOPE($Y13:$AA13,$V13:$X13)</f>
        <v/>
      </c>
      <c r="V13" s="57">
        <f>LN($C13)</f>
        <v/>
      </c>
      <c r="W13" s="57">
        <f>LN($D13)</f>
        <v/>
      </c>
      <c r="X13" s="57">
        <f>LN($E13)</f>
        <v/>
      </c>
      <c r="Y13" s="57">
        <f>LN($G13)</f>
        <v/>
      </c>
      <c r="Z13" s="57">
        <f>LN($H13)</f>
        <v/>
      </c>
      <c r="AA13" s="58">
        <f>LN($I13)</f>
        <v/>
      </c>
      <c r="AB13">
        <f>IF(LEFT($T13,3)="MQ:","",$U13)</f>
        <v/>
      </c>
    </row>
    <row r="14">
      <c r="B14" s="20" t="inlineStr">
        <is>
          <t>MBway</t>
        </is>
      </c>
      <c r="C14" s="21">
        <f>IF(LEFT($T14,3)="MQ:",SUMPRODUCT((Donnees!$B$4:$B$17=MID($T14,4,99))*1,Donnees!$D$4:$D$17),INDEX(Donnees!$D$4:$D$17,MATCH($T14,Donnees!$A$4:$A$17,0)))</f>
        <v/>
      </c>
      <c r="D14" s="21">
        <f>IF(LEFT($T14,3)="MQ:",SUMPRODUCT((Donnees!$B$4:$B$17=MID($T14,4,99))*1,Donnees!$E$4:$E$17),INDEX(Donnees!$E$4:$E$17,MATCH($T14,Donnees!$A$4:$A$17,0)))</f>
        <v/>
      </c>
      <c r="E14" s="21">
        <f>IF(LEFT($T14,3)="MQ:",SUMPRODUCT((Donnees!$B$4:$B$17=MID($T14,4,99))*1,Donnees!$F$4:$F$17),INDEX(Donnees!$F$4:$F$17,MATCH($T14,Donnees!$A$4:$A$17,0)))</f>
        <v/>
      </c>
      <c r="F14" s="23" t="n"/>
      <c r="G14" s="24">
        <f>IF(LEFT($T14,3)="MQ:",SUMPRODUCT((Donnees!$B$4:$B$17=MID($T14,4,99))*1,Donnees!$G$4:$G$17),INDEX(Donnees!$G$4:$G$17,MATCH($T14,Donnees!$A$4:$A$17,0)))</f>
        <v/>
      </c>
      <c r="H14" s="24">
        <f>IF(LEFT($T14,3)="MQ:",SUMPRODUCT((Donnees!$B$4:$B$17=MID($T14,4,99))*1,Donnees!$H$4:$H$17),INDEX(Donnees!$H$4:$H$17,MATCH($T14,Donnees!$A$4:$A$17,0)))</f>
        <v/>
      </c>
      <c r="I14" s="24">
        <f>IF(LEFT($T14,3)="MQ:",SUMPRODUCT((Donnees!$B$4:$B$17=MID($T14,4,99))*1,Donnees!$I$4:$I$17),INDEX(Donnees!$I$4:$I$17,MATCH($T14,Donnees!$A$4:$A$17,0)))</f>
        <v/>
      </c>
      <c r="J14" s="23" t="n"/>
      <c r="K14" s="56">
        <f>POWER($E14/$C14,0.5)-1</f>
        <v/>
      </c>
      <c r="L14" s="56">
        <f>POWER($I14/$G14,0.5)-1</f>
        <v/>
      </c>
      <c r="M14" s="22">
        <f>$U14</f>
        <v/>
      </c>
      <c r="T14" s="28" t="inlineStr">
        <is>
          <t>MQ:MBway</t>
        </is>
      </c>
      <c r="U14" s="57">
        <f>SLOPE($Y14:$AA14,$V14:$X14)</f>
        <v/>
      </c>
      <c r="V14" s="57">
        <f>LN($C14)</f>
        <v/>
      </c>
      <c r="W14" s="57">
        <f>LN($D14)</f>
        <v/>
      </c>
      <c r="X14" s="57">
        <f>LN($E14)</f>
        <v/>
      </c>
      <c r="Y14" s="57">
        <f>LN($G14)</f>
        <v/>
      </c>
      <c r="Z14" s="57">
        <f>LN($H14)</f>
        <v/>
      </c>
      <c r="AA14" s="58">
        <f>LN($I14)</f>
        <v/>
      </c>
      <c r="AB14">
        <f>IF(LEFT($T14,3)="MQ:","",$U14)</f>
        <v/>
      </c>
    </row>
    <row r="15">
      <c r="B15" s="30" t="inlineStr">
        <is>
          <t>Bordeaux</t>
        </is>
      </c>
      <c r="C15" s="31">
        <f>IF(LEFT($T15,3)="MQ:",SUMPRODUCT((Donnees!$B$4:$B$17=MID($T15,4,99))*1,Donnees!$D$4:$D$17),INDEX(Donnees!$D$4:$D$17,MATCH($T15,Donnees!$A$4:$A$17,0)))</f>
        <v/>
      </c>
      <c r="D15" s="31">
        <f>IF(LEFT($T15,3)="MQ:",SUMPRODUCT((Donnees!$B$4:$B$17=MID($T15,4,99))*1,Donnees!$E$4:$E$17),INDEX(Donnees!$E$4:$E$17,MATCH($T15,Donnees!$A$4:$A$17,0)))</f>
        <v/>
      </c>
      <c r="E15" s="31">
        <f>IF(LEFT($T15,3)="MQ:",SUMPRODUCT((Donnees!$B$4:$B$17=MID($T15,4,99))*1,Donnees!$F$4:$F$17),INDEX(Donnees!$F$4:$F$17,MATCH($T15,Donnees!$A$4:$A$17,0)))</f>
        <v/>
      </c>
      <c r="F15" s="33" t="n"/>
      <c r="G15" s="34">
        <f>IF(LEFT($T15,3)="MQ:",SUMPRODUCT((Donnees!$B$4:$B$17=MID($T15,4,99))*1,Donnees!$G$4:$G$17),INDEX(Donnees!$G$4:$G$17,MATCH($T15,Donnees!$A$4:$A$17,0)))</f>
        <v/>
      </c>
      <c r="H15" s="34">
        <f>IF(LEFT($T15,3)="MQ:",SUMPRODUCT((Donnees!$B$4:$B$17=MID($T15,4,99))*1,Donnees!$H$4:$H$17),INDEX(Donnees!$H$4:$H$17,MATCH($T15,Donnees!$A$4:$A$17,0)))</f>
        <v/>
      </c>
      <c r="I15" s="34">
        <f>IF(LEFT($T15,3)="MQ:",SUMPRODUCT((Donnees!$B$4:$B$17=MID($T15,4,99))*1,Donnees!$I$4:$I$17),INDEX(Donnees!$I$4:$I$17,MATCH($T15,Donnees!$A$4:$A$17,0)))</f>
        <v/>
      </c>
      <c r="J15" s="33" t="n"/>
      <c r="K15" s="59">
        <f>POWER($E15/$C15,0.5)-1</f>
        <v/>
      </c>
      <c r="L15" s="59">
        <f>POWER($I15/$G15,0.5)-1</f>
        <v/>
      </c>
      <c r="M15" s="32">
        <f>$U15</f>
        <v/>
      </c>
      <c r="T15" s="28" t="inlineStr">
        <is>
          <t>MBWAY_BOR</t>
        </is>
      </c>
      <c r="U15" s="57">
        <f>SLOPE($Y15:$AA15,$V15:$X15)</f>
        <v/>
      </c>
      <c r="V15" s="57">
        <f>LN($C15)</f>
        <v/>
      </c>
      <c r="W15" s="57">
        <f>LN($D15)</f>
        <v/>
      </c>
      <c r="X15" s="57">
        <f>LN($E15)</f>
        <v/>
      </c>
      <c r="Y15" s="57">
        <f>LN($G15)</f>
        <v/>
      </c>
      <c r="Z15" s="57">
        <f>LN($H15)</f>
        <v/>
      </c>
      <c r="AA15" s="58">
        <f>LN($I15)</f>
        <v/>
      </c>
      <c r="AB15">
        <f>IF(LEFT($T15,3)="MQ:","",$U15)</f>
        <v/>
      </c>
    </row>
    <row r="16">
      <c r="B16" s="30" t="inlineStr">
        <is>
          <t>Lyon</t>
        </is>
      </c>
      <c r="C16" s="31">
        <f>IF(LEFT($T16,3)="MQ:",SUMPRODUCT((Donnees!$B$4:$B$17=MID($T16,4,99))*1,Donnees!$D$4:$D$17),INDEX(Donnees!$D$4:$D$17,MATCH($T16,Donnees!$A$4:$A$17,0)))</f>
        <v/>
      </c>
      <c r="D16" s="31">
        <f>IF(LEFT($T16,3)="MQ:",SUMPRODUCT((Donnees!$B$4:$B$17=MID($T16,4,99))*1,Donnees!$E$4:$E$17),INDEX(Donnees!$E$4:$E$17,MATCH($T16,Donnees!$A$4:$A$17,0)))</f>
        <v/>
      </c>
      <c r="E16" s="31">
        <f>IF(LEFT($T16,3)="MQ:",SUMPRODUCT((Donnees!$B$4:$B$17=MID($T16,4,99))*1,Donnees!$F$4:$F$17),INDEX(Donnees!$F$4:$F$17,MATCH($T16,Donnees!$A$4:$A$17,0)))</f>
        <v/>
      </c>
      <c r="F16" s="33" t="n"/>
      <c r="G16" s="34">
        <f>IF(LEFT($T16,3)="MQ:",SUMPRODUCT((Donnees!$B$4:$B$17=MID($T16,4,99))*1,Donnees!$G$4:$G$17),INDEX(Donnees!$G$4:$G$17,MATCH($T16,Donnees!$A$4:$A$17,0)))</f>
        <v/>
      </c>
      <c r="H16" s="34">
        <f>IF(LEFT($T16,3)="MQ:",SUMPRODUCT((Donnees!$B$4:$B$17=MID($T16,4,99))*1,Donnees!$H$4:$H$17),INDEX(Donnees!$H$4:$H$17,MATCH($T16,Donnees!$A$4:$A$17,0)))</f>
        <v/>
      </c>
      <c r="I16" s="34">
        <f>IF(LEFT($T16,3)="MQ:",SUMPRODUCT((Donnees!$B$4:$B$17=MID($T16,4,99))*1,Donnees!$I$4:$I$17),INDEX(Donnees!$I$4:$I$17,MATCH($T16,Donnees!$A$4:$A$17,0)))</f>
        <v/>
      </c>
      <c r="J16" s="33" t="n"/>
      <c r="K16" s="59">
        <f>POWER($E16/$C16,0.5)-1</f>
        <v/>
      </c>
      <c r="L16" s="59">
        <f>POWER($I16/$G16,0.5)-1</f>
        <v/>
      </c>
      <c r="M16" s="32">
        <f>$U16</f>
        <v/>
      </c>
      <c r="T16" s="28" t="inlineStr">
        <is>
          <t>MBWAY_LYO</t>
        </is>
      </c>
      <c r="U16" s="57">
        <f>SLOPE($Y16:$AA16,$V16:$X16)</f>
        <v/>
      </c>
      <c r="V16" s="57">
        <f>LN($C16)</f>
        <v/>
      </c>
      <c r="W16" s="57">
        <f>LN($D16)</f>
        <v/>
      </c>
      <c r="X16" s="57">
        <f>LN($E16)</f>
        <v/>
      </c>
      <c r="Y16" s="57">
        <f>LN($G16)</f>
        <v/>
      </c>
      <c r="Z16" s="57">
        <f>LN($H16)</f>
        <v/>
      </c>
      <c r="AA16" s="58">
        <f>LN($I16)</f>
        <v/>
      </c>
      <c r="AB16">
        <f>IF(LEFT($T16,3)="MQ:","",$U16)</f>
        <v/>
      </c>
    </row>
    <row r="17">
      <c r="B17" s="30" t="inlineStr">
        <is>
          <t>Nantes</t>
        </is>
      </c>
      <c r="C17" s="31">
        <f>IF(LEFT($T17,3)="MQ:",SUMPRODUCT((Donnees!$B$4:$B$17=MID($T17,4,99))*1,Donnees!$D$4:$D$17),INDEX(Donnees!$D$4:$D$17,MATCH($T17,Donnees!$A$4:$A$17,0)))</f>
        <v/>
      </c>
      <c r="D17" s="31">
        <f>IF(LEFT($T17,3)="MQ:",SUMPRODUCT((Donnees!$B$4:$B$17=MID($T17,4,99))*1,Donnees!$E$4:$E$17),INDEX(Donnees!$E$4:$E$17,MATCH($T17,Donnees!$A$4:$A$17,0)))</f>
        <v/>
      </c>
      <c r="E17" s="31">
        <f>IF(LEFT($T17,3)="MQ:",SUMPRODUCT((Donnees!$B$4:$B$17=MID($T17,4,99))*1,Donnees!$F$4:$F$17),INDEX(Donnees!$F$4:$F$17,MATCH($T17,Donnees!$A$4:$A$17,0)))</f>
        <v/>
      </c>
      <c r="F17" s="33" t="n"/>
      <c r="G17" s="34">
        <f>IF(LEFT($T17,3)="MQ:",SUMPRODUCT((Donnees!$B$4:$B$17=MID($T17,4,99))*1,Donnees!$G$4:$G$17),INDEX(Donnees!$G$4:$G$17,MATCH($T17,Donnees!$A$4:$A$17,0)))</f>
        <v/>
      </c>
      <c r="H17" s="34">
        <f>IF(LEFT($T17,3)="MQ:",SUMPRODUCT((Donnees!$B$4:$B$17=MID($T17,4,99))*1,Donnees!$H$4:$H$17),INDEX(Donnees!$H$4:$H$17,MATCH($T17,Donnees!$A$4:$A$17,0)))</f>
        <v/>
      </c>
      <c r="I17" s="34">
        <f>IF(LEFT($T17,3)="MQ:",SUMPRODUCT((Donnees!$B$4:$B$17=MID($T17,4,99))*1,Donnees!$I$4:$I$17),INDEX(Donnees!$I$4:$I$17,MATCH($T17,Donnees!$A$4:$A$17,0)))</f>
        <v/>
      </c>
      <c r="J17" s="33" t="n"/>
      <c r="K17" s="59">
        <f>POWER($E17/$C17,0.5)-1</f>
        <v/>
      </c>
      <c r="L17" s="59">
        <f>POWER($I17/$G17,0.5)-1</f>
        <v/>
      </c>
      <c r="M17" s="32">
        <f>$U17</f>
        <v/>
      </c>
      <c r="T17" s="28" t="inlineStr">
        <is>
          <t>MBWAY_NAN</t>
        </is>
      </c>
      <c r="U17" s="57">
        <f>SLOPE($Y17:$AA17,$V17:$X17)</f>
        <v/>
      </c>
      <c r="V17" s="57">
        <f>LN($C17)</f>
        <v/>
      </c>
      <c r="W17" s="57">
        <f>LN($D17)</f>
        <v/>
      </c>
      <c r="X17" s="57">
        <f>LN($E17)</f>
        <v/>
      </c>
      <c r="Y17" s="57">
        <f>LN($G17)</f>
        <v/>
      </c>
      <c r="Z17" s="57">
        <f>LN($H17)</f>
        <v/>
      </c>
      <c r="AA17" s="58">
        <f>LN($I17)</f>
        <v/>
      </c>
      <c r="AB17">
        <f>IF(LEFT($T17,3)="MQ:","",$U17)</f>
        <v/>
      </c>
    </row>
    <row r="18">
      <c r="B18" s="30" t="inlineStr">
        <is>
          <t>Paris</t>
        </is>
      </c>
      <c r="C18" s="31">
        <f>IF(LEFT($T18,3)="MQ:",SUMPRODUCT((Donnees!$B$4:$B$17=MID($T18,4,99))*1,Donnees!$D$4:$D$17),INDEX(Donnees!$D$4:$D$17,MATCH($T18,Donnees!$A$4:$A$17,0)))</f>
        <v/>
      </c>
      <c r="D18" s="31">
        <f>IF(LEFT($T18,3)="MQ:",SUMPRODUCT((Donnees!$B$4:$B$17=MID($T18,4,99))*1,Donnees!$E$4:$E$17),INDEX(Donnees!$E$4:$E$17,MATCH($T18,Donnees!$A$4:$A$17,0)))</f>
        <v/>
      </c>
      <c r="E18" s="31">
        <f>IF(LEFT($T18,3)="MQ:",SUMPRODUCT((Donnees!$B$4:$B$17=MID($T18,4,99))*1,Donnees!$F$4:$F$17),INDEX(Donnees!$F$4:$F$17,MATCH($T18,Donnees!$A$4:$A$17,0)))</f>
        <v/>
      </c>
      <c r="F18" s="33" t="n"/>
      <c r="G18" s="34">
        <f>IF(LEFT($T18,3)="MQ:",SUMPRODUCT((Donnees!$B$4:$B$17=MID($T18,4,99))*1,Donnees!$G$4:$G$17),INDEX(Donnees!$G$4:$G$17,MATCH($T18,Donnees!$A$4:$A$17,0)))</f>
        <v/>
      </c>
      <c r="H18" s="34">
        <f>IF(LEFT($T18,3)="MQ:",SUMPRODUCT((Donnees!$B$4:$B$17=MID($T18,4,99))*1,Donnees!$H$4:$H$17),INDEX(Donnees!$H$4:$H$17,MATCH($T18,Donnees!$A$4:$A$17,0)))</f>
        <v/>
      </c>
      <c r="I18" s="34">
        <f>IF(LEFT($T18,3)="MQ:",SUMPRODUCT((Donnees!$B$4:$B$17=MID($T18,4,99))*1,Donnees!$I$4:$I$17),INDEX(Donnees!$I$4:$I$17,MATCH($T18,Donnees!$A$4:$A$17,0)))</f>
        <v/>
      </c>
      <c r="J18" s="33" t="n"/>
      <c r="K18" s="59">
        <f>POWER($E18/$C18,0.5)-1</f>
        <v/>
      </c>
      <c r="L18" s="59">
        <f>POWER($I18/$G18,0.5)-1</f>
        <v/>
      </c>
      <c r="M18" s="32">
        <f>$U18</f>
        <v/>
      </c>
      <c r="T18" s="28" t="inlineStr">
        <is>
          <t>MBWAY_PAR</t>
        </is>
      </c>
      <c r="U18" s="57">
        <f>SLOPE($Y18:$AA18,$V18:$X18)</f>
        <v/>
      </c>
      <c r="V18" s="57">
        <f>LN($C18)</f>
        <v/>
      </c>
      <c r="W18" s="57">
        <f>LN($D18)</f>
        <v/>
      </c>
      <c r="X18" s="57">
        <f>LN($E18)</f>
        <v/>
      </c>
      <c r="Y18" s="57">
        <f>LN($G18)</f>
        <v/>
      </c>
      <c r="Z18" s="57">
        <f>LN($H18)</f>
        <v/>
      </c>
      <c r="AA18" s="58">
        <f>LN($I18)</f>
        <v/>
      </c>
      <c r="AB18">
        <f>IF(LEFT($T18,3)="MQ:","",$U18)</f>
        <v/>
      </c>
    </row>
    <row r="19">
      <c r="B19" s="20" t="inlineStr">
        <is>
          <t>Pigier</t>
        </is>
      </c>
      <c r="C19" s="21">
        <f>IF(LEFT($T19,3)="MQ:",SUMPRODUCT((Donnees!$B$4:$B$17=MID($T19,4,99))*1,Donnees!$D$4:$D$17),INDEX(Donnees!$D$4:$D$17,MATCH($T19,Donnees!$A$4:$A$17,0)))</f>
        <v/>
      </c>
      <c r="D19" s="21">
        <f>IF(LEFT($T19,3)="MQ:",SUMPRODUCT((Donnees!$B$4:$B$17=MID($T19,4,99))*1,Donnees!$E$4:$E$17),INDEX(Donnees!$E$4:$E$17,MATCH($T19,Donnees!$A$4:$A$17,0)))</f>
        <v/>
      </c>
      <c r="E19" s="21">
        <f>IF(LEFT($T19,3)="MQ:",SUMPRODUCT((Donnees!$B$4:$B$17=MID($T19,4,99))*1,Donnees!$F$4:$F$17),INDEX(Donnees!$F$4:$F$17,MATCH($T19,Donnees!$A$4:$A$17,0)))</f>
        <v/>
      </c>
      <c r="F19" s="23" t="n"/>
      <c r="G19" s="24">
        <f>IF(LEFT($T19,3)="MQ:",SUMPRODUCT((Donnees!$B$4:$B$17=MID($T19,4,99))*1,Donnees!$G$4:$G$17),INDEX(Donnees!$G$4:$G$17,MATCH($T19,Donnees!$A$4:$A$17,0)))</f>
        <v/>
      </c>
      <c r="H19" s="24">
        <f>IF(LEFT($T19,3)="MQ:",SUMPRODUCT((Donnees!$B$4:$B$17=MID($T19,4,99))*1,Donnees!$H$4:$H$17),INDEX(Donnees!$H$4:$H$17,MATCH($T19,Donnees!$A$4:$A$17,0)))</f>
        <v/>
      </c>
      <c r="I19" s="24">
        <f>IF(LEFT($T19,3)="MQ:",SUMPRODUCT((Donnees!$B$4:$B$17=MID($T19,4,99))*1,Donnees!$I$4:$I$17),INDEX(Donnees!$I$4:$I$17,MATCH($T19,Donnees!$A$4:$A$17,0)))</f>
        <v/>
      </c>
      <c r="J19" s="23" t="n"/>
      <c r="K19" s="56">
        <f>POWER($E19/$C19,0.5)-1</f>
        <v/>
      </c>
      <c r="L19" s="56">
        <f>POWER($I19/$G19,0.5)-1</f>
        <v/>
      </c>
      <c r="M19" s="22">
        <f>$U19</f>
        <v/>
      </c>
      <c r="T19" s="28" t="inlineStr">
        <is>
          <t>MQ:Pigier</t>
        </is>
      </c>
      <c r="U19" s="57">
        <f>SLOPE($Y19:$AA19,$V19:$X19)</f>
        <v/>
      </c>
      <c r="V19" s="57">
        <f>LN($C19)</f>
        <v/>
      </c>
      <c r="W19" s="57">
        <f>LN($D19)</f>
        <v/>
      </c>
      <c r="X19" s="57">
        <f>LN($E19)</f>
        <v/>
      </c>
      <c r="Y19" s="57">
        <f>LN($G19)</f>
        <v/>
      </c>
      <c r="Z19" s="57">
        <f>LN($H19)</f>
        <v/>
      </c>
      <c r="AA19" s="58">
        <f>LN($I19)</f>
        <v/>
      </c>
      <c r="AB19">
        <f>IF(LEFT($T19,3)="MQ:","",$U19)</f>
        <v/>
      </c>
    </row>
    <row r="20">
      <c r="B20" s="30" t="inlineStr">
        <is>
          <t>Bordeaux</t>
        </is>
      </c>
      <c r="C20" s="31">
        <f>IF(LEFT($T20,3)="MQ:",SUMPRODUCT((Donnees!$B$4:$B$17=MID($T20,4,99))*1,Donnees!$D$4:$D$17),INDEX(Donnees!$D$4:$D$17,MATCH($T20,Donnees!$A$4:$A$17,0)))</f>
        <v/>
      </c>
      <c r="D20" s="31">
        <f>IF(LEFT($T20,3)="MQ:",SUMPRODUCT((Donnees!$B$4:$B$17=MID($T20,4,99))*1,Donnees!$E$4:$E$17),INDEX(Donnees!$E$4:$E$17,MATCH($T20,Donnees!$A$4:$A$17,0)))</f>
        <v/>
      </c>
      <c r="E20" s="31">
        <f>IF(LEFT($T20,3)="MQ:",SUMPRODUCT((Donnees!$B$4:$B$17=MID($T20,4,99))*1,Donnees!$F$4:$F$17),INDEX(Donnees!$F$4:$F$17,MATCH($T20,Donnees!$A$4:$A$17,0)))</f>
        <v/>
      </c>
      <c r="F20" s="33" t="n"/>
      <c r="G20" s="34">
        <f>IF(LEFT($T20,3)="MQ:",SUMPRODUCT((Donnees!$B$4:$B$17=MID($T20,4,99))*1,Donnees!$G$4:$G$17),INDEX(Donnees!$G$4:$G$17,MATCH($T20,Donnees!$A$4:$A$17,0)))</f>
        <v/>
      </c>
      <c r="H20" s="34">
        <f>IF(LEFT($T20,3)="MQ:",SUMPRODUCT((Donnees!$B$4:$B$17=MID($T20,4,99))*1,Donnees!$H$4:$H$17),INDEX(Donnees!$H$4:$H$17,MATCH($T20,Donnees!$A$4:$A$17,0)))</f>
        <v/>
      </c>
      <c r="I20" s="34">
        <f>IF(LEFT($T20,3)="MQ:",SUMPRODUCT((Donnees!$B$4:$B$17=MID($T20,4,99))*1,Donnees!$I$4:$I$17),INDEX(Donnees!$I$4:$I$17,MATCH($T20,Donnees!$A$4:$A$17,0)))</f>
        <v/>
      </c>
      <c r="J20" s="33" t="n"/>
      <c r="K20" s="59">
        <f>POWER($E20/$C20,0.5)-1</f>
        <v/>
      </c>
      <c r="L20" s="59">
        <f>POWER($I20/$G20,0.5)-1</f>
        <v/>
      </c>
      <c r="M20" s="32">
        <f>$U20</f>
        <v/>
      </c>
      <c r="T20" s="28" t="inlineStr">
        <is>
          <t>PIGIER_BOR</t>
        </is>
      </c>
      <c r="U20" s="57">
        <f>SLOPE($Y20:$AA20,$V20:$X20)</f>
        <v/>
      </c>
      <c r="V20" s="57">
        <f>LN($C20)</f>
        <v/>
      </c>
      <c r="W20" s="57">
        <f>LN($D20)</f>
        <v/>
      </c>
      <c r="X20" s="57">
        <f>LN($E20)</f>
        <v/>
      </c>
      <c r="Y20" s="57">
        <f>LN($G20)</f>
        <v/>
      </c>
      <c r="Z20" s="57">
        <f>LN($H20)</f>
        <v/>
      </c>
      <c r="AA20" s="58">
        <f>LN($I20)</f>
        <v/>
      </c>
      <c r="AB20">
        <f>IF(LEFT($T20,3)="MQ:","",$U20)</f>
        <v/>
      </c>
    </row>
    <row r="21">
      <c r="B21" s="30" t="inlineStr">
        <is>
          <t>Lyon</t>
        </is>
      </c>
      <c r="C21" s="31">
        <f>IF(LEFT($T21,3)="MQ:",SUMPRODUCT((Donnees!$B$4:$B$17=MID($T21,4,99))*1,Donnees!$D$4:$D$17),INDEX(Donnees!$D$4:$D$17,MATCH($T21,Donnees!$A$4:$A$17,0)))</f>
        <v/>
      </c>
      <c r="D21" s="31">
        <f>IF(LEFT($T21,3)="MQ:",SUMPRODUCT((Donnees!$B$4:$B$17=MID($T21,4,99))*1,Donnees!$E$4:$E$17),INDEX(Donnees!$E$4:$E$17,MATCH($T21,Donnees!$A$4:$A$17,0)))</f>
        <v/>
      </c>
      <c r="E21" s="31">
        <f>IF(LEFT($T21,3)="MQ:",SUMPRODUCT((Donnees!$B$4:$B$17=MID($T21,4,99))*1,Donnees!$F$4:$F$17),INDEX(Donnees!$F$4:$F$17,MATCH($T21,Donnees!$A$4:$A$17,0)))</f>
        <v/>
      </c>
      <c r="F21" s="33" t="n"/>
      <c r="G21" s="34">
        <f>IF(LEFT($T21,3)="MQ:",SUMPRODUCT((Donnees!$B$4:$B$17=MID($T21,4,99))*1,Donnees!$G$4:$G$17),INDEX(Donnees!$G$4:$G$17,MATCH($T21,Donnees!$A$4:$A$17,0)))</f>
        <v/>
      </c>
      <c r="H21" s="34">
        <f>IF(LEFT($T21,3)="MQ:",SUMPRODUCT((Donnees!$B$4:$B$17=MID($T21,4,99))*1,Donnees!$H$4:$H$17),INDEX(Donnees!$H$4:$H$17,MATCH($T21,Donnees!$A$4:$A$17,0)))</f>
        <v/>
      </c>
      <c r="I21" s="34">
        <f>IF(LEFT($T21,3)="MQ:",SUMPRODUCT((Donnees!$B$4:$B$17=MID($T21,4,99))*1,Donnees!$I$4:$I$17),INDEX(Donnees!$I$4:$I$17,MATCH($T21,Donnees!$A$4:$A$17,0)))</f>
        <v/>
      </c>
      <c r="J21" s="33" t="n"/>
      <c r="K21" s="59">
        <f>POWER($E21/$C21,0.5)-1</f>
        <v/>
      </c>
      <c r="L21" s="59">
        <f>POWER($I21/$G21,0.5)-1</f>
        <v/>
      </c>
      <c r="M21" s="32">
        <f>$U21</f>
        <v/>
      </c>
      <c r="T21" s="28" t="inlineStr">
        <is>
          <t>PIGIER_LYO</t>
        </is>
      </c>
      <c r="U21" s="57">
        <f>SLOPE($Y21:$AA21,$V21:$X21)</f>
        <v/>
      </c>
      <c r="V21" s="57">
        <f>LN($C21)</f>
        <v/>
      </c>
      <c r="W21" s="57">
        <f>LN($D21)</f>
        <v/>
      </c>
      <c r="X21" s="57">
        <f>LN($E21)</f>
        <v/>
      </c>
      <c r="Y21" s="57">
        <f>LN($G21)</f>
        <v/>
      </c>
      <c r="Z21" s="57">
        <f>LN($H21)</f>
        <v/>
      </c>
      <c r="AA21" s="58">
        <f>LN($I21)</f>
        <v/>
      </c>
      <c r="AB21">
        <f>IF(LEFT($T21,3)="MQ:","",$U21)</f>
        <v/>
      </c>
    </row>
    <row r="22">
      <c r="B22" s="20" t="inlineStr">
        <is>
          <t>Tunon</t>
        </is>
      </c>
      <c r="C22" s="21">
        <f>IF(LEFT($T22,3)="MQ:",SUMPRODUCT((Donnees!$B$4:$B$17=MID($T22,4,99))*1,Donnees!$D$4:$D$17),INDEX(Donnees!$D$4:$D$17,MATCH($T22,Donnees!$A$4:$A$17,0)))</f>
        <v/>
      </c>
      <c r="D22" s="21">
        <f>IF(LEFT($T22,3)="MQ:",SUMPRODUCT((Donnees!$B$4:$B$17=MID($T22,4,99))*1,Donnees!$E$4:$E$17),INDEX(Donnees!$E$4:$E$17,MATCH($T22,Donnees!$A$4:$A$17,0)))</f>
        <v/>
      </c>
      <c r="E22" s="21">
        <f>IF(LEFT($T22,3)="MQ:",SUMPRODUCT((Donnees!$B$4:$B$17=MID($T22,4,99))*1,Donnees!$F$4:$F$17),INDEX(Donnees!$F$4:$F$17,MATCH($T22,Donnees!$A$4:$A$17,0)))</f>
        <v/>
      </c>
      <c r="F22" s="23" t="n"/>
      <c r="G22" s="24">
        <f>IF(LEFT($T22,3)="MQ:",SUMPRODUCT((Donnees!$B$4:$B$17=MID($T22,4,99))*1,Donnees!$G$4:$G$17),INDEX(Donnees!$G$4:$G$17,MATCH($T22,Donnees!$A$4:$A$17,0)))</f>
        <v/>
      </c>
      <c r="H22" s="24">
        <f>IF(LEFT($T22,3)="MQ:",SUMPRODUCT((Donnees!$B$4:$B$17=MID($T22,4,99))*1,Donnees!$H$4:$H$17),INDEX(Donnees!$H$4:$H$17,MATCH($T22,Donnees!$A$4:$A$17,0)))</f>
        <v/>
      </c>
      <c r="I22" s="24">
        <f>IF(LEFT($T22,3)="MQ:",SUMPRODUCT((Donnees!$B$4:$B$17=MID($T22,4,99))*1,Donnees!$I$4:$I$17),INDEX(Donnees!$I$4:$I$17,MATCH($T22,Donnees!$A$4:$A$17,0)))</f>
        <v/>
      </c>
      <c r="J22" s="23" t="n"/>
      <c r="K22" s="56">
        <f>POWER($E22/$C22,0.5)-1</f>
        <v/>
      </c>
      <c r="L22" s="56">
        <f>POWER($I22/$G22,0.5)-1</f>
        <v/>
      </c>
      <c r="M22" s="22">
        <f>$U22</f>
        <v/>
      </c>
      <c r="T22" s="28" t="inlineStr">
        <is>
          <t>MQ:Tunon</t>
        </is>
      </c>
      <c r="U22" s="57">
        <f>SLOPE($Y22:$AA22,$V22:$X22)</f>
        <v/>
      </c>
      <c r="V22" s="57">
        <f>LN($C22)</f>
        <v/>
      </c>
      <c r="W22" s="57">
        <f>LN($D22)</f>
        <v/>
      </c>
      <c r="X22" s="57">
        <f>LN($E22)</f>
        <v/>
      </c>
      <c r="Y22" s="57">
        <f>LN($G22)</f>
        <v/>
      </c>
      <c r="Z22" s="57">
        <f>LN($H22)</f>
        <v/>
      </c>
      <c r="AA22" s="58">
        <f>LN($I22)</f>
        <v/>
      </c>
      <c r="AB22">
        <f>IF(LEFT($T22,3)="MQ:","",$U22)</f>
        <v/>
      </c>
    </row>
    <row r="23">
      <c r="B23" s="30" t="inlineStr">
        <is>
          <t>Lyon</t>
        </is>
      </c>
      <c r="C23" s="31">
        <f>IF(LEFT($T23,3)="MQ:",SUMPRODUCT((Donnees!$B$4:$B$17=MID($T23,4,99))*1,Donnees!$D$4:$D$17),INDEX(Donnees!$D$4:$D$17,MATCH($T23,Donnees!$A$4:$A$17,0)))</f>
        <v/>
      </c>
      <c r="D23" s="31">
        <f>IF(LEFT($T23,3)="MQ:",SUMPRODUCT((Donnees!$B$4:$B$17=MID($T23,4,99))*1,Donnees!$E$4:$E$17),INDEX(Donnees!$E$4:$E$17,MATCH($T23,Donnees!$A$4:$A$17,0)))</f>
        <v/>
      </c>
      <c r="E23" s="31">
        <f>IF(LEFT($T23,3)="MQ:",SUMPRODUCT((Donnees!$B$4:$B$17=MID($T23,4,99))*1,Donnees!$F$4:$F$17),INDEX(Donnees!$F$4:$F$17,MATCH($T23,Donnees!$A$4:$A$17,0)))</f>
        <v/>
      </c>
      <c r="F23" s="33" t="n"/>
      <c r="G23" s="34">
        <f>IF(LEFT($T23,3)="MQ:",SUMPRODUCT((Donnees!$B$4:$B$17=MID($T23,4,99))*1,Donnees!$G$4:$G$17),INDEX(Donnees!$G$4:$G$17,MATCH($T23,Donnees!$A$4:$A$17,0)))</f>
        <v/>
      </c>
      <c r="H23" s="34">
        <f>IF(LEFT($T23,3)="MQ:",SUMPRODUCT((Donnees!$B$4:$B$17=MID($T23,4,99))*1,Donnees!$H$4:$H$17),INDEX(Donnees!$H$4:$H$17,MATCH($T23,Donnees!$A$4:$A$17,0)))</f>
        <v/>
      </c>
      <c r="I23" s="34">
        <f>IF(LEFT($T23,3)="MQ:",SUMPRODUCT((Donnees!$B$4:$B$17=MID($T23,4,99))*1,Donnees!$I$4:$I$17),INDEX(Donnees!$I$4:$I$17,MATCH($T23,Donnees!$A$4:$A$17,0)))</f>
        <v/>
      </c>
      <c r="J23" s="33" t="n"/>
      <c r="K23" s="59">
        <f>POWER($E23/$C23,0.5)-1</f>
        <v/>
      </c>
      <c r="L23" s="59">
        <f>POWER($I23/$G23,0.5)-1</f>
        <v/>
      </c>
      <c r="M23" s="32">
        <f>$U23</f>
        <v/>
      </c>
      <c r="T23" s="28" t="inlineStr">
        <is>
          <t>TUNON_LYO</t>
        </is>
      </c>
      <c r="U23" s="57">
        <f>SLOPE($Y23:$AA23,$V23:$X23)</f>
        <v/>
      </c>
      <c r="V23" s="57">
        <f>LN($C23)</f>
        <v/>
      </c>
      <c r="W23" s="57">
        <f>LN($D23)</f>
        <v/>
      </c>
      <c r="X23" s="57">
        <f>LN($E23)</f>
        <v/>
      </c>
      <c r="Y23" s="57">
        <f>LN($G23)</f>
        <v/>
      </c>
      <c r="Z23" s="57">
        <f>LN($H23)</f>
        <v/>
      </c>
      <c r="AA23" s="58">
        <f>LN($I23)</f>
        <v/>
      </c>
      <c r="AB23">
        <f>IF(LEFT($T23,3)="MQ:","",$U23)</f>
        <v/>
      </c>
    </row>
    <row r="24">
      <c r="B24" s="30" t="inlineStr">
        <is>
          <t>Paris</t>
        </is>
      </c>
      <c r="C24" s="31">
        <f>IF(LEFT($T24,3)="MQ:",SUMPRODUCT((Donnees!$B$4:$B$17=MID($T24,4,99))*1,Donnees!$D$4:$D$17),INDEX(Donnees!$D$4:$D$17,MATCH($T24,Donnees!$A$4:$A$17,0)))</f>
        <v/>
      </c>
      <c r="D24" s="31">
        <f>IF(LEFT($T24,3)="MQ:",SUMPRODUCT((Donnees!$B$4:$B$17=MID($T24,4,99))*1,Donnees!$E$4:$E$17),INDEX(Donnees!$E$4:$E$17,MATCH($T24,Donnees!$A$4:$A$17,0)))</f>
        <v/>
      </c>
      <c r="E24" s="31">
        <f>IF(LEFT($T24,3)="MQ:",SUMPRODUCT((Donnees!$B$4:$B$17=MID($T24,4,99))*1,Donnees!$F$4:$F$17),INDEX(Donnees!$F$4:$F$17,MATCH($T24,Donnees!$A$4:$A$17,0)))</f>
        <v/>
      </c>
      <c r="F24" s="33" t="n"/>
      <c r="G24" s="34">
        <f>IF(LEFT($T24,3)="MQ:",SUMPRODUCT((Donnees!$B$4:$B$17=MID($T24,4,99))*1,Donnees!$G$4:$G$17),INDEX(Donnees!$G$4:$G$17,MATCH($T24,Donnees!$A$4:$A$17,0)))</f>
        <v/>
      </c>
      <c r="H24" s="34">
        <f>IF(LEFT($T24,3)="MQ:",SUMPRODUCT((Donnees!$B$4:$B$17=MID($T24,4,99))*1,Donnees!$H$4:$H$17),INDEX(Donnees!$H$4:$H$17,MATCH($T24,Donnees!$A$4:$A$17,0)))</f>
        <v/>
      </c>
      <c r="I24" s="34">
        <f>IF(LEFT($T24,3)="MQ:",SUMPRODUCT((Donnees!$B$4:$B$17=MID($T24,4,99))*1,Donnees!$I$4:$I$17),INDEX(Donnees!$I$4:$I$17,MATCH($T24,Donnees!$A$4:$A$17,0)))</f>
        <v/>
      </c>
      <c r="J24" s="33" t="n"/>
      <c r="K24" s="59">
        <f>POWER($E24/$C24,0.5)-1</f>
        <v/>
      </c>
      <c r="L24" s="59">
        <f>POWER($I24/$G24,0.5)-1</f>
        <v/>
      </c>
      <c r="M24" s="32">
        <f>$U24</f>
        <v/>
      </c>
      <c r="T24" s="28" t="inlineStr">
        <is>
          <t>TUNON_PAR</t>
        </is>
      </c>
      <c r="U24" s="57">
        <f>SLOPE($Y24:$AA24,$V24:$X24)</f>
        <v/>
      </c>
      <c r="V24" s="57">
        <f>LN($C24)</f>
        <v/>
      </c>
      <c r="W24" s="57">
        <f>LN($D24)</f>
        <v/>
      </c>
      <c r="X24" s="57">
        <f>LN($E24)</f>
        <v/>
      </c>
      <c r="Y24" s="57">
        <f>LN($G24)</f>
        <v/>
      </c>
      <c r="Z24" s="57">
        <f>LN($H24)</f>
        <v/>
      </c>
      <c r="AA24" s="58">
        <f>LN($I24)</f>
        <v/>
      </c>
      <c r="AB24">
        <f>IF(LEFT($T24,3)="MQ:","",$U24)</f>
        <v/>
      </c>
    </row>
    <row r="25">
      <c r="B25" s="39" t="inlineStr">
        <is>
          <t>GROUPE</t>
        </is>
      </c>
      <c r="C25" s="40">
        <f>$C6+$C10+$C14+$C19+$C22</f>
        <v/>
      </c>
      <c r="D25" s="40">
        <f>$D6+$D10+$D14+$D19+$D22</f>
        <v/>
      </c>
      <c r="E25" s="40">
        <f>$E6+$E10+$E14+$E19+$E22</f>
        <v/>
      </c>
      <c r="F25" s="42" t="n"/>
      <c r="G25" s="43">
        <f>$G6+$G10+$G14+$G19+$G22</f>
        <v/>
      </c>
      <c r="H25" s="43">
        <f>$H6+$H10+$H14+$H19+$H22</f>
        <v/>
      </c>
      <c r="I25" s="43">
        <f>$I6+$I10+$I14+$I19+$I22</f>
        <v/>
      </c>
      <c r="J25" s="42" t="n"/>
      <c r="K25" s="60">
        <f>POWER($E25/$C25,0.5)-1</f>
        <v/>
      </c>
      <c r="L25" s="60">
        <f>POWER($I25/$G25,0.5)-1</f>
        <v/>
      </c>
      <c r="M25" s="61">
        <f>$U25</f>
        <v/>
      </c>
      <c r="T25" s="28" t="inlineStr">
        <is>
          <t>GROUPE</t>
        </is>
      </c>
      <c r="U25" s="58">
        <f>SLOPE($Y25:$AA25,$V25:$X25)</f>
        <v/>
      </c>
      <c r="V25" s="57">
        <f>LN($C25)</f>
        <v/>
      </c>
      <c r="W25" s="57">
        <f>LN($D25)</f>
        <v/>
      </c>
      <c r="X25" s="57">
        <f>LN($E25)</f>
        <v/>
      </c>
      <c r="Y25" s="57">
        <f>LN($G25)</f>
        <v/>
      </c>
      <c r="Z25" s="57">
        <f>LN($H25)</f>
        <v/>
      </c>
      <c r="AA25" s="57">
        <f>LN($I25)</f>
        <v/>
      </c>
    </row>
    <row r="27">
      <c r="B27" s="7" t="inlineStr">
        <is>
          <t>COMMENT LA LIRE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B28" s="3">
        <f>"Une élasticité de "&amp;TEXT($M25,"0.00")&amp;" veut dire : +1 % de budget marketing donne +"&amp;TEXT($M25,"0.00")&amp;" % d'inscrits."</f>
        <v/>
      </c>
    </row>
    <row r="29">
      <c r="B29" s="3" t="inlineStr">
        <is>
          <t>Elle est inférieure à 1 partout : le volume monte toujours, mais moins vite que la dépense. C'est le rendement décroissant, et il se mesure au lieu de se supposer.</t>
        </is>
      </c>
    </row>
    <row r="30">
      <c r="B30" s="3">
        <f>"Elle varie de "&amp;TEXT(MIN($AB$6:$AB$24),"0.00")&amp;" à "&amp;TEXT(MAX($AB$6:$AB$24),"0.00")&amp;" selon le campus : les marchés les plus disputés sont ceux où le prochain euro travaille le moins."</f>
        <v/>
      </c>
    </row>
    <row r="31">
      <c r="B31" s="3" t="inlineStr">
        <is>
          <t>Une élasticité ne se moyenne pas. Celle d'une marque, ici, est recalculée sur le budget et les inscrits de la marque entière, comme un indice base 100 — ce n'est pas la moyenne de ses campus.</t>
        </is>
      </c>
    </row>
    <row r="32">
      <c r="B32" s="3">
        <f>"Deux mesures, deux niveaux : sur les totaux consolidés du groupe la pente vaut "&amp;TEXT($M25,"0.00")&amp;" ; le moteur, lui, calcule campus par campus et fait la somme, ce qui donne "&amp;TEXT('Le moteur'!$E$29,"0.00")&amp;". L'écart est un effet de composition : les campus les plus réactifs ne sont pas les plus gros. C'est le second chiffre qui pilote le masque, parce que c'est au campus que le budget se dépense."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AC3"/>
    <outlinePr summaryBelow="1" summaryRight="1"/>
    <pageSetUpPr/>
  </sheetPr>
  <dimension ref="A1:U3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6" customWidth="1" min="1" max="1"/>
    <col width="22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1" customWidth="1" min="8" max="8"/>
    <col width="11" customWidth="1" min="9" max="9"/>
    <col width="13" customWidth="1" min="10" max="10"/>
    <col width="1.6" customWidth="1" min="11" max="11"/>
    <col hidden="1" width="11" customWidth="1" min="20" max="20"/>
    <col hidden="1" width="11" customWidth="1" min="21" max="21"/>
  </cols>
  <sheetData>
    <row r="1" ht="26" customHeight="1">
      <c r="A1" s="1" t="n"/>
      <c r="B1" s="2" t="inlineStr">
        <is>
          <t>PLAYBACK — LA MÉTHODE MISE À L'ÉPREUVE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B2" s="3" t="inlineStr">
        <is>
          <t>Calée sur 2024-2025 seulement, à qui l'on donne le budget 2026 qu'elle n'a jamais vu</t>
        </is>
      </c>
    </row>
    <row r="3">
      <c r="B3" s="55" t="inlineStr">
        <is>
          <t>Une méthode calée sur trois points et jugée sur ces trois points ne prouve rien. Ici elle n'en voit que deux, et on la juge sur le troisième.</t>
        </is>
      </c>
    </row>
    <row r="5" ht="30" customHeight="1">
      <c r="B5" s="18" t="inlineStr">
        <is>
          <t>Marque · Campus</t>
        </is>
      </c>
      <c r="C5" s="19" t="inlineStr">
        <is>
          <t>Élasticité
calée 24-25</t>
        </is>
      </c>
      <c r="D5" s="19" t="inlineStr">
        <is>
          <t>Budget 2026</t>
        </is>
      </c>
      <c r="E5" s="19" t="inlineStr">
        <is>
          <t>Inscrits
prédits</t>
        </is>
      </c>
      <c r="F5" s="1" t="n"/>
      <c r="G5" s="19" t="inlineStr">
        <is>
          <t>Inscrits
constatés</t>
        </is>
      </c>
      <c r="H5" s="19" t="inlineStr">
        <is>
          <t>Écart</t>
        </is>
      </c>
      <c r="I5" s="19" t="inlineStr">
        <is>
          <t>en %</t>
        </is>
      </c>
      <c r="J5" s="19" t="inlineStr">
        <is>
          <t>Élasticité
sur 3 ans</t>
        </is>
      </c>
    </row>
    <row r="6">
      <c r="B6" s="20" t="inlineStr">
        <is>
          <t>Ipac Bachelor Factory</t>
        </is>
      </c>
      <c r="C6" s="22">
        <f>LN(INDEX(Historique!$H$1:$H$200,MATCH($T6,Historique!$T$1:$T$200,0))/INDEX(Historique!$G$1:$G$200,MATCH($T6,Historique!$T$1:$T$200,0)))/LN(INDEX(Historique!$D$1:$D$200,MATCH($T6,Historique!$T$1:$T$200,0))/INDEX(Historique!$C$1:$C$200,MATCH($T6,Historique!$T$1:$T$200,0)))</f>
        <v/>
      </c>
      <c r="D6" s="21">
        <f>INDEX(Historique!$E$1:$E$200,MATCH($T6,Historique!$T$1:$T$200,0))</f>
        <v/>
      </c>
      <c r="E6" s="25">
        <f>INDEX(Historique!$H$1:$H$200,MATCH($T6,Historique!$T$1:$T$200,0))*POWER($D6/INDEX(Historique!$D$1:$D$200,MATCH($T6,Historique!$T$1:$T$200,0)),$C6)</f>
        <v/>
      </c>
      <c r="F6" s="23" t="n"/>
      <c r="G6" s="24">
        <f>INDEX(Historique!$I$1:$I$200,MATCH($T6,Historique!$T$1:$T$200,0))</f>
        <v/>
      </c>
      <c r="H6" s="26">
        <f>$E6-$G6</f>
        <v/>
      </c>
      <c r="I6" s="62">
        <f>$E6/$G6-1</f>
        <v/>
      </c>
      <c r="J6" s="22">
        <f>INDEX(Historique!$M$1:$M$200,MATCH($T6,Historique!$T$1:$T$200,0))</f>
        <v/>
      </c>
      <c r="T6" s="28" t="inlineStr">
        <is>
          <t>MQ:Ipac Bachelor Factory</t>
        </is>
      </c>
      <c r="U6">
        <f>IF(LEFT($T6,3)="MQ:","",ABS($I6))</f>
        <v/>
      </c>
    </row>
    <row r="7">
      <c r="B7" s="30" t="inlineStr">
        <is>
          <t>Montpellier</t>
        </is>
      </c>
      <c r="C7" s="32">
        <f>LN(INDEX(Historique!$H$1:$H$200,MATCH($T7,Historique!$T$1:$T$200,0))/INDEX(Historique!$G$1:$G$200,MATCH($T7,Historique!$T$1:$T$200,0)))/LN(INDEX(Historique!$D$1:$D$200,MATCH($T7,Historique!$T$1:$T$200,0))/INDEX(Historique!$C$1:$C$200,MATCH($T7,Historique!$T$1:$T$200,0)))</f>
        <v/>
      </c>
      <c r="D7" s="31">
        <f>INDEX(Historique!$E$1:$E$200,MATCH($T7,Historique!$T$1:$T$200,0))</f>
        <v/>
      </c>
      <c r="E7" s="35">
        <f>INDEX(Historique!$H$1:$H$200,MATCH($T7,Historique!$T$1:$T$200,0))*POWER($D7/INDEX(Historique!$D$1:$D$200,MATCH($T7,Historique!$T$1:$T$200,0)),$C7)</f>
        <v/>
      </c>
      <c r="F7" s="33" t="n"/>
      <c r="G7" s="34">
        <f>INDEX(Historique!$I$1:$I$200,MATCH($T7,Historique!$T$1:$T$200,0))</f>
        <v/>
      </c>
      <c r="H7" s="36">
        <f>$E7-$G7</f>
        <v/>
      </c>
      <c r="I7" s="63">
        <f>$E7/$G7-1</f>
        <v/>
      </c>
      <c r="J7" s="32">
        <f>INDEX(Historique!$M$1:$M$200,MATCH($T7,Historique!$T$1:$T$200,0))</f>
        <v/>
      </c>
      <c r="T7" s="28" t="inlineStr">
        <is>
          <t>IPAC_MTP</t>
        </is>
      </c>
      <c r="U7">
        <f>IF(LEFT($T7,3)="MQ:","",ABS($I7))</f>
        <v/>
      </c>
    </row>
    <row r="8">
      <c r="B8" s="30" t="inlineStr">
        <is>
          <t>Nantes</t>
        </is>
      </c>
      <c r="C8" s="32">
        <f>LN(INDEX(Historique!$H$1:$H$200,MATCH($T8,Historique!$T$1:$T$200,0))/INDEX(Historique!$G$1:$G$200,MATCH($T8,Historique!$T$1:$T$200,0)))/LN(INDEX(Historique!$D$1:$D$200,MATCH($T8,Historique!$T$1:$T$200,0))/INDEX(Historique!$C$1:$C$200,MATCH($T8,Historique!$T$1:$T$200,0)))</f>
        <v/>
      </c>
      <c r="D8" s="31">
        <f>INDEX(Historique!$E$1:$E$200,MATCH($T8,Historique!$T$1:$T$200,0))</f>
        <v/>
      </c>
      <c r="E8" s="35">
        <f>INDEX(Historique!$H$1:$H$200,MATCH($T8,Historique!$T$1:$T$200,0))*POWER($D8/INDEX(Historique!$D$1:$D$200,MATCH($T8,Historique!$T$1:$T$200,0)),$C8)</f>
        <v/>
      </c>
      <c r="F8" s="33" t="n"/>
      <c r="G8" s="34">
        <f>INDEX(Historique!$I$1:$I$200,MATCH($T8,Historique!$T$1:$T$200,0))</f>
        <v/>
      </c>
      <c r="H8" s="36">
        <f>$E8-$G8</f>
        <v/>
      </c>
      <c r="I8" s="63">
        <f>$E8/$G8-1</f>
        <v/>
      </c>
      <c r="J8" s="32">
        <f>INDEX(Historique!$M$1:$M$200,MATCH($T8,Historique!$T$1:$T$200,0))</f>
        <v/>
      </c>
      <c r="T8" s="28" t="inlineStr">
        <is>
          <t>IPAC_NAN</t>
        </is>
      </c>
      <c r="U8">
        <f>IF(LEFT($T8,3)="MQ:","",ABS($I8))</f>
        <v/>
      </c>
    </row>
    <row r="9">
      <c r="B9" s="30" t="inlineStr">
        <is>
          <t>Rennes</t>
        </is>
      </c>
      <c r="C9" s="32">
        <f>LN(INDEX(Historique!$H$1:$H$200,MATCH($T9,Historique!$T$1:$T$200,0))/INDEX(Historique!$G$1:$G$200,MATCH($T9,Historique!$T$1:$T$200,0)))/LN(INDEX(Historique!$D$1:$D$200,MATCH($T9,Historique!$T$1:$T$200,0))/INDEX(Historique!$C$1:$C$200,MATCH($T9,Historique!$T$1:$T$200,0)))</f>
        <v/>
      </c>
      <c r="D9" s="31">
        <f>INDEX(Historique!$E$1:$E$200,MATCH($T9,Historique!$T$1:$T$200,0))</f>
        <v/>
      </c>
      <c r="E9" s="35">
        <f>INDEX(Historique!$H$1:$H$200,MATCH($T9,Historique!$T$1:$T$200,0))*POWER($D9/INDEX(Historique!$D$1:$D$200,MATCH($T9,Historique!$T$1:$T$200,0)),$C9)</f>
        <v/>
      </c>
      <c r="F9" s="33" t="n"/>
      <c r="G9" s="34">
        <f>INDEX(Historique!$I$1:$I$200,MATCH($T9,Historique!$T$1:$T$200,0))</f>
        <v/>
      </c>
      <c r="H9" s="36">
        <f>$E9-$G9</f>
        <v/>
      </c>
      <c r="I9" s="63">
        <f>$E9/$G9-1</f>
        <v/>
      </c>
      <c r="J9" s="32">
        <f>INDEX(Historique!$M$1:$M$200,MATCH($T9,Historique!$T$1:$T$200,0))</f>
        <v/>
      </c>
      <c r="T9" s="28" t="inlineStr">
        <is>
          <t>IPAC_REN</t>
        </is>
      </c>
      <c r="U9">
        <f>IF(LEFT($T9,3)="MQ:","",ABS($I9))</f>
        <v/>
      </c>
    </row>
    <row r="10">
      <c r="B10" s="20" t="inlineStr">
        <is>
          <t>ISCOM</t>
        </is>
      </c>
      <c r="C10" s="22">
        <f>LN(INDEX(Historique!$H$1:$H$200,MATCH($T10,Historique!$T$1:$T$200,0))/INDEX(Historique!$G$1:$G$200,MATCH($T10,Historique!$T$1:$T$200,0)))/LN(INDEX(Historique!$D$1:$D$200,MATCH($T10,Historique!$T$1:$T$200,0))/INDEX(Historique!$C$1:$C$200,MATCH($T10,Historique!$T$1:$T$200,0)))</f>
        <v/>
      </c>
      <c r="D10" s="21">
        <f>INDEX(Historique!$E$1:$E$200,MATCH($T10,Historique!$T$1:$T$200,0))</f>
        <v/>
      </c>
      <c r="E10" s="25">
        <f>INDEX(Historique!$H$1:$H$200,MATCH($T10,Historique!$T$1:$T$200,0))*POWER($D10/INDEX(Historique!$D$1:$D$200,MATCH($T10,Historique!$T$1:$T$200,0)),$C10)</f>
        <v/>
      </c>
      <c r="F10" s="23" t="n"/>
      <c r="G10" s="24">
        <f>INDEX(Historique!$I$1:$I$200,MATCH($T10,Historique!$T$1:$T$200,0))</f>
        <v/>
      </c>
      <c r="H10" s="26">
        <f>$E10-$G10</f>
        <v/>
      </c>
      <c r="I10" s="62">
        <f>$E10/$G10-1</f>
        <v/>
      </c>
      <c r="J10" s="22">
        <f>INDEX(Historique!$M$1:$M$200,MATCH($T10,Historique!$T$1:$T$200,0))</f>
        <v/>
      </c>
      <c r="T10" s="28" t="inlineStr">
        <is>
          <t>MQ:ISCOM</t>
        </is>
      </c>
      <c r="U10">
        <f>IF(LEFT($T10,3)="MQ:","",ABS($I10))</f>
        <v/>
      </c>
    </row>
    <row r="11">
      <c r="B11" s="30" t="inlineStr">
        <is>
          <t>Lille</t>
        </is>
      </c>
      <c r="C11" s="32">
        <f>LN(INDEX(Historique!$H$1:$H$200,MATCH($T11,Historique!$T$1:$T$200,0))/INDEX(Historique!$G$1:$G$200,MATCH($T11,Historique!$T$1:$T$200,0)))/LN(INDEX(Historique!$D$1:$D$200,MATCH($T11,Historique!$T$1:$T$200,0))/INDEX(Historique!$C$1:$C$200,MATCH($T11,Historique!$T$1:$T$200,0)))</f>
        <v/>
      </c>
      <c r="D11" s="31">
        <f>INDEX(Historique!$E$1:$E$200,MATCH($T11,Historique!$T$1:$T$200,0))</f>
        <v/>
      </c>
      <c r="E11" s="35">
        <f>INDEX(Historique!$H$1:$H$200,MATCH($T11,Historique!$T$1:$T$200,0))*POWER($D11/INDEX(Historique!$D$1:$D$200,MATCH($T11,Historique!$T$1:$T$200,0)),$C11)</f>
        <v/>
      </c>
      <c r="F11" s="33" t="n"/>
      <c r="G11" s="34">
        <f>INDEX(Historique!$I$1:$I$200,MATCH($T11,Historique!$T$1:$T$200,0))</f>
        <v/>
      </c>
      <c r="H11" s="36">
        <f>$E11-$G11</f>
        <v/>
      </c>
      <c r="I11" s="63">
        <f>$E11/$G11-1</f>
        <v/>
      </c>
      <c r="J11" s="32">
        <f>INDEX(Historique!$M$1:$M$200,MATCH($T11,Historique!$T$1:$T$200,0))</f>
        <v/>
      </c>
      <c r="T11" s="28" t="inlineStr">
        <is>
          <t>ISCOM_LIL</t>
        </is>
      </c>
      <c r="U11">
        <f>IF(LEFT($T11,3)="MQ:","",ABS($I11))</f>
        <v/>
      </c>
    </row>
    <row r="12">
      <c r="B12" s="30" t="inlineStr">
        <is>
          <t>Paris</t>
        </is>
      </c>
      <c r="C12" s="32">
        <f>LN(INDEX(Historique!$H$1:$H$200,MATCH($T12,Historique!$T$1:$T$200,0))/INDEX(Historique!$G$1:$G$200,MATCH($T12,Historique!$T$1:$T$200,0)))/LN(INDEX(Historique!$D$1:$D$200,MATCH($T12,Historique!$T$1:$T$200,0))/INDEX(Historique!$C$1:$C$200,MATCH($T12,Historique!$T$1:$T$200,0)))</f>
        <v/>
      </c>
      <c r="D12" s="31">
        <f>INDEX(Historique!$E$1:$E$200,MATCH($T12,Historique!$T$1:$T$200,0))</f>
        <v/>
      </c>
      <c r="E12" s="35">
        <f>INDEX(Historique!$H$1:$H$200,MATCH($T12,Historique!$T$1:$T$200,0))*POWER($D12/INDEX(Historique!$D$1:$D$200,MATCH($T12,Historique!$T$1:$T$200,0)),$C12)</f>
        <v/>
      </c>
      <c r="F12" s="33" t="n"/>
      <c r="G12" s="34">
        <f>INDEX(Historique!$I$1:$I$200,MATCH($T12,Historique!$T$1:$T$200,0))</f>
        <v/>
      </c>
      <c r="H12" s="36">
        <f>$E12-$G12</f>
        <v/>
      </c>
      <c r="I12" s="63">
        <f>$E12/$G12-1</f>
        <v/>
      </c>
      <c r="J12" s="32">
        <f>INDEX(Historique!$M$1:$M$200,MATCH($T12,Historique!$T$1:$T$200,0))</f>
        <v/>
      </c>
      <c r="T12" s="28" t="inlineStr">
        <is>
          <t>ISCOM_PAR</t>
        </is>
      </c>
      <c r="U12">
        <f>IF(LEFT($T12,3)="MQ:","",ABS($I12))</f>
        <v/>
      </c>
    </row>
    <row r="13">
      <c r="B13" s="30" t="inlineStr">
        <is>
          <t>Toulouse</t>
        </is>
      </c>
      <c r="C13" s="32">
        <f>LN(INDEX(Historique!$H$1:$H$200,MATCH($T13,Historique!$T$1:$T$200,0))/INDEX(Historique!$G$1:$G$200,MATCH($T13,Historique!$T$1:$T$200,0)))/LN(INDEX(Historique!$D$1:$D$200,MATCH($T13,Historique!$T$1:$T$200,0))/INDEX(Historique!$C$1:$C$200,MATCH($T13,Historique!$T$1:$T$200,0)))</f>
        <v/>
      </c>
      <c r="D13" s="31">
        <f>INDEX(Historique!$E$1:$E$200,MATCH($T13,Historique!$T$1:$T$200,0))</f>
        <v/>
      </c>
      <c r="E13" s="35">
        <f>INDEX(Historique!$H$1:$H$200,MATCH($T13,Historique!$T$1:$T$200,0))*POWER($D13/INDEX(Historique!$D$1:$D$200,MATCH($T13,Historique!$T$1:$T$200,0)),$C13)</f>
        <v/>
      </c>
      <c r="F13" s="33" t="n"/>
      <c r="G13" s="34">
        <f>INDEX(Historique!$I$1:$I$200,MATCH($T13,Historique!$T$1:$T$200,0))</f>
        <v/>
      </c>
      <c r="H13" s="36">
        <f>$E13-$G13</f>
        <v/>
      </c>
      <c r="I13" s="63">
        <f>$E13/$G13-1</f>
        <v/>
      </c>
      <c r="J13" s="32">
        <f>INDEX(Historique!$M$1:$M$200,MATCH($T13,Historique!$T$1:$T$200,0))</f>
        <v/>
      </c>
      <c r="T13" s="28" t="inlineStr">
        <is>
          <t>ISCOM_TLS</t>
        </is>
      </c>
      <c r="U13">
        <f>IF(LEFT($T13,3)="MQ:","",ABS($I13))</f>
        <v/>
      </c>
    </row>
    <row r="14">
      <c r="B14" s="20" t="inlineStr">
        <is>
          <t>MBway</t>
        </is>
      </c>
      <c r="C14" s="22">
        <f>LN(INDEX(Historique!$H$1:$H$200,MATCH($T14,Historique!$T$1:$T$200,0))/INDEX(Historique!$G$1:$G$200,MATCH($T14,Historique!$T$1:$T$200,0)))/LN(INDEX(Historique!$D$1:$D$200,MATCH($T14,Historique!$T$1:$T$200,0))/INDEX(Historique!$C$1:$C$200,MATCH($T14,Historique!$T$1:$T$200,0)))</f>
        <v/>
      </c>
      <c r="D14" s="21">
        <f>INDEX(Historique!$E$1:$E$200,MATCH($T14,Historique!$T$1:$T$200,0))</f>
        <v/>
      </c>
      <c r="E14" s="25">
        <f>INDEX(Historique!$H$1:$H$200,MATCH($T14,Historique!$T$1:$T$200,0))*POWER($D14/INDEX(Historique!$D$1:$D$200,MATCH($T14,Historique!$T$1:$T$200,0)),$C14)</f>
        <v/>
      </c>
      <c r="F14" s="23" t="n"/>
      <c r="G14" s="24">
        <f>INDEX(Historique!$I$1:$I$200,MATCH($T14,Historique!$T$1:$T$200,0))</f>
        <v/>
      </c>
      <c r="H14" s="26">
        <f>$E14-$G14</f>
        <v/>
      </c>
      <c r="I14" s="62">
        <f>$E14/$G14-1</f>
        <v/>
      </c>
      <c r="J14" s="22">
        <f>INDEX(Historique!$M$1:$M$200,MATCH($T14,Historique!$T$1:$T$200,0))</f>
        <v/>
      </c>
      <c r="T14" s="28" t="inlineStr">
        <is>
          <t>MQ:MBway</t>
        </is>
      </c>
      <c r="U14">
        <f>IF(LEFT($T14,3)="MQ:","",ABS($I14))</f>
        <v/>
      </c>
    </row>
    <row r="15">
      <c r="B15" s="30" t="inlineStr">
        <is>
          <t>Bordeaux</t>
        </is>
      </c>
      <c r="C15" s="32">
        <f>LN(INDEX(Historique!$H$1:$H$200,MATCH($T15,Historique!$T$1:$T$200,0))/INDEX(Historique!$G$1:$G$200,MATCH($T15,Historique!$T$1:$T$200,0)))/LN(INDEX(Historique!$D$1:$D$200,MATCH($T15,Historique!$T$1:$T$200,0))/INDEX(Historique!$C$1:$C$200,MATCH($T15,Historique!$T$1:$T$200,0)))</f>
        <v/>
      </c>
      <c r="D15" s="31">
        <f>INDEX(Historique!$E$1:$E$200,MATCH($T15,Historique!$T$1:$T$200,0))</f>
        <v/>
      </c>
      <c r="E15" s="35">
        <f>INDEX(Historique!$H$1:$H$200,MATCH($T15,Historique!$T$1:$T$200,0))*POWER($D15/INDEX(Historique!$D$1:$D$200,MATCH($T15,Historique!$T$1:$T$200,0)),$C15)</f>
        <v/>
      </c>
      <c r="F15" s="33" t="n"/>
      <c r="G15" s="34">
        <f>INDEX(Historique!$I$1:$I$200,MATCH($T15,Historique!$T$1:$T$200,0))</f>
        <v/>
      </c>
      <c r="H15" s="36">
        <f>$E15-$G15</f>
        <v/>
      </c>
      <c r="I15" s="63">
        <f>$E15/$G15-1</f>
        <v/>
      </c>
      <c r="J15" s="32">
        <f>INDEX(Historique!$M$1:$M$200,MATCH($T15,Historique!$T$1:$T$200,0))</f>
        <v/>
      </c>
      <c r="T15" s="28" t="inlineStr">
        <is>
          <t>MBWAY_BOR</t>
        </is>
      </c>
      <c r="U15">
        <f>IF(LEFT($T15,3)="MQ:","",ABS($I15))</f>
        <v/>
      </c>
    </row>
    <row r="16">
      <c r="B16" s="30" t="inlineStr">
        <is>
          <t>Lyon</t>
        </is>
      </c>
      <c r="C16" s="32">
        <f>LN(INDEX(Historique!$H$1:$H$200,MATCH($T16,Historique!$T$1:$T$200,0))/INDEX(Historique!$G$1:$G$200,MATCH($T16,Historique!$T$1:$T$200,0)))/LN(INDEX(Historique!$D$1:$D$200,MATCH($T16,Historique!$T$1:$T$200,0))/INDEX(Historique!$C$1:$C$200,MATCH($T16,Historique!$T$1:$T$200,0)))</f>
        <v/>
      </c>
      <c r="D16" s="31">
        <f>INDEX(Historique!$E$1:$E$200,MATCH($T16,Historique!$T$1:$T$200,0))</f>
        <v/>
      </c>
      <c r="E16" s="35">
        <f>INDEX(Historique!$H$1:$H$200,MATCH($T16,Historique!$T$1:$T$200,0))*POWER($D16/INDEX(Historique!$D$1:$D$200,MATCH($T16,Historique!$T$1:$T$200,0)),$C16)</f>
        <v/>
      </c>
      <c r="F16" s="33" t="n"/>
      <c r="G16" s="34">
        <f>INDEX(Historique!$I$1:$I$200,MATCH($T16,Historique!$T$1:$T$200,0))</f>
        <v/>
      </c>
      <c r="H16" s="36">
        <f>$E16-$G16</f>
        <v/>
      </c>
      <c r="I16" s="63">
        <f>$E16/$G16-1</f>
        <v/>
      </c>
      <c r="J16" s="32">
        <f>INDEX(Historique!$M$1:$M$200,MATCH($T16,Historique!$T$1:$T$200,0))</f>
        <v/>
      </c>
      <c r="T16" s="28" t="inlineStr">
        <is>
          <t>MBWAY_LYO</t>
        </is>
      </c>
      <c r="U16">
        <f>IF(LEFT($T16,3)="MQ:","",ABS($I16))</f>
        <v/>
      </c>
    </row>
    <row r="17">
      <c r="B17" s="30" t="inlineStr">
        <is>
          <t>Nantes</t>
        </is>
      </c>
      <c r="C17" s="32">
        <f>LN(INDEX(Historique!$H$1:$H$200,MATCH($T17,Historique!$T$1:$T$200,0))/INDEX(Historique!$G$1:$G$200,MATCH($T17,Historique!$T$1:$T$200,0)))/LN(INDEX(Historique!$D$1:$D$200,MATCH($T17,Historique!$T$1:$T$200,0))/INDEX(Historique!$C$1:$C$200,MATCH($T17,Historique!$T$1:$T$200,0)))</f>
        <v/>
      </c>
      <c r="D17" s="31">
        <f>INDEX(Historique!$E$1:$E$200,MATCH($T17,Historique!$T$1:$T$200,0))</f>
        <v/>
      </c>
      <c r="E17" s="35">
        <f>INDEX(Historique!$H$1:$H$200,MATCH($T17,Historique!$T$1:$T$200,0))*POWER($D17/INDEX(Historique!$D$1:$D$200,MATCH($T17,Historique!$T$1:$T$200,0)),$C17)</f>
        <v/>
      </c>
      <c r="F17" s="33" t="n"/>
      <c r="G17" s="34">
        <f>INDEX(Historique!$I$1:$I$200,MATCH($T17,Historique!$T$1:$T$200,0))</f>
        <v/>
      </c>
      <c r="H17" s="36">
        <f>$E17-$G17</f>
        <v/>
      </c>
      <c r="I17" s="63">
        <f>$E17/$G17-1</f>
        <v/>
      </c>
      <c r="J17" s="32">
        <f>INDEX(Historique!$M$1:$M$200,MATCH($T17,Historique!$T$1:$T$200,0))</f>
        <v/>
      </c>
      <c r="T17" s="28" t="inlineStr">
        <is>
          <t>MBWAY_NAN</t>
        </is>
      </c>
      <c r="U17">
        <f>IF(LEFT($T17,3)="MQ:","",ABS($I17))</f>
        <v/>
      </c>
    </row>
    <row r="18">
      <c r="B18" s="30" t="inlineStr">
        <is>
          <t>Paris</t>
        </is>
      </c>
      <c r="C18" s="32">
        <f>LN(INDEX(Historique!$H$1:$H$200,MATCH($T18,Historique!$T$1:$T$200,0))/INDEX(Historique!$G$1:$G$200,MATCH($T18,Historique!$T$1:$T$200,0)))/LN(INDEX(Historique!$D$1:$D$200,MATCH($T18,Historique!$T$1:$T$200,0))/INDEX(Historique!$C$1:$C$200,MATCH($T18,Historique!$T$1:$T$200,0)))</f>
        <v/>
      </c>
      <c r="D18" s="31">
        <f>INDEX(Historique!$E$1:$E$200,MATCH($T18,Historique!$T$1:$T$200,0))</f>
        <v/>
      </c>
      <c r="E18" s="35">
        <f>INDEX(Historique!$H$1:$H$200,MATCH($T18,Historique!$T$1:$T$200,0))*POWER($D18/INDEX(Historique!$D$1:$D$200,MATCH($T18,Historique!$T$1:$T$200,0)),$C18)</f>
        <v/>
      </c>
      <c r="F18" s="33" t="n"/>
      <c r="G18" s="34">
        <f>INDEX(Historique!$I$1:$I$200,MATCH($T18,Historique!$T$1:$T$200,0))</f>
        <v/>
      </c>
      <c r="H18" s="36">
        <f>$E18-$G18</f>
        <v/>
      </c>
      <c r="I18" s="63">
        <f>$E18/$G18-1</f>
        <v/>
      </c>
      <c r="J18" s="32">
        <f>INDEX(Historique!$M$1:$M$200,MATCH($T18,Historique!$T$1:$T$200,0))</f>
        <v/>
      </c>
      <c r="T18" s="28" t="inlineStr">
        <is>
          <t>MBWAY_PAR</t>
        </is>
      </c>
      <c r="U18">
        <f>IF(LEFT($T18,3)="MQ:","",ABS($I18))</f>
        <v/>
      </c>
    </row>
    <row r="19">
      <c r="B19" s="20" t="inlineStr">
        <is>
          <t>Pigier</t>
        </is>
      </c>
      <c r="C19" s="22">
        <f>LN(INDEX(Historique!$H$1:$H$200,MATCH($T19,Historique!$T$1:$T$200,0))/INDEX(Historique!$G$1:$G$200,MATCH($T19,Historique!$T$1:$T$200,0)))/LN(INDEX(Historique!$D$1:$D$200,MATCH($T19,Historique!$T$1:$T$200,0))/INDEX(Historique!$C$1:$C$200,MATCH($T19,Historique!$T$1:$T$200,0)))</f>
        <v/>
      </c>
      <c r="D19" s="21">
        <f>INDEX(Historique!$E$1:$E$200,MATCH($T19,Historique!$T$1:$T$200,0))</f>
        <v/>
      </c>
      <c r="E19" s="25">
        <f>INDEX(Historique!$H$1:$H$200,MATCH($T19,Historique!$T$1:$T$200,0))*POWER($D19/INDEX(Historique!$D$1:$D$200,MATCH($T19,Historique!$T$1:$T$200,0)),$C19)</f>
        <v/>
      </c>
      <c r="F19" s="23" t="n"/>
      <c r="G19" s="24">
        <f>INDEX(Historique!$I$1:$I$200,MATCH($T19,Historique!$T$1:$T$200,0))</f>
        <v/>
      </c>
      <c r="H19" s="26">
        <f>$E19-$G19</f>
        <v/>
      </c>
      <c r="I19" s="62">
        <f>$E19/$G19-1</f>
        <v/>
      </c>
      <c r="J19" s="22">
        <f>INDEX(Historique!$M$1:$M$200,MATCH($T19,Historique!$T$1:$T$200,0))</f>
        <v/>
      </c>
      <c r="T19" s="28" t="inlineStr">
        <is>
          <t>MQ:Pigier</t>
        </is>
      </c>
      <c r="U19">
        <f>IF(LEFT($T19,3)="MQ:","",ABS($I19))</f>
        <v/>
      </c>
    </row>
    <row r="20">
      <c r="B20" s="30" t="inlineStr">
        <is>
          <t>Bordeaux</t>
        </is>
      </c>
      <c r="C20" s="32">
        <f>LN(INDEX(Historique!$H$1:$H$200,MATCH($T20,Historique!$T$1:$T$200,0))/INDEX(Historique!$G$1:$G$200,MATCH($T20,Historique!$T$1:$T$200,0)))/LN(INDEX(Historique!$D$1:$D$200,MATCH($T20,Historique!$T$1:$T$200,0))/INDEX(Historique!$C$1:$C$200,MATCH($T20,Historique!$T$1:$T$200,0)))</f>
        <v/>
      </c>
      <c r="D20" s="31">
        <f>INDEX(Historique!$E$1:$E$200,MATCH($T20,Historique!$T$1:$T$200,0))</f>
        <v/>
      </c>
      <c r="E20" s="35">
        <f>INDEX(Historique!$H$1:$H$200,MATCH($T20,Historique!$T$1:$T$200,0))*POWER($D20/INDEX(Historique!$D$1:$D$200,MATCH($T20,Historique!$T$1:$T$200,0)),$C20)</f>
        <v/>
      </c>
      <c r="F20" s="33" t="n"/>
      <c r="G20" s="34">
        <f>INDEX(Historique!$I$1:$I$200,MATCH($T20,Historique!$T$1:$T$200,0))</f>
        <v/>
      </c>
      <c r="H20" s="36">
        <f>$E20-$G20</f>
        <v/>
      </c>
      <c r="I20" s="63">
        <f>$E20/$G20-1</f>
        <v/>
      </c>
      <c r="J20" s="32">
        <f>INDEX(Historique!$M$1:$M$200,MATCH($T20,Historique!$T$1:$T$200,0))</f>
        <v/>
      </c>
      <c r="T20" s="28" t="inlineStr">
        <is>
          <t>PIGIER_BOR</t>
        </is>
      </c>
      <c r="U20">
        <f>IF(LEFT($T20,3)="MQ:","",ABS($I20))</f>
        <v/>
      </c>
    </row>
    <row r="21">
      <c r="B21" s="30" t="inlineStr">
        <is>
          <t>Lyon</t>
        </is>
      </c>
      <c r="C21" s="32">
        <f>LN(INDEX(Historique!$H$1:$H$200,MATCH($T21,Historique!$T$1:$T$200,0))/INDEX(Historique!$G$1:$G$200,MATCH($T21,Historique!$T$1:$T$200,0)))/LN(INDEX(Historique!$D$1:$D$200,MATCH($T21,Historique!$T$1:$T$200,0))/INDEX(Historique!$C$1:$C$200,MATCH($T21,Historique!$T$1:$T$200,0)))</f>
        <v/>
      </c>
      <c r="D21" s="31">
        <f>INDEX(Historique!$E$1:$E$200,MATCH($T21,Historique!$T$1:$T$200,0))</f>
        <v/>
      </c>
      <c r="E21" s="35">
        <f>INDEX(Historique!$H$1:$H$200,MATCH($T21,Historique!$T$1:$T$200,0))*POWER($D21/INDEX(Historique!$D$1:$D$200,MATCH($T21,Historique!$T$1:$T$200,0)),$C21)</f>
        <v/>
      </c>
      <c r="F21" s="33" t="n"/>
      <c r="G21" s="34">
        <f>INDEX(Historique!$I$1:$I$200,MATCH($T21,Historique!$T$1:$T$200,0))</f>
        <v/>
      </c>
      <c r="H21" s="36">
        <f>$E21-$G21</f>
        <v/>
      </c>
      <c r="I21" s="63">
        <f>$E21/$G21-1</f>
        <v/>
      </c>
      <c r="J21" s="32">
        <f>INDEX(Historique!$M$1:$M$200,MATCH($T21,Historique!$T$1:$T$200,0))</f>
        <v/>
      </c>
      <c r="T21" s="28" t="inlineStr">
        <is>
          <t>PIGIER_LYO</t>
        </is>
      </c>
      <c r="U21">
        <f>IF(LEFT($T21,3)="MQ:","",ABS($I21))</f>
        <v/>
      </c>
    </row>
    <row r="22">
      <c r="B22" s="20" t="inlineStr">
        <is>
          <t>Tunon</t>
        </is>
      </c>
      <c r="C22" s="22">
        <f>LN(INDEX(Historique!$H$1:$H$200,MATCH($T22,Historique!$T$1:$T$200,0))/INDEX(Historique!$G$1:$G$200,MATCH($T22,Historique!$T$1:$T$200,0)))/LN(INDEX(Historique!$D$1:$D$200,MATCH($T22,Historique!$T$1:$T$200,0))/INDEX(Historique!$C$1:$C$200,MATCH($T22,Historique!$T$1:$T$200,0)))</f>
        <v/>
      </c>
      <c r="D22" s="21">
        <f>INDEX(Historique!$E$1:$E$200,MATCH($T22,Historique!$T$1:$T$200,0))</f>
        <v/>
      </c>
      <c r="E22" s="25">
        <f>INDEX(Historique!$H$1:$H$200,MATCH($T22,Historique!$T$1:$T$200,0))*POWER($D22/INDEX(Historique!$D$1:$D$200,MATCH($T22,Historique!$T$1:$T$200,0)),$C22)</f>
        <v/>
      </c>
      <c r="F22" s="23" t="n"/>
      <c r="G22" s="24">
        <f>INDEX(Historique!$I$1:$I$200,MATCH($T22,Historique!$T$1:$T$200,0))</f>
        <v/>
      </c>
      <c r="H22" s="26">
        <f>$E22-$G22</f>
        <v/>
      </c>
      <c r="I22" s="62">
        <f>$E22/$G22-1</f>
        <v/>
      </c>
      <c r="J22" s="22">
        <f>INDEX(Historique!$M$1:$M$200,MATCH($T22,Historique!$T$1:$T$200,0))</f>
        <v/>
      </c>
      <c r="T22" s="28" t="inlineStr">
        <is>
          <t>MQ:Tunon</t>
        </is>
      </c>
      <c r="U22">
        <f>IF(LEFT($T22,3)="MQ:","",ABS($I22))</f>
        <v/>
      </c>
    </row>
    <row r="23">
      <c r="B23" s="30" t="inlineStr">
        <is>
          <t>Lyon</t>
        </is>
      </c>
      <c r="C23" s="32">
        <f>LN(INDEX(Historique!$H$1:$H$200,MATCH($T23,Historique!$T$1:$T$200,0))/INDEX(Historique!$G$1:$G$200,MATCH($T23,Historique!$T$1:$T$200,0)))/LN(INDEX(Historique!$D$1:$D$200,MATCH($T23,Historique!$T$1:$T$200,0))/INDEX(Historique!$C$1:$C$200,MATCH($T23,Historique!$T$1:$T$200,0)))</f>
        <v/>
      </c>
      <c r="D23" s="31">
        <f>INDEX(Historique!$E$1:$E$200,MATCH($T23,Historique!$T$1:$T$200,0))</f>
        <v/>
      </c>
      <c r="E23" s="35">
        <f>INDEX(Historique!$H$1:$H$200,MATCH($T23,Historique!$T$1:$T$200,0))*POWER($D23/INDEX(Historique!$D$1:$D$200,MATCH($T23,Historique!$T$1:$T$200,0)),$C23)</f>
        <v/>
      </c>
      <c r="F23" s="33" t="n"/>
      <c r="G23" s="34">
        <f>INDEX(Historique!$I$1:$I$200,MATCH($T23,Historique!$T$1:$T$200,0))</f>
        <v/>
      </c>
      <c r="H23" s="36">
        <f>$E23-$G23</f>
        <v/>
      </c>
      <c r="I23" s="63">
        <f>$E23/$G23-1</f>
        <v/>
      </c>
      <c r="J23" s="32">
        <f>INDEX(Historique!$M$1:$M$200,MATCH($T23,Historique!$T$1:$T$200,0))</f>
        <v/>
      </c>
      <c r="T23" s="28" t="inlineStr">
        <is>
          <t>TUNON_LYO</t>
        </is>
      </c>
      <c r="U23">
        <f>IF(LEFT($T23,3)="MQ:","",ABS($I23))</f>
        <v/>
      </c>
    </row>
    <row r="24">
      <c r="B24" s="30" t="inlineStr">
        <is>
          <t>Paris</t>
        </is>
      </c>
      <c r="C24" s="32">
        <f>LN(INDEX(Historique!$H$1:$H$200,MATCH($T24,Historique!$T$1:$T$200,0))/INDEX(Historique!$G$1:$G$200,MATCH($T24,Historique!$T$1:$T$200,0)))/LN(INDEX(Historique!$D$1:$D$200,MATCH($T24,Historique!$T$1:$T$200,0))/INDEX(Historique!$C$1:$C$200,MATCH($T24,Historique!$T$1:$T$200,0)))</f>
        <v/>
      </c>
      <c r="D24" s="31">
        <f>INDEX(Historique!$E$1:$E$200,MATCH($T24,Historique!$T$1:$T$200,0))</f>
        <v/>
      </c>
      <c r="E24" s="35">
        <f>INDEX(Historique!$H$1:$H$200,MATCH($T24,Historique!$T$1:$T$200,0))*POWER($D24/INDEX(Historique!$D$1:$D$200,MATCH($T24,Historique!$T$1:$T$200,0)),$C24)</f>
        <v/>
      </c>
      <c r="F24" s="33" t="n"/>
      <c r="G24" s="34">
        <f>INDEX(Historique!$I$1:$I$200,MATCH($T24,Historique!$T$1:$T$200,0))</f>
        <v/>
      </c>
      <c r="H24" s="36">
        <f>$E24-$G24</f>
        <v/>
      </c>
      <c r="I24" s="63">
        <f>$E24/$G24-1</f>
        <v/>
      </c>
      <c r="J24" s="32">
        <f>INDEX(Historique!$M$1:$M$200,MATCH($T24,Historique!$T$1:$T$200,0))</f>
        <v/>
      </c>
      <c r="T24" s="28" t="inlineStr">
        <is>
          <t>TUNON_PAR</t>
        </is>
      </c>
      <c r="U24">
        <f>IF(LEFT($T24,3)="MQ:","",ABS($I24))</f>
        <v/>
      </c>
    </row>
    <row r="25">
      <c r="B25" s="39" t="inlineStr">
        <is>
          <t>GROUPE</t>
        </is>
      </c>
      <c r="C25" s="41">
        <f>LN(INDEX(Historique!$H$1:$H$200,MATCH("GROUPE",Historique!$T$1:$T$200,0))/INDEX(Historique!$G$1:$G$200,MATCH("GROUPE",Historique!$T$1:$T$200,0)))/LN(INDEX(Historique!$D$1:$D$200,MATCH("GROUPE",Historique!$T$1:$T$200,0))/INDEX(Historique!$C$1:$C$200,MATCH("GROUPE",Historique!$T$1:$T$200,0)))</f>
        <v/>
      </c>
      <c r="D25" s="40">
        <f>INDEX(Historique!$E$1:$E$200,MATCH("GROUPE",Historique!$T$1:$T$200,0))</f>
        <v/>
      </c>
      <c r="E25" s="44">
        <f>INDEX(Historique!$H$1:$H$200,MATCH("GROUPE",Historique!$T$1:$T$200,0))*POWER($D25/INDEX(Historique!$D$1:$D$200,MATCH("GROUPE",Historique!$T$1:$T$200,0)),$C25)</f>
        <v/>
      </c>
      <c r="F25" s="42" t="n"/>
      <c r="G25" s="43">
        <f>INDEX(Historique!$I$1:$I$200,MATCH("GROUPE",Historique!$T$1:$T$200,0))</f>
        <v/>
      </c>
      <c r="H25" s="45">
        <f>$E25-$G25</f>
        <v/>
      </c>
      <c r="I25" s="64">
        <f>$E25/$G25-1</f>
        <v/>
      </c>
      <c r="J25" s="41">
        <f>INDEX(Historique!$M$1:$M$200,MATCH("GROUPE",Historique!$T$1:$T$200,0))</f>
        <v/>
      </c>
      <c r="T25" s="28" t="inlineStr">
        <is>
          <t>GROUPE</t>
        </is>
      </c>
    </row>
    <row r="27">
      <c r="B27" s="7" t="inlineStr">
        <is>
          <t>CE QUE LE TEST ÉTABLIT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B28" s="3">
        <f>"Au niveau du groupe, la méthode rend "&amp;TEXT($E25,"#,##0")&amp;" inscrits pour "&amp;TEXT($G25,"#,##0")&amp;" constatés, soit "&amp;TEXT($I25,"+0.00%;-0.00%")&amp;"."</f>
        <v/>
      </c>
    </row>
    <row r="29">
      <c r="B29" s="3">
        <f>"Sur les "&amp;TEXT(COUNT($U$6:$U$24),"0")&amp;" campus, écart moyen "&amp;TEXT(AVERAGE($U$6:$U$24),"0.00%")&amp;", maximum "&amp;TEXT(MAX($U$6:$U$24),"0.00%")&amp;"."</f>
        <v/>
      </c>
    </row>
    <row r="30">
      <c r="B30" s="3">
        <f>"L'élasticité calée sur deux points ("&amp;TEXT($C25,"0.000")&amp;") et celle calée sur trois ("&amp;TEXT($J25,"0.000")&amp;") ne diffèrent que de "&amp;TEXT(ABS($C25/$J25-1),"0.0%")&amp;" : la pente ne dépend pas de l'année qu'on lui donne."</f>
        <v/>
      </c>
    </row>
    <row r="31">
      <c r="B31" s="3" t="inlineStr">
        <is>
          <t>Ce n'est pas un ajustement rétrospectif : le budget 2026 n'entre nulle part dans le calage.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AC3"/>
    <outlinePr summaryBelow="1" summaryRight="1"/>
    <pageSetUpPr/>
  </sheetPr>
  <dimension ref="A1:Y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65" t="inlineStr">
        <is>
          <t>Q_ELASTICITE  ·  sortie de requête — budget marketing et inscrits par campus</t>
        </is>
      </c>
    </row>
    <row r="2">
      <c r="A2" s="66" t="inlineStr">
        <is>
          <t>Le budget marketing est la somme de l'acquisition (6231) et des frais de marque (6236), ramenés au campus qui en bénéficie. Le total groupe est inchangé.</t>
        </is>
      </c>
    </row>
    <row r="3" ht="30" customHeight="1">
      <c r="A3" s="67" t="inlineStr">
        <is>
          <t>CAMPUS</t>
        </is>
      </c>
      <c r="B3" s="67" t="inlineStr">
        <is>
          <t>MARQUE</t>
        </is>
      </c>
      <c r="C3" s="67" t="inlineStr">
        <is>
          <t>VILLE</t>
        </is>
      </c>
      <c r="D3" s="67" t="inlineStr">
        <is>
          <t>BUDGET 2024</t>
        </is>
      </c>
      <c r="E3" s="67" t="inlineStr">
        <is>
          <t>BUDGET 2025</t>
        </is>
      </c>
      <c r="F3" s="67" t="inlineStr">
        <is>
          <t>BUDGET 2026</t>
        </is>
      </c>
      <c r="G3" s="67" t="inlineStr">
        <is>
          <t>INSCRITS 2024</t>
        </is>
      </c>
      <c r="H3" s="67" t="inlineStr">
        <is>
          <t>INSCRITS 2025</t>
        </is>
      </c>
      <c r="I3" s="67" t="inlineStr">
        <is>
          <t>INSCRITS 2026</t>
        </is>
      </c>
      <c r="J3" s="67" t="inlineStr">
        <is>
          <t>EFFECTIF 2026</t>
        </is>
      </c>
      <c r="K3" s="67" t="inlineStr">
        <is>
          <t>DONT ENTRANTS</t>
        </is>
      </c>
      <c r="L3" s="67" t="inlineStr">
        <is>
          <t>CA 2026</t>
        </is>
      </c>
      <c r="M3" s="67" t="inlineStr">
        <is>
          <t>VARIABLES 2026</t>
        </is>
      </c>
      <c r="N3" s="67" t="inlineStr">
        <is>
          <t>STRUCTURE 2026</t>
        </is>
      </c>
      <c r="P3" s="68" t="inlineStr">
        <is>
          <t>ln bud 24</t>
        </is>
      </c>
      <c r="Q3" s="68" t="inlineStr">
        <is>
          <t>ln bud 25</t>
        </is>
      </c>
      <c r="R3" s="68" t="inlineStr">
        <is>
          <t>ln bud 26</t>
        </is>
      </c>
      <c r="S3" s="68" t="inlineStr">
        <is>
          <t>ln ins 24</t>
        </is>
      </c>
      <c r="T3" s="68" t="inlineStr">
        <is>
          <t>ln ins 25</t>
        </is>
      </c>
      <c r="U3" s="68" t="inlineStr">
        <is>
          <t>ln ins 26</t>
        </is>
      </c>
      <c r="V3" s="68" t="inlineStr">
        <is>
          <t>ELASTICITE 3 ANS</t>
        </is>
      </c>
      <c r="W3" s="68" t="inlineStr">
        <is>
          <t>ELASTICITE 24-25</t>
        </is>
      </c>
      <c r="X3" s="68" t="inlineStr">
        <is>
          <t>INSCRITS PREDITS 26</t>
        </is>
      </c>
      <c r="Y3" s="68" t="inlineStr">
        <is>
          <t>ECART</t>
        </is>
      </c>
    </row>
    <row r="4">
      <c r="A4" s="69" t="inlineStr">
        <is>
          <t>IPAC_MTP</t>
        </is>
      </c>
      <c r="B4" s="69" t="inlineStr">
        <is>
          <t>Ipac Bachelor Factory</t>
        </is>
      </c>
      <c r="C4" s="69" t="inlineStr">
        <is>
          <t>Montpellier</t>
        </is>
      </c>
      <c r="D4" s="70" t="n">
        <v>26124</v>
      </c>
      <c r="E4" s="70" t="n">
        <v>31668</v>
      </c>
      <c r="F4" s="70" t="n">
        <v>38692</v>
      </c>
      <c r="G4" s="70" t="n">
        <v>36</v>
      </c>
      <c r="H4" s="70" t="n">
        <v>38</v>
      </c>
      <c r="I4" s="70" t="n">
        <v>40</v>
      </c>
      <c r="J4" s="71" t="n">
        <v>117</v>
      </c>
      <c r="K4" s="71" t="n">
        <v>40</v>
      </c>
      <c r="L4" s="70" t="n">
        <v>781650</v>
      </c>
      <c r="M4" s="70" t="n">
        <v>115973</v>
      </c>
      <c r="N4" s="70" t="n">
        <v>472560</v>
      </c>
      <c r="P4" s="72">
        <f>LN(D4)</f>
        <v/>
      </c>
      <c r="Q4" s="72">
        <f>LN(E4)</f>
        <v/>
      </c>
      <c r="R4" s="72">
        <f>LN(F4)</f>
        <v/>
      </c>
      <c r="S4" s="72">
        <f>LN(G4)</f>
        <v/>
      </c>
      <c r="T4" s="72">
        <f>LN(H4)</f>
        <v/>
      </c>
      <c r="U4" s="72">
        <f>LN(I4)</f>
        <v/>
      </c>
      <c r="V4" s="73">
        <f>SLOPE(S4:U4,P4:R4)</f>
        <v/>
      </c>
      <c r="W4" s="74">
        <f>SLOPE(S4:T4,P4:Q4)</f>
        <v/>
      </c>
      <c r="X4" s="71">
        <f>H4*POWER(F4/E4,W4)</f>
        <v/>
      </c>
      <c r="Y4" s="75">
        <f>X4/I4-1</f>
        <v/>
      </c>
    </row>
    <row r="5">
      <c r="A5" s="69" t="inlineStr">
        <is>
          <t>IPAC_NAN</t>
        </is>
      </c>
      <c r="B5" s="69" t="inlineStr">
        <is>
          <t>Ipac Bachelor Factory</t>
        </is>
      </c>
      <c r="C5" s="69" t="inlineStr">
        <is>
          <t>Nantes</t>
        </is>
      </c>
      <c r="D5" s="70" t="n">
        <v>33920</v>
      </c>
      <c r="E5" s="70" t="n">
        <v>40864</v>
      </c>
      <c r="F5" s="70" t="n">
        <v>49649</v>
      </c>
      <c r="G5" s="70" t="n">
        <v>44</v>
      </c>
      <c r="H5" s="70" t="n">
        <v>47</v>
      </c>
      <c r="I5" s="70" t="n">
        <v>50</v>
      </c>
      <c r="J5" s="71" t="n">
        <v>145</v>
      </c>
      <c r="K5" s="71" t="n">
        <v>50</v>
      </c>
      <c r="L5" s="70" t="n">
        <v>1019500</v>
      </c>
      <c r="M5" s="70" t="n">
        <v>126392</v>
      </c>
      <c r="N5" s="70" t="n">
        <v>619811</v>
      </c>
      <c r="P5" s="72">
        <f>LN(D5)</f>
        <v/>
      </c>
      <c r="Q5" s="72">
        <f>LN(E5)</f>
        <v/>
      </c>
      <c r="R5" s="72">
        <f>LN(F5)</f>
        <v/>
      </c>
      <c r="S5" s="72">
        <f>LN(G5)</f>
        <v/>
      </c>
      <c r="T5" s="72">
        <f>LN(H5)</f>
        <v/>
      </c>
      <c r="U5" s="72">
        <f>LN(I5)</f>
        <v/>
      </c>
      <c r="V5" s="73">
        <f>SLOPE(S5:U5,P5:R5)</f>
        <v/>
      </c>
      <c r="W5" s="74">
        <f>SLOPE(S5:T5,P5:Q5)</f>
        <v/>
      </c>
      <c r="X5" s="71">
        <f>H5*POWER(F5/E5,W5)</f>
        <v/>
      </c>
      <c r="Y5" s="75">
        <f>X5/I5-1</f>
        <v/>
      </c>
    </row>
    <row r="6">
      <c r="A6" s="69" t="inlineStr">
        <is>
          <t>IPAC_REN</t>
        </is>
      </c>
      <c r="B6" s="69" t="inlineStr">
        <is>
          <t>Ipac Bachelor Factory</t>
        </is>
      </c>
      <c r="C6" s="69" t="inlineStr">
        <is>
          <t>Rennes</t>
        </is>
      </c>
      <c r="D6" s="70" t="n">
        <v>26363</v>
      </c>
      <c r="E6" s="70" t="n">
        <v>31978</v>
      </c>
      <c r="F6" s="70" t="n">
        <v>39085</v>
      </c>
      <c r="G6" s="70" t="n">
        <v>36</v>
      </c>
      <c r="H6" s="70" t="n">
        <v>38</v>
      </c>
      <c r="I6" s="70" t="n">
        <v>40</v>
      </c>
      <c r="J6" s="71" t="n">
        <v>117</v>
      </c>
      <c r="K6" s="71" t="n">
        <v>40</v>
      </c>
      <c r="L6" s="70" t="n">
        <v>781650</v>
      </c>
      <c r="M6" s="70" t="n">
        <v>115973</v>
      </c>
      <c r="N6" s="70" t="n">
        <v>472805</v>
      </c>
      <c r="P6" s="72">
        <f>LN(D6)</f>
        <v/>
      </c>
      <c r="Q6" s="72">
        <f>LN(E6)</f>
        <v/>
      </c>
      <c r="R6" s="72">
        <f>LN(F6)</f>
        <v/>
      </c>
      <c r="S6" s="72">
        <f>LN(G6)</f>
        <v/>
      </c>
      <c r="T6" s="72">
        <f>LN(H6)</f>
        <v/>
      </c>
      <c r="U6" s="72">
        <f>LN(I6)</f>
        <v/>
      </c>
      <c r="V6" s="73">
        <f>SLOPE(S6:U6,P6:R6)</f>
        <v/>
      </c>
      <c r="W6" s="74">
        <f>SLOPE(S6:T6,P6:Q6)</f>
        <v/>
      </c>
      <c r="X6" s="71">
        <f>H6*POWER(F6/E6,W6)</f>
        <v/>
      </c>
      <c r="Y6" s="75">
        <f>X6/I6-1</f>
        <v/>
      </c>
    </row>
    <row r="7">
      <c r="A7" s="69" t="inlineStr">
        <is>
          <t>ISCOM_LIL</t>
        </is>
      </c>
      <c r="B7" s="69" t="inlineStr">
        <is>
          <t>ISCOM</t>
        </is>
      </c>
      <c r="C7" s="69" t="inlineStr">
        <is>
          <t>Lille</t>
        </is>
      </c>
      <c r="D7" s="70" t="n">
        <v>69338</v>
      </c>
      <c r="E7" s="70" t="n">
        <v>75695</v>
      </c>
      <c r="F7" s="70" t="n">
        <v>82638</v>
      </c>
      <c r="G7" s="70" t="n">
        <v>88</v>
      </c>
      <c r="H7" s="70" t="n">
        <v>94</v>
      </c>
      <c r="I7" s="70" t="n">
        <v>100</v>
      </c>
      <c r="J7" s="71" t="n">
        <v>244</v>
      </c>
      <c r="K7" s="71" t="n">
        <v>100</v>
      </c>
      <c r="L7" s="70" t="n">
        <v>1755850</v>
      </c>
      <c r="M7" s="70" t="n">
        <v>211520</v>
      </c>
      <c r="N7" s="70" t="n">
        <v>1051764</v>
      </c>
      <c r="P7" s="72">
        <f>LN(D7)</f>
        <v/>
      </c>
      <c r="Q7" s="72">
        <f>LN(E7)</f>
        <v/>
      </c>
      <c r="R7" s="72">
        <f>LN(F7)</f>
        <v/>
      </c>
      <c r="S7" s="72">
        <f>LN(G7)</f>
        <v/>
      </c>
      <c r="T7" s="72">
        <f>LN(H7)</f>
        <v/>
      </c>
      <c r="U7" s="72">
        <f>LN(I7)</f>
        <v/>
      </c>
      <c r="V7" s="73">
        <f>SLOPE(S7:U7,P7:R7)</f>
        <v/>
      </c>
      <c r="W7" s="74">
        <f>SLOPE(S7:T7,P7:Q7)</f>
        <v/>
      </c>
      <c r="X7" s="71">
        <f>H7*POWER(F7/E7,W7)</f>
        <v/>
      </c>
      <c r="Y7" s="75">
        <f>X7/I7-1</f>
        <v/>
      </c>
    </row>
    <row r="8">
      <c r="A8" s="69" t="inlineStr">
        <is>
          <t>ISCOM_PAR</t>
        </is>
      </c>
      <c r="B8" s="69" t="inlineStr">
        <is>
          <t>ISCOM</t>
        </is>
      </c>
      <c r="C8" s="69" t="inlineStr">
        <is>
          <t>Paris</t>
        </is>
      </c>
      <c r="D8" s="70" t="n">
        <v>102342</v>
      </c>
      <c r="E8" s="70" t="n">
        <v>112508</v>
      </c>
      <c r="F8" s="70" t="n">
        <v>123686</v>
      </c>
      <c r="G8" s="70" t="n">
        <v>128</v>
      </c>
      <c r="H8" s="70" t="n">
        <v>136</v>
      </c>
      <c r="I8" s="70" t="n">
        <v>144</v>
      </c>
      <c r="J8" s="71" t="n">
        <v>354</v>
      </c>
      <c r="K8" s="71" t="n">
        <v>144</v>
      </c>
      <c r="L8" s="70" t="n">
        <v>2908720</v>
      </c>
      <c r="M8" s="70" t="n">
        <v>312816</v>
      </c>
      <c r="N8" s="70" t="n">
        <v>1755973</v>
      </c>
      <c r="P8" s="72">
        <f>LN(D8)</f>
        <v/>
      </c>
      <c r="Q8" s="72">
        <f>LN(E8)</f>
        <v/>
      </c>
      <c r="R8" s="72">
        <f>LN(F8)</f>
        <v/>
      </c>
      <c r="S8" s="72">
        <f>LN(G8)</f>
        <v/>
      </c>
      <c r="T8" s="72">
        <f>LN(H8)</f>
        <v/>
      </c>
      <c r="U8" s="72">
        <f>LN(I8)</f>
        <v/>
      </c>
      <c r="V8" s="73">
        <f>SLOPE(S8:U8,P8:R8)</f>
        <v/>
      </c>
      <c r="W8" s="74">
        <f>SLOPE(S8:T8,P8:Q8)</f>
        <v/>
      </c>
      <c r="X8" s="71">
        <f>H8*POWER(F8/E8,W8)</f>
        <v/>
      </c>
      <c r="Y8" s="75">
        <f>X8/I8-1</f>
        <v/>
      </c>
    </row>
    <row r="9">
      <c r="A9" s="69" t="inlineStr">
        <is>
          <t>ISCOM_TLS</t>
        </is>
      </c>
      <c r="B9" s="69" t="inlineStr">
        <is>
          <t>ISCOM</t>
        </is>
      </c>
      <c r="C9" s="69" t="inlineStr">
        <is>
          <t>Toulouse</t>
        </is>
      </c>
      <c r="D9" s="70" t="n">
        <v>64888</v>
      </c>
      <c r="E9" s="70" t="n">
        <v>70786</v>
      </c>
      <c r="F9" s="70" t="n">
        <v>77222</v>
      </c>
      <c r="G9" s="70" t="n">
        <v>84</v>
      </c>
      <c r="H9" s="70" t="n">
        <v>88</v>
      </c>
      <c r="I9" s="70" t="n">
        <v>94</v>
      </c>
      <c r="J9" s="71" t="n">
        <v>231</v>
      </c>
      <c r="K9" s="71" t="n">
        <v>94</v>
      </c>
      <c r="L9" s="70" t="n">
        <v>1627980</v>
      </c>
      <c r="M9" s="70" t="n">
        <v>206683</v>
      </c>
      <c r="N9" s="70" t="n">
        <v>972818</v>
      </c>
      <c r="P9" s="72">
        <f>LN(D9)</f>
        <v/>
      </c>
      <c r="Q9" s="72">
        <f>LN(E9)</f>
        <v/>
      </c>
      <c r="R9" s="72">
        <f>LN(F9)</f>
        <v/>
      </c>
      <c r="S9" s="72">
        <f>LN(G9)</f>
        <v/>
      </c>
      <c r="T9" s="72">
        <f>LN(H9)</f>
        <v/>
      </c>
      <c r="U9" s="72">
        <f>LN(I9)</f>
        <v/>
      </c>
      <c r="V9" s="73">
        <f>SLOPE(S9:U9,P9:R9)</f>
        <v/>
      </c>
      <c r="W9" s="74">
        <f>SLOPE(S9:T9,P9:Q9)</f>
        <v/>
      </c>
      <c r="X9" s="71">
        <f>H9*POWER(F9/E9,W9)</f>
        <v/>
      </c>
      <c r="Y9" s="75">
        <f>X9/I9-1</f>
        <v/>
      </c>
    </row>
    <row r="10">
      <c r="A10" s="69" t="inlineStr">
        <is>
          <t>MBWAY_BOR</t>
        </is>
      </c>
      <c r="B10" s="69" t="inlineStr">
        <is>
          <t>MBway</t>
        </is>
      </c>
      <c r="C10" s="69" t="inlineStr">
        <is>
          <t>Bordeaux</t>
        </is>
      </c>
      <c r="D10" s="70" t="n">
        <v>59474</v>
      </c>
      <c r="E10" s="70" t="n">
        <v>69903</v>
      </c>
      <c r="F10" s="70" t="n">
        <v>82341</v>
      </c>
      <c r="G10" s="70" t="n">
        <v>90</v>
      </c>
      <c r="H10" s="70" t="n">
        <v>96</v>
      </c>
      <c r="I10" s="70" t="n">
        <v>102</v>
      </c>
      <c r="J10" s="71" t="n">
        <v>249</v>
      </c>
      <c r="K10" s="71" t="n">
        <v>102</v>
      </c>
      <c r="L10" s="70" t="n">
        <v>1773610</v>
      </c>
      <c r="M10" s="70" t="n">
        <v>213381</v>
      </c>
      <c r="N10" s="70" t="n">
        <v>1046334</v>
      </c>
      <c r="P10" s="72">
        <f>LN(D10)</f>
        <v/>
      </c>
      <c r="Q10" s="72">
        <f>LN(E10)</f>
        <v/>
      </c>
      <c r="R10" s="72">
        <f>LN(F10)</f>
        <v/>
      </c>
      <c r="S10" s="72">
        <f>LN(G10)</f>
        <v/>
      </c>
      <c r="T10" s="72">
        <f>LN(H10)</f>
        <v/>
      </c>
      <c r="U10" s="72">
        <f>LN(I10)</f>
        <v/>
      </c>
      <c r="V10" s="73">
        <f>SLOPE(S10:U10,P10:R10)</f>
        <v/>
      </c>
      <c r="W10" s="74">
        <f>SLOPE(S10:T10,P10:Q10)</f>
        <v/>
      </c>
      <c r="X10" s="71">
        <f>H10*POWER(F10/E10,W10)</f>
        <v/>
      </c>
      <c r="Y10" s="75">
        <f>X10/I10-1</f>
        <v/>
      </c>
    </row>
    <row r="11">
      <c r="A11" s="69" t="inlineStr">
        <is>
          <t>MBWAY_LYO</t>
        </is>
      </c>
      <c r="B11" s="69" t="inlineStr">
        <is>
          <t>MBway</t>
        </is>
      </c>
      <c r="C11" s="69" t="inlineStr">
        <is>
          <t>Lyon</t>
        </is>
      </c>
      <c r="D11" s="70" t="n">
        <v>77782</v>
      </c>
      <c r="E11" s="70" t="n">
        <v>91110</v>
      </c>
      <c r="F11" s="70" t="n">
        <v>107038</v>
      </c>
      <c r="G11" s="70" t="n">
        <v>118</v>
      </c>
      <c r="H11" s="70" t="n">
        <v>124</v>
      </c>
      <c r="I11" s="70" t="n">
        <v>132</v>
      </c>
      <c r="J11" s="71" t="n">
        <v>324</v>
      </c>
      <c r="K11" s="71" t="n">
        <v>132</v>
      </c>
      <c r="L11" s="70" t="n">
        <v>2496705</v>
      </c>
      <c r="M11" s="70" t="n">
        <v>277507</v>
      </c>
      <c r="N11" s="70" t="n">
        <v>1481108</v>
      </c>
      <c r="P11" s="72">
        <f>LN(D11)</f>
        <v/>
      </c>
      <c r="Q11" s="72">
        <f>LN(E11)</f>
        <v/>
      </c>
      <c r="R11" s="72">
        <f>LN(F11)</f>
        <v/>
      </c>
      <c r="S11" s="72">
        <f>LN(G11)</f>
        <v/>
      </c>
      <c r="T11" s="72">
        <f>LN(H11)</f>
        <v/>
      </c>
      <c r="U11" s="72">
        <f>LN(I11)</f>
        <v/>
      </c>
      <c r="V11" s="73">
        <f>SLOPE(S11:U11,P11:R11)</f>
        <v/>
      </c>
      <c r="W11" s="74">
        <f>SLOPE(S11:T11,P11:Q11)</f>
        <v/>
      </c>
      <c r="X11" s="71">
        <f>H11*POWER(F11/E11,W11)</f>
        <v/>
      </c>
      <c r="Y11" s="75">
        <f>X11/I11-1</f>
        <v/>
      </c>
    </row>
    <row r="12">
      <c r="A12" s="69" t="inlineStr">
        <is>
          <t>MBWAY_NAN</t>
        </is>
      </c>
      <c r="B12" s="69" t="inlineStr">
        <is>
          <t>MBway</t>
        </is>
      </c>
      <c r="C12" s="69" t="inlineStr">
        <is>
          <t>Nantes</t>
        </is>
      </c>
      <c r="D12" s="70" t="n">
        <v>70831</v>
      </c>
      <c r="E12" s="70" t="n">
        <v>83168</v>
      </c>
      <c r="F12" s="70" t="n">
        <v>97882</v>
      </c>
      <c r="G12" s="70" t="n">
        <v>106</v>
      </c>
      <c r="H12" s="70" t="n">
        <v>114</v>
      </c>
      <c r="I12" s="70" t="n">
        <v>120</v>
      </c>
      <c r="J12" s="71" t="n">
        <v>294</v>
      </c>
      <c r="K12" s="71" t="n">
        <v>120</v>
      </c>
      <c r="L12" s="70" t="n">
        <v>2158300</v>
      </c>
      <c r="M12" s="70" t="n">
        <v>254271</v>
      </c>
      <c r="N12" s="70" t="n">
        <v>1273157</v>
      </c>
      <c r="P12" s="72">
        <f>LN(D12)</f>
        <v/>
      </c>
      <c r="Q12" s="72">
        <f>LN(E12)</f>
        <v/>
      </c>
      <c r="R12" s="72">
        <f>LN(F12)</f>
        <v/>
      </c>
      <c r="S12" s="72">
        <f>LN(G12)</f>
        <v/>
      </c>
      <c r="T12" s="72">
        <f>LN(H12)</f>
        <v/>
      </c>
      <c r="U12" s="72">
        <f>LN(I12)</f>
        <v/>
      </c>
      <c r="V12" s="73">
        <f>SLOPE(S12:U12,P12:R12)</f>
        <v/>
      </c>
      <c r="W12" s="74">
        <f>SLOPE(S12:T12,P12:Q12)</f>
        <v/>
      </c>
      <c r="X12" s="71">
        <f>H12*POWER(F12/E12,W12)</f>
        <v/>
      </c>
      <c r="Y12" s="75">
        <f>X12/I12-1</f>
        <v/>
      </c>
    </row>
    <row r="13">
      <c r="A13" s="69" t="inlineStr">
        <is>
          <t>MBWAY_PAR</t>
        </is>
      </c>
      <c r="B13" s="69" t="inlineStr">
        <is>
          <t>MBway</t>
        </is>
      </c>
      <c r="C13" s="69" t="inlineStr">
        <is>
          <t>Paris</t>
        </is>
      </c>
      <c r="D13" s="70" t="n">
        <v>98199</v>
      </c>
      <c r="E13" s="70" t="n">
        <v>114102</v>
      </c>
      <c r="F13" s="70" t="n">
        <v>133091</v>
      </c>
      <c r="G13" s="70" t="n">
        <v>138</v>
      </c>
      <c r="H13" s="70" t="n">
        <v>148</v>
      </c>
      <c r="I13" s="70" t="n">
        <v>156</v>
      </c>
      <c r="J13" s="71" t="n">
        <v>382</v>
      </c>
      <c r="K13" s="71" t="n">
        <v>156</v>
      </c>
      <c r="L13" s="70" t="n">
        <v>3138840</v>
      </c>
      <c r="M13" s="70" t="n">
        <v>323234</v>
      </c>
      <c r="N13" s="70" t="n">
        <v>1862138</v>
      </c>
      <c r="P13" s="72">
        <f>LN(D13)</f>
        <v/>
      </c>
      <c r="Q13" s="72">
        <f>LN(E13)</f>
        <v/>
      </c>
      <c r="R13" s="72">
        <f>LN(F13)</f>
        <v/>
      </c>
      <c r="S13" s="72">
        <f>LN(G13)</f>
        <v/>
      </c>
      <c r="T13" s="72">
        <f>LN(H13)</f>
        <v/>
      </c>
      <c r="U13" s="72">
        <f>LN(I13)</f>
        <v/>
      </c>
      <c r="V13" s="73">
        <f>SLOPE(S13:U13,P13:R13)</f>
        <v/>
      </c>
      <c r="W13" s="74">
        <f>SLOPE(S13:T13,P13:Q13)</f>
        <v/>
      </c>
      <c r="X13" s="71">
        <f>H13*POWER(F13/E13,W13)</f>
        <v/>
      </c>
      <c r="Y13" s="75">
        <f>X13/I13-1</f>
        <v/>
      </c>
    </row>
    <row r="14">
      <c r="A14" s="69" t="inlineStr">
        <is>
          <t>PIGIER_BOR</t>
        </is>
      </c>
      <c r="B14" s="69" t="inlineStr">
        <is>
          <t>Pigier</t>
        </is>
      </c>
      <c r="C14" s="69" t="inlineStr">
        <is>
          <t>Bordeaux</t>
        </is>
      </c>
      <c r="D14" s="70" t="n">
        <v>65915</v>
      </c>
      <c r="E14" s="70" t="n">
        <v>73244</v>
      </c>
      <c r="F14" s="70" t="n">
        <v>81391</v>
      </c>
      <c r="G14" s="70" t="n">
        <v>64</v>
      </c>
      <c r="H14" s="70" t="n">
        <v>68</v>
      </c>
      <c r="I14" s="70" t="n">
        <v>72</v>
      </c>
      <c r="J14" s="71" t="n">
        <v>176</v>
      </c>
      <c r="K14" s="71" t="n">
        <v>72</v>
      </c>
      <c r="L14" s="70" t="n">
        <v>1132650</v>
      </c>
      <c r="M14" s="70" t="n">
        <v>149421</v>
      </c>
      <c r="N14" s="70" t="n">
        <v>613480</v>
      </c>
      <c r="P14" s="72">
        <f>LN(D14)</f>
        <v/>
      </c>
      <c r="Q14" s="72">
        <f>LN(E14)</f>
        <v/>
      </c>
      <c r="R14" s="72">
        <f>LN(F14)</f>
        <v/>
      </c>
      <c r="S14" s="72">
        <f>LN(G14)</f>
        <v/>
      </c>
      <c r="T14" s="72">
        <f>LN(H14)</f>
        <v/>
      </c>
      <c r="U14" s="72">
        <f>LN(I14)</f>
        <v/>
      </c>
      <c r="V14" s="73">
        <f>SLOPE(S14:U14,P14:R14)</f>
        <v/>
      </c>
      <c r="W14" s="74">
        <f>SLOPE(S14:T14,P14:Q14)</f>
        <v/>
      </c>
      <c r="X14" s="71">
        <f>H14*POWER(F14/E14,W14)</f>
        <v/>
      </c>
      <c r="Y14" s="75">
        <f>X14/I14-1</f>
        <v/>
      </c>
    </row>
    <row r="15">
      <c r="A15" s="69" t="inlineStr">
        <is>
          <t>PIGIER_LYO</t>
        </is>
      </c>
      <c r="B15" s="69" t="inlineStr">
        <is>
          <t>Pigier</t>
        </is>
      </c>
      <c r="C15" s="69" t="inlineStr">
        <is>
          <t>Lyon</t>
        </is>
      </c>
      <c r="D15" s="70" t="n">
        <v>83697</v>
      </c>
      <c r="E15" s="70" t="n">
        <v>93237</v>
      </c>
      <c r="F15" s="70" t="n">
        <v>103873</v>
      </c>
      <c r="G15" s="70" t="n">
        <v>82</v>
      </c>
      <c r="H15" s="70" t="n">
        <v>86</v>
      </c>
      <c r="I15" s="70" t="n">
        <v>92</v>
      </c>
      <c r="J15" s="71" t="n">
        <v>226</v>
      </c>
      <c r="K15" s="71" t="n">
        <v>92</v>
      </c>
      <c r="L15" s="70" t="n">
        <v>1573830</v>
      </c>
      <c r="M15" s="70" t="n">
        <v>164305</v>
      </c>
      <c r="N15" s="70" t="n">
        <v>861064</v>
      </c>
      <c r="P15" s="72">
        <f>LN(D15)</f>
        <v/>
      </c>
      <c r="Q15" s="72">
        <f>LN(E15)</f>
        <v/>
      </c>
      <c r="R15" s="72">
        <f>LN(F15)</f>
        <v/>
      </c>
      <c r="S15" s="72">
        <f>LN(G15)</f>
        <v/>
      </c>
      <c r="T15" s="72">
        <f>LN(H15)</f>
        <v/>
      </c>
      <c r="U15" s="72">
        <f>LN(I15)</f>
        <v/>
      </c>
      <c r="V15" s="73">
        <f>SLOPE(S15:U15,P15:R15)</f>
        <v/>
      </c>
      <c r="W15" s="74">
        <f>SLOPE(S15:T15,P15:Q15)</f>
        <v/>
      </c>
      <c r="X15" s="71">
        <f>H15*POWER(F15/E15,W15)</f>
        <v/>
      </c>
      <c r="Y15" s="75">
        <f>X15/I15-1</f>
        <v/>
      </c>
    </row>
    <row r="16">
      <c r="A16" s="69" t="inlineStr">
        <is>
          <t>TUNON_LYO</t>
        </is>
      </c>
      <c r="B16" s="69" t="inlineStr">
        <is>
          <t>Tunon</t>
        </is>
      </c>
      <c r="C16" s="69" t="inlineStr">
        <is>
          <t>Lyon</t>
        </is>
      </c>
      <c r="D16" s="70" t="n">
        <v>35799</v>
      </c>
      <c r="E16" s="70" t="n">
        <v>38686</v>
      </c>
      <c r="F16" s="70" t="n">
        <v>41817</v>
      </c>
      <c r="G16" s="70" t="n">
        <v>36</v>
      </c>
      <c r="H16" s="70" t="n">
        <v>38</v>
      </c>
      <c r="I16" s="70" t="n">
        <v>40</v>
      </c>
      <c r="J16" s="71" t="n">
        <v>117</v>
      </c>
      <c r="K16" s="71" t="n">
        <v>40</v>
      </c>
      <c r="L16" s="70" t="n">
        <v>863550</v>
      </c>
      <c r="M16" s="70" t="n">
        <v>115973</v>
      </c>
      <c r="N16" s="70" t="n">
        <v>623001</v>
      </c>
      <c r="P16" s="72">
        <f>LN(D16)</f>
        <v/>
      </c>
      <c r="Q16" s="72">
        <f>LN(E16)</f>
        <v/>
      </c>
      <c r="R16" s="72">
        <f>LN(F16)</f>
        <v/>
      </c>
      <c r="S16" s="72">
        <f>LN(G16)</f>
        <v/>
      </c>
      <c r="T16" s="72">
        <f>LN(H16)</f>
        <v/>
      </c>
      <c r="U16" s="72">
        <f>LN(I16)</f>
        <v/>
      </c>
      <c r="V16" s="73">
        <f>SLOPE(S16:U16,P16:R16)</f>
        <v/>
      </c>
      <c r="W16" s="74">
        <f>SLOPE(S16:T16,P16:Q16)</f>
        <v/>
      </c>
      <c r="X16" s="71">
        <f>H16*POWER(F16/E16,W16)</f>
        <v/>
      </c>
      <c r="Y16" s="75">
        <f>X16/I16-1</f>
        <v/>
      </c>
    </row>
    <row r="17">
      <c r="A17" s="69" t="inlineStr">
        <is>
          <t>TUNON_PAR</t>
        </is>
      </c>
      <c r="B17" s="69" t="inlineStr">
        <is>
          <t>Tunon</t>
        </is>
      </c>
      <c r="C17" s="69" t="inlineStr">
        <is>
          <t>Paris</t>
        </is>
      </c>
      <c r="D17" s="70" t="n">
        <v>44073</v>
      </c>
      <c r="E17" s="70" t="n">
        <v>47920</v>
      </c>
      <c r="F17" s="70" t="n">
        <v>52113</v>
      </c>
      <c r="G17" s="70" t="n">
        <v>42</v>
      </c>
      <c r="H17" s="70" t="n">
        <v>44</v>
      </c>
      <c r="I17" s="70" t="n">
        <v>47</v>
      </c>
      <c r="J17" s="71" t="n">
        <v>138</v>
      </c>
      <c r="K17" s="71" t="n">
        <v>47</v>
      </c>
      <c r="L17" s="70" t="n">
        <v>1086150</v>
      </c>
      <c r="M17" s="70" t="n">
        <v>123787</v>
      </c>
      <c r="N17" s="70" t="n">
        <v>786127</v>
      </c>
      <c r="P17" s="72">
        <f>LN(D17)</f>
        <v/>
      </c>
      <c r="Q17" s="72">
        <f>LN(E17)</f>
        <v/>
      </c>
      <c r="R17" s="72">
        <f>LN(F17)</f>
        <v/>
      </c>
      <c r="S17" s="72">
        <f>LN(G17)</f>
        <v/>
      </c>
      <c r="T17" s="72">
        <f>LN(H17)</f>
        <v/>
      </c>
      <c r="U17" s="72">
        <f>LN(I17)</f>
        <v/>
      </c>
      <c r="V17" s="73">
        <f>SLOPE(S17:U17,P17:R17)</f>
        <v/>
      </c>
      <c r="W17" s="74">
        <f>SLOPE(S17:T17,P17:Q17)</f>
        <v/>
      </c>
      <c r="X17" s="71">
        <f>H17*POWER(F17/E17,W17)</f>
        <v/>
      </c>
      <c r="Y17" s="75">
        <f>X17/I17-1</f>
        <v/>
      </c>
    </row>
    <row r="19">
      <c r="A19" s="76" t="inlineStr">
        <is>
          <t>SIÈGE 2026 (hors frais de marque)</t>
        </is>
      </c>
      <c r="L19" s="77" t="n">
        <v>2891983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2026-09-10T06:41:04Z</dcterms:created>
  <dcterms:modified xsi:type="dcterms:W3CDTF">2026-09-10T06:41:04Z</dcterms:modified>
</cp:coreProperties>
</file>